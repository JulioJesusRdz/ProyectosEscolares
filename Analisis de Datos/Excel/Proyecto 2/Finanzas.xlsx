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2.xml" ContentType="application/vnd.openxmlformats-officedocument.themeOverrid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3.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9.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7.xml" ContentType="application/vnd.ms-office.chartstyle+xml"/>
  <Override PartName="/xl/charts/colors7.xml" ContentType="application/vnd.ms-office.chartcolorstyle+xml"/>
  <Override PartName="/xl/charts/chart11.xml" ContentType="application/vnd.openxmlformats-officedocument.drawingml.chart+xml"/>
  <Override PartName="/xl/charts/style8.xml" ContentType="application/vnd.ms-office.chartstyle+xml"/>
  <Override PartName="/xl/charts/colors8.xml" ContentType="application/vnd.ms-office.chartcolorstyle+xml"/>
  <Override PartName="/xl/charts/chart12.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4.xml" ContentType="application/vnd.openxmlformats-officedocument.themeOverride+xml"/>
  <Override PartName="/xl/charts/chart13.xml" ContentType="application/vnd.openxmlformats-officedocument.drawingml.chart+xml"/>
  <Override PartName="/xl/charts/style10.xml" ContentType="application/vnd.ms-office.chartstyle+xml"/>
  <Override PartName="/xl/charts/colors10.xml" ContentType="application/vnd.ms-office.chartcolorstyle+xml"/>
  <Override PartName="/xl/charts/chart14.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2.xml" ContentType="application/vnd.ms-office.chartstyle+xml"/>
  <Override PartName="/xl/charts/colors12.xml" ContentType="application/vnd.ms-office.chartcolorstyle+xml"/>
  <Override PartName="/xl/charts/chart16.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5.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julio\Downloads\DataAnalist\Recursos Excel Proyecto 2\"/>
    </mc:Choice>
  </mc:AlternateContent>
  <xr:revisionPtr revIDLastSave="0" documentId="13_ncr:1_{65CDC7BE-3C44-43EB-97D2-86FB5814FD14}" xr6:coauthVersionLast="47" xr6:coauthVersionMax="47" xr10:uidLastSave="{00000000-0000-0000-0000-000000000000}"/>
  <bookViews>
    <workbookView xWindow="10590" yWindow="0" windowWidth="18210" windowHeight="15600" activeTab="9" xr2:uid="{00000000-000D-0000-FFFF-FFFF00000000}"/>
  </bookViews>
  <sheets>
    <sheet name="Sheet5" sheetId="16" r:id="rId1"/>
    <sheet name="Sheet6" sheetId="17" r:id="rId2"/>
    <sheet name="Registros" sheetId="2" r:id="rId3"/>
    <sheet name="Detalles" sheetId="4" state="hidden" r:id="rId4"/>
    <sheet name="Sheet1" sheetId="5" state="hidden" r:id="rId5"/>
    <sheet name="Sheet2" sheetId="11" state="hidden" r:id="rId6"/>
    <sheet name="Sheet3" sheetId="12" state="hidden" r:id="rId7"/>
    <sheet name="Tablas_Ingresos" sheetId="13" state="hidden" r:id="rId8"/>
    <sheet name="Reporte_Ingresos" sheetId="14" r:id="rId9"/>
    <sheet name="Reporte_Uitilidad" sheetId="15" r:id="rId10"/>
  </sheets>
  <definedNames>
    <definedName name="_xlnm._FilterDatabase" localSheetId="2" hidden="1">'Registros'!$A$1:$F$3092</definedName>
    <definedName name="Slicer_Período">#N/A</definedName>
    <definedName name="Slicer_Período1">#N/A</definedName>
    <definedName name="Slicer_Region">#N/A</definedName>
    <definedName name="Slicer_Region1">#N/A</definedName>
    <definedName name="Slicer_Tipo_Producto">#N/A</definedName>
  </definedNames>
  <calcPr calcId="191029"/>
  <pivotCaches>
    <pivotCache cacheId="4" r:id="rId11"/>
  </pivotCaches>
  <extLst>
    <ext xmlns:x14="http://schemas.microsoft.com/office/spreadsheetml/2009/9/main" uri="{BBE1A952-AA13-448e-AADC-164F8A28A991}">
      <x14:slicerCaches>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2" l="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H2502" i="2"/>
  <c r="H2503" i="2"/>
  <c r="H2504" i="2"/>
  <c r="H2505" i="2"/>
  <c r="H2506" i="2"/>
  <c r="H2507" i="2"/>
  <c r="H2508" i="2"/>
  <c r="H2509" i="2"/>
  <c r="H2510" i="2"/>
  <c r="H2511" i="2"/>
  <c r="H2512" i="2"/>
  <c r="H2513" i="2"/>
  <c r="H2514" i="2"/>
  <c r="H2515" i="2"/>
  <c r="H2516" i="2"/>
  <c r="H2517" i="2"/>
  <c r="H2518" i="2"/>
  <c r="H2519" i="2"/>
  <c r="H2520" i="2"/>
  <c r="H2521" i="2"/>
  <c r="H2522" i="2"/>
  <c r="H2523" i="2"/>
  <c r="H2524" i="2"/>
  <c r="H2525" i="2"/>
  <c r="H2526" i="2"/>
  <c r="H2527" i="2"/>
  <c r="H2528" i="2"/>
  <c r="H2529" i="2"/>
  <c r="H2530" i="2"/>
  <c r="H2531" i="2"/>
  <c r="H2532" i="2"/>
  <c r="H2533" i="2"/>
  <c r="H2534" i="2"/>
  <c r="H2535" i="2"/>
  <c r="H2536" i="2"/>
  <c r="H2537" i="2"/>
  <c r="H2538" i="2"/>
  <c r="H2539" i="2"/>
  <c r="H2540" i="2"/>
  <c r="H2541" i="2"/>
  <c r="H2542" i="2"/>
  <c r="H2543" i="2"/>
  <c r="H2544" i="2"/>
  <c r="H2545" i="2"/>
  <c r="H2546" i="2"/>
  <c r="H2547" i="2"/>
  <c r="H2548" i="2"/>
  <c r="H2549" i="2"/>
  <c r="H2550" i="2"/>
  <c r="H2551" i="2"/>
  <c r="H2552" i="2"/>
  <c r="H2553" i="2"/>
  <c r="H2554" i="2"/>
  <c r="H2555" i="2"/>
  <c r="H2556" i="2"/>
  <c r="H2557" i="2"/>
  <c r="H2558" i="2"/>
  <c r="H2559" i="2"/>
  <c r="H2560" i="2"/>
  <c r="H2561" i="2"/>
  <c r="H2562" i="2"/>
  <c r="H2563" i="2"/>
  <c r="H2564" i="2"/>
  <c r="H2565" i="2"/>
  <c r="H2566" i="2"/>
  <c r="H2567" i="2"/>
  <c r="H2568" i="2"/>
  <c r="H2569" i="2"/>
  <c r="H2570" i="2"/>
  <c r="H2571" i="2"/>
  <c r="H2572" i="2"/>
  <c r="H2573" i="2"/>
  <c r="H2574" i="2"/>
  <c r="H2575" i="2"/>
  <c r="H2576" i="2"/>
  <c r="H2577" i="2"/>
  <c r="H2578" i="2"/>
  <c r="H2579" i="2"/>
  <c r="H2580" i="2"/>
  <c r="H2581" i="2"/>
  <c r="H2582" i="2"/>
  <c r="H2583" i="2"/>
  <c r="H2584" i="2"/>
  <c r="H2585" i="2"/>
  <c r="H2586" i="2"/>
  <c r="H2587" i="2"/>
  <c r="H2588" i="2"/>
  <c r="H2589" i="2"/>
  <c r="H2590" i="2"/>
  <c r="H2591" i="2"/>
  <c r="H2592" i="2"/>
  <c r="H2593" i="2"/>
  <c r="H2594" i="2"/>
  <c r="H2595" i="2"/>
  <c r="H2596" i="2"/>
  <c r="H2597" i="2"/>
  <c r="H2598" i="2"/>
  <c r="H2599" i="2"/>
  <c r="H2600" i="2"/>
  <c r="H2601" i="2"/>
  <c r="H2602" i="2"/>
  <c r="H2603" i="2"/>
  <c r="H2604" i="2"/>
  <c r="H2605" i="2"/>
  <c r="H2606" i="2"/>
  <c r="H2607" i="2"/>
  <c r="H2608" i="2"/>
  <c r="H2609" i="2"/>
  <c r="H2610" i="2"/>
  <c r="H2611" i="2"/>
  <c r="H2612" i="2"/>
  <c r="H2613" i="2"/>
  <c r="H2614" i="2"/>
  <c r="H2615" i="2"/>
  <c r="H2616" i="2"/>
  <c r="H2617" i="2"/>
  <c r="H2618" i="2"/>
  <c r="H2619" i="2"/>
  <c r="H2620" i="2"/>
  <c r="H2621" i="2"/>
  <c r="H2622" i="2"/>
  <c r="H2623" i="2"/>
  <c r="H2624" i="2"/>
  <c r="H2625" i="2"/>
  <c r="H2626" i="2"/>
  <c r="H2627" i="2"/>
  <c r="H2628" i="2"/>
  <c r="H2629" i="2"/>
  <c r="H2630" i="2"/>
  <c r="H2631" i="2"/>
  <c r="H2632" i="2"/>
  <c r="H2633" i="2"/>
  <c r="H2634" i="2"/>
  <c r="H2635" i="2"/>
  <c r="H2636" i="2"/>
  <c r="H2637" i="2"/>
  <c r="H2638" i="2"/>
  <c r="H2639" i="2"/>
  <c r="H2640" i="2"/>
  <c r="H2641" i="2"/>
  <c r="H2642" i="2"/>
  <c r="H2643" i="2"/>
  <c r="H2644" i="2"/>
  <c r="H2645" i="2"/>
  <c r="H2646" i="2"/>
  <c r="H2647" i="2"/>
  <c r="H2648" i="2"/>
  <c r="H2649" i="2"/>
  <c r="H2650" i="2"/>
  <c r="H2651" i="2"/>
  <c r="H2652" i="2"/>
  <c r="H2653" i="2"/>
  <c r="H2654" i="2"/>
  <c r="H2655" i="2"/>
  <c r="H2656" i="2"/>
  <c r="H2657" i="2"/>
  <c r="H2658" i="2"/>
  <c r="H2659" i="2"/>
  <c r="H2660" i="2"/>
  <c r="H2661" i="2"/>
  <c r="H2662" i="2"/>
  <c r="H2663" i="2"/>
  <c r="H2664" i="2"/>
  <c r="H2665" i="2"/>
  <c r="H2666" i="2"/>
  <c r="H2667" i="2"/>
  <c r="H2668" i="2"/>
  <c r="H2669" i="2"/>
  <c r="H2670" i="2"/>
  <c r="H2671" i="2"/>
  <c r="H2672" i="2"/>
  <c r="H2673" i="2"/>
  <c r="H2674" i="2"/>
  <c r="H2675" i="2"/>
  <c r="H2676" i="2"/>
  <c r="H2677" i="2"/>
  <c r="H2678" i="2"/>
  <c r="H2679" i="2"/>
  <c r="H2680" i="2"/>
  <c r="H2681" i="2"/>
  <c r="H2682" i="2"/>
  <c r="H2683" i="2"/>
  <c r="H2684" i="2"/>
  <c r="H2685" i="2"/>
  <c r="H2686" i="2"/>
  <c r="H2687" i="2"/>
  <c r="H2688" i="2"/>
  <c r="H2689" i="2"/>
  <c r="H2690" i="2"/>
  <c r="H2691" i="2"/>
  <c r="H2692" i="2"/>
  <c r="H2693" i="2"/>
  <c r="H2694" i="2"/>
  <c r="H2695" i="2"/>
  <c r="H2696" i="2"/>
  <c r="H2697" i="2"/>
  <c r="H2698" i="2"/>
  <c r="H2699" i="2"/>
  <c r="H2700" i="2"/>
  <c r="H2701" i="2"/>
  <c r="H2702" i="2"/>
  <c r="H2703" i="2"/>
  <c r="H2704" i="2"/>
  <c r="H2705" i="2"/>
  <c r="H2706" i="2"/>
  <c r="H2707" i="2"/>
  <c r="H2708" i="2"/>
  <c r="H2709" i="2"/>
  <c r="H2710" i="2"/>
  <c r="H2711" i="2"/>
  <c r="H2712" i="2"/>
  <c r="H2713" i="2"/>
  <c r="H2714" i="2"/>
  <c r="H2715" i="2"/>
  <c r="H2716" i="2"/>
  <c r="H2717" i="2"/>
  <c r="H2718" i="2"/>
  <c r="H2719" i="2"/>
  <c r="H2720" i="2"/>
  <c r="H2721" i="2"/>
  <c r="H2722" i="2"/>
  <c r="H2723" i="2"/>
  <c r="H2724" i="2"/>
  <c r="H2725" i="2"/>
  <c r="H2726" i="2"/>
  <c r="H2727" i="2"/>
  <c r="H2728" i="2"/>
  <c r="H2729" i="2"/>
  <c r="H2730" i="2"/>
  <c r="H2731" i="2"/>
  <c r="H2732" i="2"/>
  <c r="H2733" i="2"/>
  <c r="H2734" i="2"/>
  <c r="H2735" i="2"/>
  <c r="H2736" i="2"/>
  <c r="H2737" i="2"/>
  <c r="H2738" i="2"/>
  <c r="H2739" i="2"/>
  <c r="H2740" i="2"/>
  <c r="H2741" i="2"/>
  <c r="H2742" i="2"/>
  <c r="H2743" i="2"/>
  <c r="H2744" i="2"/>
  <c r="H2745" i="2"/>
  <c r="H2746" i="2"/>
  <c r="H2747" i="2"/>
  <c r="H2748" i="2"/>
  <c r="H2749" i="2"/>
  <c r="H2750" i="2"/>
  <c r="H2751" i="2"/>
  <c r="H2752" i="2"/>
  <c r="H2753" i="2"/>
  <c r="H2754" i="2"/>
  <c r="H2755" i="2"/>
  <c r="H2756" i="2"/>
  <c r="H2757" i="2"/>
  <c r="H2758" i="2"/>
  <c r="H2759" i="2"/>
  <c r="H2760" i="2"/>
  <c r="H2761" i="2"/>
  <c r="H2762" i="2"/>
  <c r="H2763" i="2"/>
  <c r="H2764" i="2"/>
  <c r="H2765" i="2"/>
  <c r="H2766" i="2"/>
  <c r="H2767" i="2"/>
  <c r="H2768" i="2"/>
  <c r="H2769" i="2"/>
  <c r="H2770" i="2"/>
  <c r="H2771" i="2"/>
  <c r="H2772" i="2"/>
  <c r="H2773" i="2"/>
  <c r="H2774" i="2"/>
  <c r="H2775" i="2"/>
  <c r="H2776" i="2"/>
  <c r="H2777" i="2"/>
  <c r="H2778" i="2"/>
  <c r="H2779" i="2"/>
  <c r="H2780" i="2"/>
  <c r="H2781" i="2"/>
  <c r="H2782" i="2"/>
  <c r="H2783" i="2"/>
  <c r="H2784" i="2"/>
  <c r="H2785" i="2"/>
  <c r="H2786" i="2"/>
  <c r="H2787" i="2"/>
  <c r="H2788" i="2"/>
  <c r="H2789" i="2"/>
  <c r="H2790" i="2"/>
  <c r="H2791" i="2"/>
  <c r="H2792" i="2"/>
  <c r="H2793" i="2"/>
  <c r="H2794" i="2"/>
  <c r="H2795" i="2"/>
  <c r="H2796" i="2"/>
  <c r="H2797" i="2"/>
  <c r="H2798" i="2"/>
  <c r="H2799" i="2"/>
  <c r="H2800" i="2"/>
  <c r="H2801" i="2"/>
  <c r="H2802" i="2"/>
  <c r="H2803" i="2"/>
  <c r="H2804" i="2"/>
  <c r="H2805" i="2"/>
  <c r="H2806" i="2"/>
  <c r="H2807" i="2"/>
  <c r="H2808" i="2"/>
  <c r="H2809" i="2"/>
  <c r="H2810" i="2"/>
  <c r="H2811" i="2"/>
  <c r="H2812" i="2"/>
  <c r="H2813" i="2"/>
  <c r="H2814" i="2"/>
  <c r="H2815" i="2"/>
  <c r="H2816" i="2"/>
  <c r="H2817" i="2"/>
  <c r="H2818" i="2"/>
  <c r="H2819" i="2"/>
  <c r="H2820" i="2"/>
  <c r="H2821" i="2"/>
  <c r="H2822" i="2"/>
  <c r="H2823" i="2"/>
  <c r="H2824" i="2"/>
  <c r="H2825" i="2"/>
  <c r="H2826" i="2"/>
  <c r="H2827" i="2"/>
  <c r="H2828" i="2"/>
  <c r="H2829" i="2"/>
  <c r="H2830" i="2"/>
  <c r="H2831" i="2"/>
  <c r="H2832" i="2"/>
  <c r="H2833" i="2"/>
  <c r="H2834" i="2"/>
  <c r="H2835" i="2"/>
  <c r="H2836" i="2"/>
  <c r="H2837" i="2"/>
  <c r="H2838" i="2"/>
  <c r="H2839" i="2"/>
  <c r="H2840" i="2"/>
  <c r="H2841" i="2"/>
  <c r="H2842" i="2"/>
  <c r="H2843" i="2"/>
  <c r="H2844" i="2"/>
  <c r="H2845" i="2"/>
  <c r="H2846" i="2"/>
  <c r="H2847" i="2"/>
  <c r="H2848" i="2"/>
  <c r="H2849" i="2"/>
  <c r="H2850" i="2"/>
  <c r="H2851" i="2"/>
  <c r="H2852" i="2"/>
  <c r="H2853" i="2"/>
  <c r="H2854" i="2"/>
  <c r="H2855" i="2"/>
  <c r="H2856" i="2"/>
  <c r="H2857" i="2"/>
  <c r="H2858" i="2"/>
  <c r="H2859" i="2"/>
  <c r="H2860" i="2"/>
  <c r="H2861" i="2"/>
  <c r="H2862" i="2"/>
  <c r="H2863" i="2"/>
  <c r="H2864" i="2"/>
  <c r="H2865" i="2"/>
  <c r="H2866" i="2"/>
  <c r="H2867" i="2"/>
  <c r="H2868" i="2"/>
  <c r="H2869" i="2"/>
  <c r="H2870" i="2"/>
  <c r="H2871" i="2"/>
  <c r="H2872" i="2"/>
  <c r="H2873" i="2"/>
  <c r="H2874" i="2"/>
  <c r="H2875" i="2"/>
  <c r="H2876" i="2"/>
  <c r="H2877" i="2"/>
  <c r="H2878" i="2"/>
  <c r="H2879" i="2"/>
  <c r="H2880" i="2"/>
  <c r="H2881" i="2"/>
  <c r="H2882" i="2"/>
  <c r="H2883" i="2"/>
  <c r="H2884" i="2"/>
  <c r="H2885" i="2"/>
  <c r="H2886" i="2"/>
  <c r="H2887" i="2"/>
  <c r="H2888" i="2"/>
  <c r="H2889" i="2"/>
  <c r="H2890" i="2"/>
  <c r="H2891" i="2"/>
  <c r="H2892" i="2"/>
  <c r="H2893" i="2"/>
  <c r="H2894" i="2"/>
  <c r="H2895" i="2"/>
  <c r="H2896" i="2"/>
  <c r="H2897" i="2"/>
  <c r="H2898" i="2"/>
  <c r="H2899" i="2"/>
  <c r="H2900" i="2"/>
  <c r="H2901" i="2"/>
  <c r="H2902" i="2"/>
  <c r="H2903" i="2"/>
  <c r="H2904" i="2"/>
  <c r="H2905" i="2"/>
  <c r="H2906" i="2"/>
  <c r="H2907" i="2"/>
  <c r="H2908" i="2"/>
  <c r="H2909" i="2"/>
  <c r="H2910" i="2"/>
  <c r="H2911" i="2"/>
  <c r="H2912" i="2"/>
  <c r="H2913" i="2"/>
  <c r="H2914" i="2"/>
  <c r="H2915" i="2"/>
  <c r="H2916" i="2"/>
  <c r="H2917" i="2"/>
  <c r="H2918" i="2"/>
  <c r="H2919" i="2"/>
  <c r="H2920" i="2"/>
  <c r="H2921" i="2"/>
  <c r="H2922" i="2"/>
  <c r="H2923" i="2"/>
  <c r="H2924" i="2"/>
  <c r="H2925" i="2"/>
  <c r="H2926" i="2"/>
  <c r="H2927" i="2"/>
  <c r="H2928" i="2"/>
  <c r="H2929" i="2"/>
  <c r="H2930" i="2"/>
  <c r="H2931" i="2"/>
  <c r="H2932" i="2"/>
  <c r="H2933" i="2"/>
  <c r="H2934" i="2"/>
  <c r="H2935" i="2"/>
  <c r="H2936" i="2"/>
  <c r="H2937" i="2"/>
  <c r="H2938" i="2"/>
  <c r="H2939" i="2"/>
  <c r="H2940" i="2"/>
  <c r="H2941" i="2"/>
  <c r="H2942" i="2"/>
  <c r="H2943" i="2"/>
  <c r="H2944" i="2"/>
  <c r="H2945" i="2"/>
  <c r="H2946" i="2"/>
  <c r="H2947" i="2"/>
  <c r="H2948" i="2"/>
  <c r="H2949" i="2"/>
  <c r="H2950" i="2"/>
  <c r="H2951" i="2"/>
  <c r="H2952" i="2"/>
  <c r="H2953" i="2"/>
  <c r="H2954" i="2"/>
  <c r="H2955" i="2"/>
  <c r="H2956" i="2"/>
  <c r="H2957" i="2"/>
  <c r="H2958" i="2"/>
  <c r="H2959" i="2"/>
  <c r="H2960" i="2"/>
  <c r="H2961" i="2"/>
  <c r="H2962" i="2"/>
  <c r="H2963" i="2"/>
  <c r="H2964" i="2"/>
  <c r="H2965" i="2"/>
  <c r="H2966" i="2"/>
  <c r="H2967" i="2"/>
  <c r="H2968" i="2"/>
  <c r="H2969" i="2"/>
  <c r="H2970" i="2"/>
  <c r="H2971" i="2"/>
  <c r="H2972" i="2"/>
  <c r="H2973" i="2"/>
  <c r="H2974" i="2"/>
  <c r="H2975" i="2"/>
  <c r="H2976" i="2"/>
  <c r="H2977" i="2"/>
  <c r="H2978" i="2"/>
  <c r="H2979" i="2"/>
  <c r="H2980" i="2"/>
  <c r="H2981" i="2"/>
  <c r="H2982" i="2"/>
  <c r="H2983" i="2"/>
  <c r="H2984" i="2"/>
  <c r="H2985" i="2"/>
  <c r="H2986" i="2"/>
  <c r="H2987" i="2"/>
  <c r="H2988" i="2"/>
  <c r="H2989" i="2"/>
  <c r="H2990" i="2"/>
  <c r="H2991" i="2"/>
  <c r="H2992" i="2"/>
  <c r="H2993" i="2"/>
  <c r="H2994" i="2"/>
  <c r="H2995" i="2"/>
  <c r="H2996" i="2"/>
  <c r="H2997" i="2"/>
  <c r="H2998" i="2"/>
  <c r="H2999" i="2"/>
  <c r="H3000" i="2"/>
  <c r="H3001" i="2"/>
  <c r="H3002" i="2"/>
  <c r="H3003" i="2"/>
  <c r="H3004" i="2"/>
  <c r="H3005" i="2"/>
  <c r="H3006" i="2"/>
  <c r="H3007" i="2"/>
  <c r="H3008" i="2"/>
  <c r="H3009" i="2"/>
  <c r="H3010" i="2"/>
  <c r="H3011" i="2"/>
  <c r="H3012" i="2"/>
  <c r="H3013" i="2"/>
  <c r="H3014" i="2"/>
  <c r="H3015" i="2"/>
  <c r="H3016" i="2"/>
  <c r="H3017" i="2"/>
  <c r="H3018" i="2"/>
  <c r="H3019" i="2"/>
  <c r="H3020" i="2"/>
  <c r="H3021" i="2"/>
  <c r="H3022" i="2"/>
  <c r="H3023" i="2"/>
  <c r="H3024" i="2"/>
  <c r="H3025" i="2"/>
  <c r="H3026" i="2"/>
  <c r="H3027" i="2"/>
  <c r="H3028" i="2"/>
  <c r="H3029" i="2"/>
  <c r="H3030" i="2"/>
  <c r="H3031" i="2"/>
  <c r="H3032" i="2"/>
  <c r="H3033" i="2"/>
  <c r="H3034" i="2"/>
  <c r="H3035" i="2"/>
  <c r="H3036" i="2"/>
  <c r="H3037" i="2"/>
  <c r="H3038" i="2"/>
  <c r="H3039" i="2"/>
  <c r="H3040" i="2"/>
  <c r="H3041" i="2"/>
  <c r="H3042" i="2"/>
  <c r="H3043" i="2"/>
  <c r="H3044" i="2"/>
  <c r="H3045" i="2"/>
  <c r="H3046" i="2"/>
  <c r="H3047" i="2"/>
  <c r="H3048" i="2"/>
  <c r="H3049" i="2"/>
  <c r="H3050" i="2"/>
  <c r="H3051" i="2"/>
  <c r="H3052" i="2"/>
  <c r="H3053" i="2"/>
  <c r="H3054" i="2"/>
  <c r="H3055" i="2"/>
  <c r="H3056" i="2"/>
  <c r="H3057" i="2"/>
  <c r="H3058" i="2"/>
  <c r="H3059" i="2"/>
  <c r="H3060" i="2"/>
  <c r="H3061" i="2"/>
  <c r="H3062" i="2"/>
  <c r="H3063" i="2"/>
  <c r="H3064" i="2"/>
  <c r="H3065" i="2"/>
  <c r="H3066" i="2"/>
  <c r="H3067" i="2"/>
  <c r="H3068" i="2"/>
  <c r="H3069" i="2"/>
  <c r="H3070" i="2"/>
  <c r="H3071" i="2"/>
  <c r="H3072" i="2"/>
  <c r="H3073" i="2"/>
  <c r="H3074" i="2"/>
  <c r="H3075" i="2"/>
  <c r="H3076" i="2"/>
  <c r="H3077" i="2"/>
  <c r="H3078" i="2"/>
  <c r="H3079" i="2"/>
  <c r="H3080" i="2"/>
  <c r="H3081" i="2"/>
  <c r="H3082" i="2"/>
  <c r="H3083" i="2"/>
  <c r="H3084" i="2"/>
  <c r="H3085" i="2"/>
  <c r="H3086" i="2"/>
  <c r="H3087" i="2"/>
  <c r="H3088" i="2"/>
  <c r="H3089" i="2"/>
  <c r="H3090" i="2"/>
  <c r="H3091" i="2"/>
  <c r="H3092"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K9" i="15"/>
  <c r="B16" i="14"/>
  <c r="I9" i="15"/>
</calcChain>
</file>

<file path=xl/sharedStrings.xml><?xml version="1.0" encoding="utf-8"?>
<sst xmlns="http://schemas.openxmlformats.org/spreadsheetml/2006/main" count="7320" uniqueCount="481">
  <si>
    <t>Lobster - Baby, Boiled</t>
  </si>
  <si>
    <t>Stanton, Predovic and Larson</t>
  </si>
  <si>
    <t>Cookies - Assorted</t>
  </si>
  <si>
    <t>Juice - V8 Splash</t>
  </si>
  <si>
    <t>Raspberries - Frozen</t>
  </si>
  <si>
    <t>White (Bianco)Truffle Oil 250 ml</t>
  </si>
  <si>
    <t>Predovic, Pollich and Gislason</t>
  </si>
  <si>
    <t>Butter - Salted, Micro</t>
  </si>
  <si>
    <t>Flour - Corn, Fine</t>
  </si>
  <si>
    <t>Sprouts - Onion</t>
  </si>
  <si>
    <t>Willms, Predovic and Rippin</t>
  </si>
  <si>
    <t>Octopus</t>
  </si>
  <si>
    <t>Veal - Ground</t>
  </si>
  <si>
    <t>Tomatoes - Heirloom</t>
  </si>
  <si>
    <t>Wine - Red, Metus Rose</t>
  </si>
  <si>
    <t>Soup - Campbells, Creamy</t>
  </si>
  <si>
    <t>Juice - V8, Tomato</t>
  </si>
  <si>
    <t>Kippers - Smoked</t>
  </si>
  <si>
    <t>Fresh Portabella - 5lbs</t>
  </si>
  <si>
    <t>Lamb - Leg, Boneless</t>
  </si>
  <si>
    <t>Sugar - Palm</t>
  </si>
  <si>
    <t>Tarragon - Fresh</t>
  </si>
  <si>
    <t>Lobster - Tail 6 Oz</t>
  </si>
  <si>
    <t>Flour - Chickpea</t>
  </si>
  <si>
    <t>Island Oasis - Cappucino Mix</t>
  </si>
  <si>
    <t>Tomato - Tricolor Cherry</t>
  </si>
  <si>
    <t>Pears - Bartlett</t>
  </si>
  <si>
    <t>Garbage Bag - Clear</t>
  </si>
  <si>
    <t>Hand Towel</t>
  </si>
  <si>
    <t>Bulgar</t>
  </si>
  <si>
    <t>Tomatoes</t>
  </si>
  <si>
    <t>Chinese Foods - Plain Fried Rice</t>
  </si>
  <si>
    <t>Flour - Buckwheat, Dark</t>
  </si>
  <si>
    <t>Fiddlehead - Frozen</t>
  </si>
  <si>
    <t>Mix Pina Colada</t>
  </si>
  <si>
    <t>Lidsoupcont Rp12dn</t>
  </si>
  <si>
    <t>Kohlrabi</t>
  </si>
  <si>
    <t>Puree - Guava</t>
  </si>
  <si>
    <t>Squash - Sunburst</t>
  </si>
  <si>
    <t>Chocolate - Milk</t>
  </si>
  <si>
    <t>Butter Balls Salted</t>
  </si>
  <si>
    <t>Cup - 4oz Translucent</t>
  </si>
  <si>
    <t>Caviar - Salmon</t>
  </si>
  <si>
    <t>Asparagus - Mexican</t>
  </si>
  <si>
    <t>Pomegranates</t>
  </si>
  <si>
    <t>Bread - Malt</t>
  </si>
  <si>
    <t>Sugar - Icing</t>
  </si>
  <si>
    <t>Evaporated Milk - Skim</t>
  </si>
  <si>
    <t>Wine - Periguita Fonseca</t>
  </si>
  <si>
    <t>Wild Mix 3#/cs</t>
  </si>
  <si>
    <t>Wine - Segura Viudas Aria Brut</t>
  </si>
  <si>
    <t>Hot Chocolate - Individual</t>
  </si>
  <si>
    <t>Cucumber - Pickling Ontario</t>
  </si>
  <si>
    <t>Yogurt - Peach, 175 Gr</t>
  </si>
  <si>
    <t>Strawberries - California</t>
  </si>
  <si>
    <t>Quail - Whole, Bone - In</t>
  </si>
  <si>
    <t>Milk - 2% 250 Ml</t>
  </si>
  <si>
    <t>Beer - Alexander Kieths, Pale Ale</t>
  </si>
  <si>
    <t>Muffin Mix - Lemon Cranberry</t>
  </si>
  <si>
    <t>Plasticknivesblack</t>
  </si>
  <si>
    <t>Soup - Campbells, Lentil</t>
  </si>
  <si>
    <t>Hersey Shakes</t>
  </si>
  <si>
    <t>Rye Special Old</t>
  </si>
  <si>
    <t>Fresh Cape Gooseberries 12 pp/cs</t>
  </si>
  <si>
    <t>Zulauf-Wyman</t>
  </si>
  <si>
    <t>Wine - Fat Bastard Merlot</t>
  </si>
  <si>
    <t>Tahini Paste</t>
  </si>
  <si>
    <t>Hammes and Sons</t>
  </si>
  <si>
    <t>Rum - Mount Gay Eclipes</t>
  </si>
  <si>
    <t>Wine - George Duboeuf Rose</t>
  </si>
  <si>
    <t>Orange Roughy 4/6 Oz</t>
  </si>
  <si>
    <t>Crab - Dungeness, Whole</t>
  </si>
  <si>
    <t>Ecolab - Medallion</t>
  </si>
  <si>
    <t>Cookie - Oatmeal</t>
  </si>
  <si>
    <t>Pepper - Jalapeno</t>
  </si>
  <si>
    <t>Thyme - Fresh</t>
  </si>
  <si>
    <t>Boyle Group</t>
  </si>
  <si>
    <t>Sugar - Sweet N Low, Individual</t>
  </si>
  <si>
    <t>Onions - Vidalia</t>
  </si>
  <si>
    <t>Arctic Char - Fresh, Whole</t>
  </si>
  <si>
    <t>Pants Custom Dry Clean</t>
  </si>
  <si>
    <t>Soup - French Can Pea</t>
  </si>
  <si>
    <t>Ice Cream Bar - Hagen Daz</t>
  </si>
  <si>
    <t>Ecolab - Mikroklene 4/4 L</t>
  </si>
  <si>
    <t>Shrimp - 150 - 250</t>
  </si>
  <si>
    <t>Conn-Kling</t>
  </si>
  <si>
    <t>Bread Bowl Plain</t>
  </si>
  <si>
    <t>Cinnamon - Ground</t>
  </si>
  <si>
    <t>Cookie Dough - Oatmeal Rasin</t>
  </si>
  <si>
    <t>Mayonnaise - Individual Pkg</t>
  </si>
  <si>
    <t>Cherries - Fresh</t>
  </si>
  <si>
    <t>Sea Bass - Fillets</t>
  </si>
  <si>
    <t>Sage Derby</t>
  </si>
  <si>
    <t>Cheese - Camembert</t>
  </si>
  <si>
    <t>Homenick, Frami and Zulauf</t>
  </si>
  <si>
    <t>Nut - Walnut, Pieces</t>
  </si>
  <si>
    <t>Table Cloth 120 Round White</t>
  </si>
  <si>
    <t>Breitenberg-Mosciski</t>
  </si>
  <si>
    <t>Trout - Rainbow, Frozen</t>
  </si>
  <si>
    <t>Fresh Jumbo Cremini 5#/cs</t>
  </si>
  <si>
    <t>Bread - Raisin Walnut Pull</t>
  </si>
  <si>
    <t>Slt - Individual Portions</t>
  </si>
  <si>
    <t>Cilantro / Coriander - Fresh</t>
  </si>
  <si>
    <t>Marjoram - Dried, Rubbed</t>
  </si>
  <si>
    <t>Grand Marnier</t>
  </si>
  <si>
    <t>Puff Pastry - Sheets</t>
  </si>
  <si>
    <t>Corn - Cream, Canned</t>
  </si>
  <si>
    <t>Bread - Sticks, Thin, Plain</t>
  </si>
  <si>
    <t>Tomatoes - Grape</t>
  </si>
  <si>
    <t>Zucchini - Mini, Green</t>
  </si>
  <si>
    <t>Sauce - Cranberry</t>
  </si>
  <si>
    <t>Carbonated Water - Wildberry</t>
  </si>
  <si>
    <t>Mcguinness - Blue Curacao</t>
  </si>
  <si>
    <t>Muffin Mix - Oatmeal</t>
  </si>
  <si>
    <t>Wine - Sawmill Creek Autumn</t>
  </si>
  <si>
    <t>Dried Juniper Berries 1#/pp</t>
  </si>
  <si>
    <t>Cheese - Gouda</t>
  </si>
  <si>
    <t>Wine - White, Riesling, Henry Of</t>
  </si>
  <si>
    <t>Soup - Base Broth Beef</t>
  </si>
  <si>
    <t>Flour - All Purpose</t>
  </si>
  <si>
    <t>Cranberries - Frozen</t>
  </si>
  <si>
    <t>V8 Pet</t>
  </si>
  <si>
    <t>Tea - Vanilla Chai</t>
  </si>
  <si>
    <t>Chicken - Base, Ultimate</t>
  </si>
  <si>
    <t>Soda Water - Club Soda, 355 Ml</t>
  </si>
  <si>
    <t>Muffin Batt - Choc Chk</t>
  </si>
  <si>
    <t>Lemon Grass</t>
  </si>
  <si>
    <t>Island Oasis - Peach Daiquiri</t>
  </si>
  <si>
    <t>Tea - Lemon Scented</t>
  </si>
  <si>
    <t>Syrup - Monin - Blue Curacao</t>
  </si>
  <si>
    <t>Trout - Rainbow, Fresh</t>
  </si>
  <si>
    <t>Nougat - Paste / Cream</t>
  </si>
  <si>
    <t>Haley Inc</t>
  </si>
  <si>
    <t>Soupcontfoam16oz 116con</t>
  </si>
  <si>
    <t>Lime Cordial - Roses</t>
  </si>
  <si>
    <t>Icecream Cone - Areo Chocolate</t>
  </si>
  <si>
    <t>Bread Country Roll</t>
  </si>
  <si>
    <t>Juice - Apple Cider</t>
  </si>
  <si>
    <t>Lettuce - Green Leaf</t>
  </si>
  <si>
    <t>Ecolab - Balanced Fusion</t>
  </si>
  <si>
    <t>V8 Splash Strawberry Banana</t>
  </si>
  <si>
    <t>Soup Knorr Chili With Beans</t>
  </si>
  <si>
    <t>Rice - Jasmine Sented</t>
  </si>
  <si>
    <t>Mackerel Whole Fresh</t>
  </si>
  <si>
    <t>Beer - Creemore</t>
  </si>
  <si>
    <t>Dried Star Anise 1#/pp</t>
  </si>
  <si>
    <t>Gatorade - Xfactor Berry</t>
  </si>
  <si>
    <t>Muffins - Assorted</t>
  </si>
  <si>
    <t>Vacuum Bags 12x16</t>
  </si>
  <si>
    <t>Mince Meat - Filling</t>
  </si>
  <si>
    <t>Beef Wellington</t>
  </si>
  <si>
    <t>Vinegar - Balsamic, White</t>
  </si>
  <si>
    <t>Monahan-Tromp</t>
  </si>
  <si>
    <t>Lettuce Romaine Chopped</t>
  </si>
  <si>
    <t>Fresh Mini Cremini 5lbs</t>
  </si>
  <si>
    <t>Cookies - Amaretto</t>
  </si>
  <si>
    <t>Island Oasis - Magarita Mix</t>
  </si>
  <si>
    <t>Chocolate - Milk, Callets</t>
  </si>
  <si>
    <t>Coconut - Shredded, Sweet</t>
  </si>
  <si>
    <t>Cheese - Woolwich Goat, Log</t>
  </si>
  <si>
    <t>Wine - Bouchard La Vignee Pinot</t>
  </si>
  <si>
    <t>Tomatoes - Diced, Canned</t>
  </si>
  <si>
    <t>Jam - Raspberry</t>
  </si>
  <si>
    <t>Asparagus - White, Canned</t>
  </si>
  <si>
    <t>Lemonade - Pineapple Passion</t>
  </si>
  <si>
    <t>Mushroom - Morels, Dry</t>
  </si>
  <si>
    <t>Wine - Trimbach Pinot Blanc</t>
  </si>
  <si>
    <t>Apricots - Dried</t>
  </si>
  <si>
    <t>Sea Urchin</t>
  </si>
  <si>
    <t>Pepper - Chillies, Crushed</t>
  </si>
  <si>
    <t>Liners - Banana, Paper</t>
  </si>
  <si>
    <t>Beef - Kindney, Whole</t>
  </si>
  <si>
    <t>Wine La Vielle Ferme Cote Du</t>
  </si>
  <si>
    <t>Olives - Kalamata</t>
  </si>
  <si>
    <t>Pork - Chop, Frenched</t>
  </si>
  <si>
    <t>Coriander - Ground</t>
  </si>
  <si>
    <t>Cheese - Swiss</t>
  </si>
  <si>
    <t>Potatoes - Idaho 80 Count</t>
  </si>
  <si>
    <t>Wine - Bourgogne 2002, La</t>
  </si>
  <si>
    <t>Cleaner - Comet</t>
  </si>
  <si>
    <t>Wine - Pinot Noir Latour</t>
  </si>
  <si>
    <t>Yokaline</t>
  </si>
  <si>
    <t>Pork Ham Prager</t>
  </si>
  <si>
    <t>Juice - Mango</t>
  </si>
  <si>
    <t>Longos - Lasagna Beef</t>
  </si>
  <si>
    <t>Artichokes - Knobless, White</t>
  </si>
  <si>
    <t>Wine - Cave Springs Dry Riesling</t>
  </si>
  <si>
    <t>Food Colouring - Orange</t>
  </si>
  <si>
    <t>Paper Towel Touchless</t>
  </si>
  <si>
    <t>Lamb - Shoulder</t>
  </si>
  <si>
    <t>Onions - Dried, Chopped</t>
  </si>
  <si>
    <t>Soup - Campbells</t>
  </si>
  <si>
    <t>Snapple Lemon Tea</t>
  </si>
  <si>
    <t>Emmerich LLC</t>
  </si>
  <si>
    <t>Muffin Orange Individual</t>
  </si>
  <si>
    <t>Sping Loaded Cup Dispenser</t>
  </si>
  <si>
    <t>Lemonade - Kiwi, 591 Ml</t>
  </si>
  <si>
    <t>Lemons</t>
  </si>
  <si>
    <t>Wine - Cotes Du Rhone</t>
  </si>
  <si>
    <t>Jones, Hilpert and Dach</t>
  </si>
  <si>
    <t>Bread - English Muffin</t>
  </si>
  <si>
    <t>Jacobs and Sons</t>
  </si>
  <si>
    <t>Hettinger Inc</t>
  </si>
  <si>
    <t>Hauck-Rogahn</t>
  </si>
  <si>
    <t>Shields Inc</t>
  </si>
  <si>
    <t>Basil - Thai</t>
  </si>
  <si>
    <t>Sauce - Salsa</t>
  </si>
  <si>
    <t>Coffee - French Vanilla Frothy</t>
  </si>
  <si>
    <t>Nut - Pistachio, Shelled</t>
  </si>
  <si>
    <t>Arizona - Plum Green Tea</t>
  </si>
  <si>
    <t>Beef - Short Loin</t>
  </si>
  <si>
    <t>Ecolab - Ster Bac</t>
  </si>
  <si>
    <t>Chick Peas - Dried</t>
  </si>
  <si>
    <t>Cake - Mini Cheesecake</t>
  </si>
  <si>
    <t>Rogahn, Jenkins and Wolff</t>
  </si>
  <si>
    <t>Marvin-Mosciski</t>
  </si>
  <si>
    <t>Blick, Hudson and Monahan</t>
  </si>
  <si>
    <t>Pepper - Sorrano</t>
  </si>
  <si>
    <t>Coffee Caramel Biscotti</t>
  </si>
  <si>
    <t>Keeling-O'Connell</t>
  </si>
  <si>
    <t>Beef - Bones, Marrow</t>
  </si>
  <si>
    <t>Lamb - Ground</t>
  </si>
  <si>
    <t>Cake - Pancake</t>
  </si>
  <si>
    <t>Squid - Breaded</t>
  </si>
  <si>
    <t>Mraz Inc</t>
  </si>
  <si>
    <t>Wine - Baron De Rothschild</t>
  </si>
  <si>
    <t>Willms, Gulgowski and Jaskolski</t>
  </si>
  <si>
    <t>Wine - Domaine Boyar Royal</t>
  </si>
  <si>
    <t>Mints - Striped Red</t>
  </si>
  <si>
    <t>Herzog-Gusikowski</t>
  </si>
  <si>
    <t>Dc - Sakura Fu</t>
  </si>
  <si>
    <t>Filling - Mince Meat</t>
  </si>
  <si>
    <t>Wine - White, Antinore Orvieto</t>
  </si>
  <si>
    <t>Wine - Vineland Estate Semi - Dry</t>
  </si>
  <si>
    <t>Flour - Masa De Harina Mexican</t>
  </si>
  <si>
    <t>Container - Clear 16 Oz</t>
  </si>
  <si>
    <t>Bernhard, Gorczany and Prosacco</t>
  </si>
  <si>
    <t>Chickhen - Chicken Phyllo</t>
  </si>
  <si>
    <t>Tea - Lemon Green Tea</t>
  </si>
  <si>
    <t>Davis-Roob</t>
  </si>
  <si>
    <t>Wine - Muscadet Sur Lie</t>
  </si>
  <si>
    <t>Pork - Ham, Virginia</t>
  </si>
  <si>
    <t>Lemonade - Natural, 591 Ml</t>
  </si>
  <si>
    <t>Cheese - Goat With Herbs</t>
  </si>
  <si>
    <t>Beans - Wax</t>
  </si>
  <si>
    <t>Galliano</t>
  </si>
  <si>
    <t>Olives - Nicoise</t>
  </si>
  <si>
    <t>Dried Star Anise 5#/pp</t>
  </si>
  <si>
    <t>Spice - Paprika</t>
  </si>
  <si>
    <t>Jolt Cola - Electric Blue</t>
  </si>
  <si>
    <t>Jones &amp; Sons</t>
  </si>
  <si>
    <t>Miso - Soy Bean Paste</t>
  </si>
  <si>
    <t>Cream - 10%</t>
  </si>
  <si>
    <t>Tea - Earl Grey</t>
  </si>
  <si>
    <t>Dried Figs</t>
  </si>
  <si>
    <t>Truffle Shells - White Chocolate</t>
  </si>
  <si>
    <t>Okra</t>
  </si>
  <si>
    <t>Bread - Rolls, Corn</t>
  </si>
  <si>
    <t>Gelatine Powder</t>
  </si>
  <si>
    <t>Lemon Tarts</t>
  </si>
  <si>
    <t>Kahlua</t>
  </si>
  <si>
    <t>Nantucket Orange Juice</t>
  </si>
  <si>
    <t>Dried Peach</t>
  </si>
  <si>
    <t>Stokes, Lind and Jacobs</t>
  </si>
  <si>
    <t>Flour - Teff</t>
  </si>
  <si>
    <t>Cheese - Mozzarella, Buffalo</t>
  </si>
  <si>
    <t>Pepper - Roasted Red</t>
  </si>
  <si>
    <t>Iced Tea - Lemon, 460 Ml</t>
  </si>
  <si>
    <t>Stock - Beef, White</t>
  </si>
  <si>
    <t>Flavouring - Orange</t>
  </si>
  <si>
    <t>Rum - Light, Captain Morgan</t>
  </si>
  <si>
    <t>Dried Specialty Mix 8oz/pp</t>
  </si>
  <si>
    <t>Glover Inc</t>
  </si>
  <si>
    <t>Gleason-Kiehn</t>
  </si>
  <si>
    <t>Wiegand, Champlin and Wuckert</t>
  </si>
  <si>
    <t>Satterfield LLC</t>
  </si>
  <si>
    <t>Shopper Bag - S - 4</t>
  </si>
  <si>
    <t>Lemonade - Strawberry, 591 Ml</t>
  </si>
  <si>
    <t>Hamill-Steuber</t>
  </si>
  <si>
    <t>Schamberger-Von</t>
  </si>
  <si>
    <t>Wine - Prem Select Charddonany</t>
  </si>
  <si>
    <t>Juice - Apple, 1.36l</t>
  </si>
  <si>
    <t>Wine - Semi Dry Riesling Vineland</t>
  </si>
  <si>
    <t>Leffler-Braun</t>
  </si>
  <si>
    <t>Wine - Riesling Alsace Ac 2001</t>
  </si>
  <si>
    <t>Paste - Black Olive</t>
  </si>
  <si>
    <t>Spice - Onion Powder Granulated</t>
  </si>
  <si>
    <t>Wine - Cava Aria Estate Brut</t>
  </si>
  <si>
    <t>Cheese - St. Paulin</t>
  </si>
  <si>
    <t>Chicken - Breast, 5 - 7 Oz</t>
  </si>
  <si>
    <t>Wine - Shiraz South Eastern</t>
  </si>
  <si>
    <t>Juice - Lemon</t>
  </si>
  <si>
    <t>V8 - Vegetable Cocktail</t>
  </si>
  <si>
    <t>Cape Capensis - Fillet</t>
  </si>
  <si>
    <t>Roe - White Fish</t>
  </si>
  <si>
    <t>Wine - Dubouef Macon - Villages</t>
  </si>
  <si>
    <t>White Baguette</t>
  </si>
  <si>
    <t>Ginger - Crystalized</t>
  </si>
  <si>
    <t>Raisin - Dark</t>
  </si>
  <si>
    <t>Cheese - Oka</t>
  </si>
  <si>
    <t>Wolff, Ernser and Lang</t>
  </si>
  <si>
    <t>Beef - Baby, Liver</t>
  </si>
  <si>
    <t>Muffin - Mix - Creme Brule 15l</t>
  </si>
  <si>
    <t>Ernser-Parker</t>
  </si>
  <si>
    <t>Skirt - 29 Foot</t>
  </si>
  <si>
    <t>Blueberries - Frozen</t>
  </si>
  <si>
    <t>Nicolas and Sons</t>
  </si>
  <si>
    <t>Prohaska-Bayer</t>
  </si>
  <si>
    <t>Basil - Primerba, Paste</t>
  </si>
  <si>
    <t>Salsify, Organic</t>
  </si>
  <si>
    <t>Coffee - Espresso</t>
  </si>
  <si>
    <t>Trout - Hot Smkd, Dbl Fillet</t>
  </si>
  <si>
    <t>Wine - Tio Pepe Sherry Fino</t>
  </si>
  <si>
    <t>Ecolab Crystal Fusion</t>
  </si>
  <si>
    <t>Anderson, Raynor and Bernier</t>
  </si>
  <si>
    <t>Shields and Sons</t>
  </si>
  <si>
    <t>Wuckert-Nader</t>
  </si>
  <si>
    <t>Rabbit - Saddles</t>
  </si>
  <si>
    <t>Beef - Bresaola</t>
  </si>
  <si>
    <t>Boyer-Streich</t>
  </si>
  <si>
    <t>Parisian-Parisian</t>
  </si>
  <si>
    <t>Beef - Ground Lean Fresh</t>
  </si>
  <si>
    <t>Muffin Puck Ww Carrot</t>
  </si>
  <si>
    <t>Flour - Bran, Red</t>
  </si>
  <si>
    <t>Artichokes - Jerusalem</t>
  </si>
  <si>
    <t>Jakubowski, Altenwerth and Little</t>
  </si>
  <si>
    <t>Bogisich, Lang and Friesen</t>
  </si>
  <si>
    <t>Cheese - Fontina</t>
  </si>
  <si>
    <t>Sausage - Andouille</t>
  </si>
  <si>
    <t>Hirthe Group</t>
  </si>
  <si>
    <t>Schneider, Rice and Wehner</t>
  </si>
  <si>
    <t>Chocolate - Feathers</t>
  </si>
  <si>
    <t>Daugherty, Jenkins and Moore</t>
  </si>
  <si>
    <t>Beef - Tenderloin - Aa</t>
  </si>
  <si>
    <t>Tamarind Paste</t>
  </si>
  <si>
    <t>Wine - Alsace Gewurztraminer</t>
  </si>
  <si>
    <t>Wine - Kwv Chenin Blanc South</t>
  </si>
  <si>
    <t>Steam Pan - Half Size Deep</t>
  </si>
  <si>
    <t>Pepper - Red Thai</t>
  </si>
  <si>
    <t>Macaroons - Two Bite Choc</t>
  </si>
  <si>
    <t>Calvados - Boulard</t>
  </si>
  <si>
    <t>Strosin, Rodriguez and Schumm</t>
  </si>
  <si>
    <t>Soup - Campbells Mac N Cheese</t>
  </si>
  <si>
    <t>Wine - Pinot Noir Pond Haddock</t>
  </si>
  <si>
    <t>Rowe, Kautzer and Upton</t>
  </si>
  <si>
    <t>Waters and Sons</t>
  </si>
  <si>
    <t>Hudson Group</t>
  </si>
  <si>
    <t>Oil - Canola</t>
  </si>
  <si>
    <t>Graham and Sons</t>
  </si>
  <si>
    <t>Cheese - Pont Couvert</t>
  </si>
  <si>
    <t>Nescafe - Frothy French Vanilla</t>
  </si>
  <si>
    <t>Crackers - Soda / Saltins</t>
  </si>
  <si>
    <t>Pastry - Baked Cinnamon Stick</t>
  </si>
  <si>
    <t>Crawfish</t>
  </si>
  <si>
    <t>ORGANIC Shiitake 5lbs/cs (L)</t>
  </si>
  <si>
    <t>Howe Inc</t>
  </si>
  <si>
    <t>Higashimaru Usukuchi Soy</t>
  </si>
  <si>
    <t>Tofu - Soft</t>
  </si>
  <si>
    <t>Sauce Bbq Smokey</t>
  </si>
  <si>
    <t>Langers - Mango Nectar</t>
  </si>
  <si>
    <t>McLaughlin-Gleichner</t>
  </si>
  <si>
    <t>Chambord Royal</t>
  </si>
  <si>
    <t>Fresh White Medium Mushroom 5lbs/cs</t>
  </si>
  <si>
    <t>Beans - Kidney, Canned</t>
  </si>
  <si>
    <t>Nantucket Pine Orangebanana</t>
  </si>
  <si>
    <t>Lemon Pepper</t>
  </si>
  <si>
    <t>Wine - Tribal Sauvignon</t>
  </si>
  <si>
    <t>Torphy Inc</t>
  </si>
  <si>
    <t>Lindgren, Johnson and Mann</t>
  </si>
  <si>
    <t>Wine - Wyndham Estate Bin 777</t>
  </si>
  <si>
    <t>Cafe Royale</t>
  </si>
  <si>
    <t>Pork - Ground</t>
  </si>
  <si>
    <t>Wiegand, Moen and Sauer</t>
  </si>
  <si>
    <t>Lubowitz-Stamm</t>
  </si>
  <si>
    <t>Leuschke, Hackett and Gleason</t>
  </si>
  <si>
    <t>Longos - Chicken Caeser Salad</t>
  </si>
  <si>
    <t>Lettuce - Treviso</t>
  </si>
  <si>
    <t>Hodkiewicz and Sons</t>
  </si>
  <si>
    <t>Noodles - Steamed Chow Mein</t>
  </si>
  <si>
    <t>Abshire-Price</t>
  </si>
  <si>
    <t>Rath LLC</t>
  </si>
  <si>
    <t>Hayes, Ritchie and Nader</t>
  </si>
  <si>
    <t>Borer Group</t>
  </si>
  <si>
    <t>Black Currants</t>
  </si>
  <si>
    <t>Juice - Ocean Spray Cranberry</t>
  </si>
  <si>
    <t>Heavy Duty Dust Pan</t>
  </si>
  <si>
    <t>Onions - Red</t>
  </si>
  <si>
    <t>Pectin</t>
  </si>
  <si>
    <t>Leffler, Botsford and Fadel</t>
  </si>
  <si>
    <t>Altenwerth, Considine and Corkery</t>
  </si>
  <si>
    <t>Yukon Jack</t>
  </si>
  <si>
    <t>Kertzmann, Johnson and Abshire</t>
  </si>
  <si>
    <t>Williamson-Fritsch</t>
  </si>
  <si>
    <t>Swaniawski, Gleichner and Conn</t>
  </si>
  <si>
    <t>Cut Wakame - Hanawakaba</t>
  </si>
  <si>
    <t>Sipes Inc</t>
  </si>
  <si>
    <t>Hayes, Raynor and Waters</t>
  </si>
  <si>
    <t>Runolfsdottir, O'Connell and Terry</t>
  </si>
  <si>
    <t>Jenkins, Lindgren and Ritchie</t>
  </si>
  <si>
    <t>Predovic-Christiansen</t>
  </si>
  <si>
    <t>Flower - Carnations</t>
  </si>
  <si>
    <t>Gerlach and Sons</t>
  </si>
  <si>
    <t>Schuppe, Hand and Kutch</t>
  </si>
  <si>
    <t>Kemmer and Sons</t>
  </si>
  <si>
    <t>Cummings-Emmerich</t>
  </si>
  <si>
    <t>O'Hara-DuBuque</t>
  </si>
  <si>
    <t>Bruen, Cassin and Pacocha</t>
  </si>
  <si>
    <t>Paper Cocktail Umberlla 80 - 180</t>
  </si>
  <si>
    <t>Alize Red Passion</t>
  </si>
  <si>
    <t>Powlowski-Friesen</t>
  </si>
  <si>
    <t>Wiza-Towne</t>
  </si>
  <si>
    <t>Nestea - Iced Tea</t>
  </si>
  <si>
    <t>Turcotte-Zulauf</t>
  </si>
  <si>
    <t>Herman, Ziemann and Luettgen</t>
  </si>
  <si>
    <t>Renner LLC</t>
  </si>
  <si>
    <t>Runolfsson Inc</t>
  </si>
  <si>
    <t>Zulauf LLC</t>
  </si>
  <si>
    <t>Hilll Inc</t>
  </si>
  <si>
    <t>Goldschalger</t>
  </si>
  <si>
    <t>Table Cloth 91x91 Colour</t>
  </si>
  <si>
    <t>Veum, Grady and Koepp</t>
  </si>
  <si>
    <t>Egg - Salad Premix</t>
  </si>
  <si>
    <t>Tomatoes - Roma</t>
  </si>
  <si>
    <t>Honey - Liquid</t>
  </si>
  <si>
    <t>Morar Group</t>
  </si>
  <si>
    <t>Trout - Smoked</t>
  </si>
  <si>
    <t>Beef - Ox Tongue</t>
  </si>
  <si>
    <t>Soup - Campbells, Butternut</t>
  </si>
  <si>
    <t>Creme De Banane - Marie</t>
  </si>
  <si>
    <t>Bagel - Sesame Seed Presliced</t>
  </si>
  <si>
    <t>Tomatoes Tear Drop</t>
  </si>
  <si>
    <t>Juice - Apple, 341 Ml</t>
  </si>
  <si>
    <t>Pie Shells 10</t>
  </si>
  <si>
    <t>Towel Dispenser</t>
  </si>
  <si>
    <t>Bagel - 12 Grain Preslice</t>
  </si>
  <si>
    <t>Pop - Club Soda Can</t>
  </si>
  <si>
    <t>Pouros, Ziemann and Braun</t>
  </si>
  <si>
    <t>Region</t>
  </si>
  <si>
    <t>Canada</t>
  </si>
  <si>
    <t>DONANY</t>
  </si>
  <si>
    <t>Mexico</t>
  </si>
  <si>
    <t>Chile</t>
  </si>
  <si>
    <t>Colombia</t>
  </si>
  <si>
    <t>Peru</t>
  </si>
  <si>
    <t>Argentina</t>
  </si>
  <si>
    <t>CHOTUS</t>
  </si>
  <si>
    <t>MOC</t>
  </si>
  <si>
    <t>LAX</t>
  </si>
  <si>
    <t>DAWNE</t>
  </si>
  <si>
    <t>QUOKAR</t>
  </si>
  <si>
    <t>SALF</t>
  </si>
  <si>
    <t>GAMBO</t>
  </si>
  <si>
    <t>Cliente</t>
  </si>
  <si>
    <t>Producto</t>
  </si>
  <si>
    <t>Tipo de Producto</t>
  </si>
  <si>
    <t>Año</t>
  </si>
  <si>
    <t>Período</t>
  </si>
  <si>
    <t>Ingresos</t>
  </si>
  <si>
    <t>Costos</t>
  </si>
  <si>
    <t>Tipo Producto</t>
  </si>
  <si>
    <t>Row Labels</t>
  </si>
  <si>
    <t>Sum of Ingresos</t>
  </si>
  <si>
    <t>Grand Total</t>
  </si>
  <si>
    <t>Column Labels</t>
  </si>
  <si>
    <t>Sum of Utilidad</t>
  </si>
  <si>
    <t>Sum of Margen</t>
  </si>
  <si>
    <t>Top 10 Clientes</t>
  </si>
  <si>
    <t>Top 5 Productos</t>
  </si>
  <si>
    <t>(All)</t>
  </si>
  <si>
    <t>(Multiple Items)</t>
  </si>
  <si>
    <t>$ Ingresos</t>
  </si>
  <si>
    <t>$ Utilidad</t>
  </si>
  <si>
    <t>% Margen</t>
  </si>
  <si>
    <t>Periodo</t>
  </si>
  <si>
    <t>Top 5 Clientes</t>
  </si>
  <si>
    <t>Ingresos Totales</t>
  </si>
  <si>
    <t>Region/Cliente</t>
  </si>
  <si>
    <t>% Utilidad</t>
  </si>
  <si>
    <t>Margen</t>
  </si>
  <si>
    <t>Utilidad</t>
  </si>
  <si>
    <t>Sum of Ingresos2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</si>
</sst>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9" x14ac:knownFonts="1">
    <font>
      <sz val="11"/>
      <color theme="1"/>
      <name val="Corbel"/>
      <family val="2"/>
      <scheme val="minor"/>
    </font>
    <font>
      <sz val="10"/>
      <color indexed="8"/>
      <name val="Arial"/>
      <family val="2"/>
    </font>
    <font>
      <sz val="8"/>
      <color indexed="8"/>
      <name val="Arial Unicode MS"/>
      <family val="2"/>
    </font>
    <font>
      <b/>
      <sz val="8"/>
      <color indexed="8"/>
      <name val="Arial Unicode MS"/>
      <family val="2"/>
    </font>
    <font>
      <b/>
      <sz val="8"/>
      <color indexed="8"/>
      <name val="Arial Unicode MS"/>
    </font>
    <font>
      <b/>
      <sz val="11"/>
      <color theme="1"/>
      <name val="Corbel"/>
      <family val="2"/>
      <scheme val="minor"/>
    </font>
    <font>
      <b/>
      <sz val="20"/>
      <color theme="0"/>
      <name val="Corbel"/>
      <family val="2"/>
      <scheme val="minor"/>
    </font>
    <font>
      <b/>
      <sz val="18"/>
      <color theme="0"/>
      <name val="Corbel"/>
      <family val="2"/>
      <scheme val="minor"/>
    </font>
    <font>
      <b/>
      <sz val="18"/>
      <name val="Corbel"/>
      <family val="2"/>
      <scheme val="minor"/>
    </font>
  </fonts>
  <fills count="7">
    <fill>
      <patternFill patternType="none"/>
    </fill>
    <fill>
      <patternFill patternType="gray125"/>
    </fill>
    <fill>
      <patternFill patternType="solid">
        <fgColor theme="4"/>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7" tint="-0.249977111117893"/>
        <bgColor indexed="64"/>
      </patternFill>
    </fill>
    <fill>
      <patternFill patternType="solid">
        <fgColor theme="7" tint="0.39997558519241921"/>
        <bgColor indexed="64"/>
      </patternFill>
    </fill>
  </fills>
  <borders count="2">
    <border>
      <left/>
      <right/>
      <top/>
      <bottom/>
      <diagonal/>
    </border>
    <border>
      <left/>
      <right/>
      <top/>
      <bottom style="thin">
        <color indexed="8"/>
      </bottom>
      <diagonal/>
    </border>
  </borders>
  <cellStyleXfs count="2">
    <xf numFmtId="0" fontId="0" fillId="0" borderId="0"/>
    <xf numFmtId="0" fontId="1" fillId="0" borderId="0">
      <alignment vertical="top"/>
    </xf>
  </cellStyleXfs>
  <cellXfs count="27">
    <xf numFmtId="0" fontId="0" fillId="0" borderId="0" xfId="0"/>
    <xf numFmtId="0" fontId="1" fillId="0" borderId="0" xfId="1" applyAlignment="1">
      <alignment horizontal="left" vertical="top"/>
    </xf>
    <xf numFmtId="0" fontId="3" fillId="0" borderId="1" xfId="1" applyFont="1" applyBorder="1" applyAlignment="1">
      <alignment horizontal="left" vertical="top" wrapText="1" readingOrder="1"/>
    </xf>
    <xf numFmtId="0" fontId="2" fillId="0" borderId="0" xfId="1" applyFont="1" applyAlignment="1">
      <alignment horizontal="left" vertical="top"/>
    </xf>
    <xf numFmtId="3" fontId="2" fillId="0" borderId="0" xfId="1" applyNumberFormat="1" applyFont="1" applyAlignment="1">
      <alignment horizontal="left" vertical="top"/>
    </xf>
    <xf numFmtId="4" fontId="2" fillId="0" borderId="0" xfId="1" applyNumberFormat="1" applyFont="1" applyAlignment="1">
      <alignment horizontal="left" vertical="top"/>
    </xf>
    <xf numFmtId="0" fontId="4" fillId="0" borderId="0" xfId="1" applyFont="1" applyAlignment="1">
      <alignment horizontal="left" vertical="top"/>
    </xf>
    <xf numFmtId="0" fontId="0" fillId="0" borderId="0" xfId="0" pivotButton="1"/>
    <xf numFmtId="0" fontId="0" fillId="0" borderId="0" xfId="0" applyAlignment="1">
      <alignment horizontal="left"/>
    </xf>
    <xf numFmtId="4" fontId="0" fillId="0" borderId="0" xfId="0" applyNumberFormat="1"/>
    <xf numFmtId="164" fontId="0" fillId="0" borderId="0" xfId="0" applyNumberFormat="1"/>
    <xf numFmtId="10" fontId="0" fillId="0" borderId="0" xfId="0" applyNumberFormat="1"/>
    <xf numFmtId="3" fontId="0" fillId="0" borderId="0" xfId="0" applyNumberFormat="1" applyAlignment="1">
      <alignment horizontal="left"/>
    </xf>
    <xf numFmtId="3" fontId="0" fillId="0" borderId="0" xfId="0" applyNumberFormat="1"/>
    <xf numFmtId="0" fontId="5" fillId="0" borderId="0" xfId="0" pivotButton="1" applyFont="1"/>
    <xf numFmtId="0" fontId="5" fillId="0" borderId="0" xfId="0" applyFont="1"/>
    <xf numFmtId="0" fontId="5" fillId="0" borderId="0" xfId="0" applyFont="1" applyAlignment="1">
      <alignment horizontal="left"/>
    </xf>
    <xf numFmtId="4" fontId="5" fillId="0" borderId="0" xfId="0" applyNumberFormat="1" applyFont="1"/>
    <xf numFmtId="3" fontId="5" fillId="0" borderId="0" xfId="0" applyNumberFormat="1" applyFont="1" applyAlignment="1">
      <alignment horizontal="left"/>
    </xf>
    <xf numFmtId="0" fontId="0" fillId="4" borderId="0" xfId="0" applyFill="1"/>
    <xf numFmtId="164" fontId="7" fillId="2" borderId="0" xfId="0" applyNumberFormat="1" applyFont="1" applyFill="1" applyAlignment="1">
      <alignment horizontal="center" vertical="center"/>
    </xf>
    <xf numFmtId="164" fontId="6" fillId="3" borderId="0" xfId="0" applyNumberFormat="1" applyFont="1" applyFill="1" applyAlignment="1">
      <alignment horizontal="center" vertical="center"/>
    </xf>
    <xf numFmtId="164" fontId="6" fillId="5" borderId="0" xfId="0" applyNumberFormat="1" applyFont="1" applyFill="1" applyAlignment="1">
      <alignment horizontal="center" vertical="center"/>
    </xf>
    <xf numFmtId="10" fontId="6" fillId="5" borderId="0" xfId="0" applyNumberFormat="1" applyFont="1" applyFill="1" applyAlignment="1">
      <alignment horizontal="center" vertical="center"/>
    </xf>
    <xf numFmtId="164" fontId="7" fillId="6" borderId="0" xfId="0" applyNumberFormat="1" applyFont="1" applyFill="1" applyAlignment="1">
      <alignment horizontal="center" vertical="center"/>
    </xf>
    <xf numFmtId="164" fontId="6" fillId="5" borderId="0" xfId="0" applyNumberFormat="1" applyFont="1" applyFill="1" applyAlignment="1">
      <alignment vertical="center"/>
    </xf>
    <xf numFmtId="164" fontId="8" fillId="6" borderId="0" xfId="0" applyNumberFormat="1" applyFont="1" applyFill="1" applyAlignment="1">
      <alignment horizontal="center" vertical="center"/>
    </xf>
  </cellXfs>
  <cellStyles count="2">
    <cellStyle name="Normal" xfId="0" builtinId="0"/>
    <cellStyle name="Normal 2" xfId="1" xr:uid="{00000000-0005-0000-0000-000001000000}"/>
  </cellStyles>
  <dxfs count="151">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font>
        <b/>
      </font>
    </dxf>
    <dxf>
      <numFmt numFmtId="14" formatCode="0.00%"/>
    </dxf>
    <dxf>
      <numFmt numFmtId="164" formatCode="&quot;$&quot;#,##0.00"/>
    </dxf>
    <dxf>
      <numFmt numFmtId="164" formatCode="&quot;$&quot;#,##0.00"/>
    </dxf>
    <dxf>
      <numFmt numFmtId="14" formatCode="0.00%"/>
    </dxf>
    <dxf>
      <numFmt numFmtId="164" formatCode="&quot;$&quot;#,##0.00"/>
    </dxf>
    <dxf>
      <numFmt numFmtId="164" formatCode="&quot;$&quot;#,##0.00"/>
    </dxf>
    <dxf>
      <numFmt numFmtId="164" formatCode="&quot;$&quot;#,##0.00"/>
    </dxf>
    <dxf>
      <numFmt numFmtId="164" formatCode="&quot;$&quot;#,##0.00"/>
    </dxf>
    <dxf>
      <numFmt numFmtId="164" formatCode="&quot;$&quot;#,##0.00"/>
    </dxf>
    <dxf>
      <numFmt numFmtId="14" formatCode="0.00%"/>
    </dxf>
    <dxf>
      <numFmt numFmtId="164" formatCode="&quot;$&quot;#,##0.00"/>
    </dxf>
    <dxf>
      <numFmt numFmtId="164" formatCode="&quot;$&quot;#,##0.00"/>
    </dxf>
    <dxf>
      <font>
        <b val="0"/>
        <i val="0"/>
        <strike val="0"/>
        <condense val="0"/>
        <extend val="0"/>
        <outline val="0"/>
        <shadow val="0"/>
        <u val="none"/>
        <vertAlign val="baseline"/>
        <sz val="8"/>
        <color indexed="8"/>
        <name val="Arial Unicode MS"/>
        <family val="2"/>
        <scheme val="none"/>
      </font>
      <alignment horizontal="left" vertical="top" textRotation="0" wrapText="0" indent="0" justifyLastLine="0" shrinkToFit="0" readingOrder="0"/>
    </dxf>
    <dxf>
      <font>
        <b val="0"/>
        <i val="0"/>
        <strike val="0"/>
        <condense val="0"/>
        <extend val="0"/>
        <outline val="0"/>
        <shadow val="0"/>
        <u val="none"/>
        <vertAlign val="baseline"/>
        <sz val="8"/>
        <color indexed="8"/>
        <name val="Arial Unicode MS"/>
        <family val="2"/>
        <scheme val="none"/>
      </font>
      <alignment horizontal="left" vertical="top" textRotation="0" wrapText="0" indent="0" justifyLastLine="0" shrinkToFit="0" readingOrder="0"/>
    </dxf>
    <dxf>
      <font>
        <b val="0"/>
        <i val="0"/>
        <strike val="0"/>
        <condense val="0"/>
        <extend val="0"/>
        <outline val="0"/>
        <shadow val="0"/>
        <u val="none"/>
        <vertAlign val="baseline"/>
        <sz val="8"/>
        <color indexed="8"/>
        <name val="Arial Unicode MS"/>
        <family val="2"/>
        <scheme val="none"/>
      </font>
      <alignment horizontal="left" vertical="top" textRotation="0" wrapText="0" indent="0" justifyLastLine="0" shrinkToFit="0" readingOrder="0"/>
    </dxf>
    <dxf>
      <font>
        <b/>
        <i val="0"/>
        <strike val="0"/>
        <condense val="0"/>
        <extend val="0"/>
        <outline val="0"/>
        <shadow val="0"/>
        <u val="none"/>
        <vertAlign val="baseline"/>
        <sz val="8"/>
        <color indexed="8"/>
        <name val="Arial Unicode MS"/>
        <scheme val="none"/>
      </font>
      <alignment horizontal="left" vertical="top" textRotation="0" wrapText="0" indent="0" justifyLastLine="0" shrinkToFit="0" readingOrder="0"/>
    </dxf>
    <dxf>
      <font>
        <b val="0"/>
        <i val="0"/>
        <strike val="0"/>
        <condense val="0"/>
        <extend val="0"/>
        <outline val="0"/>
        <shadow val="0"/>
        <u val="none"/>
        <vertAlign val="baseline"/>
        <sz val="8"/>
        <color indexed="8"/>
        <name val="Arial Unicode MS"/>
        <family val="2"/>
        <scheme val="none"/>
      </font>
      <alignment horizontal="left" vertical="top" textRotation="0" wrapText="0" indent="0" justifyLastLine="0" shrinkToFit="0" readingOrder="0"/>
    </dxf>
    <dxf>
      <font>
        <b val="0"/>
        <i val="0"/>
        <strike val="0"/>
        <condense val="0"/>
        <extend val="0"/>
        <outline val="0"/>
        <shadow val="0"/>
        <u val="none"/>
        <vertAlign val="baseline"/>
        <sz val="8"/>
        <color indexed="8"/>
        <name val="Arial Unicode MS"/>
        <family val="2"/>
        <scheme val="none"/>
      </font>
      <alignment horizontal="left" vertical="top" textRotation="0" wrapText="0" indent="0" justifyLastLine="0" shrinkToFit="0" readingOrder="0"/>
    </dxf>
    <dxf>
      <font>
        <b val="0"/>
        <i val="0"/>
        <strike val="0"/>
        <condense val="0"/>
        <extend val="0"/>
        <outline val="0"/>
        <shadow val="0"/>
        <u val="none"/>
        <vertAlign val="baseline"/>
        <sz val="8"/>
        <color indexed="8"/>
        <name val="Arial Unicode MS"/>
        <family val="2"/>
        <scheme val="none"/>
      </font>
      <alignment horizontal="left" vertical="top" textRotation="0" wrapText="0" indent="0" justifyLastLine="0" shrinkToFit="0" readingOrder="0"/>
    </dxf>
    <dxf>
      <font>
        <b/>
        <i val="0"/>
        <strike val="0"/>
        <condense val="0"/>
        <extend val="0"/>
        <outline val="0"/>
        <shadow val="0"/>
        <u val="none"/>
        <vertAlign val="baseline"/>
        <sz val="8"/>
        <color indexed="8"/>
        <name val="Arial Unicode MS"/>
        <scheme val="none"/>
      </font>
      <alignment horizontal="left" vertical="top" textRotation="0" wrapText="0" indent="0" justifyLastLine="0" shrinkToFit="0" readingOrder="0"/>
    </dxf>
    <dxf>
      <font>
        <b val="0"/>
        <i val="0"/>
        <strike val="0"/>
        <condense val="0"/>
        <extend val="0"/>
        <outline val="0"/>
        <shadow val="0"/>
        <u val="none"/>
        <vertAlign val="baseline"/>
        <sz val="8"/>
        <color indexed="8"/>
        <name val="Arial Unicode MS"/>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8"/>
        <color indexed="8"/>
        <name val="Arial Unicode MS"/>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8"/>
        <color indexed="8"/>
        <name val="Arial Unicode MS"/>
        <family val="2"/>
        <scheme val="none"/>
      </font>
      <alignment horizontal="left" vertical="top" textRotation="0" wrapText="0" indent="0" justifyLastLine="0" shrinkToFit="0" readingOrder="0"/>
    </dxf>
    <dxf>
      <font>
        <b val="0"/>
        <i val="0"/>
        <strike val="0"/>
        <condense val="0"/>
        <extend val="0"/>
        <outline val="0"/>
        <shadow val="0"/>
        <u val="none"/>
        <vertAlign val="baseline"/>
        <sz val="8"/>
        <color indexed="8"/>
        <name val="Arial Unicode MS"/>
        <family val="2"/>
        <scheme val="none"/>
      </font>
      <alignment horizontal="left" vertical="top" textRotation="0" wrapText="0" indent="0" justifyLastLine="0" shrinkToFit="0" readingOrder="0"/>
    </dxf>
    <dxf>
      <font>
        <b val="0"/>
        <i val="0"/>
        <strike val="0"/>
        <condense val="0"/>
        <extend val="0"/>
        <outline val="0"/>
        <shadow val="0"/>
        <u val="none"/>
        <vertAlign val="baseline"/>
        <sz val="8"/>
        <color indexed="8"/>
        <name val="Arial Unicode MS"/>
        <family val="2"/>
        <scheme val="none"/>
      </font>
      <alignment horizontal="left" vertical="top" textRotation="0" wrapText="0" indent="0" justifyLastLine="0" shrinkToFit="0" readingOrder="0"/>
    </dxf>
    <dxf>
      <font>
        <b val="0"/>
        <i val="0"/>
        <strike val="0"/>
        <condense val="0"/>
        <extend val="0"/>
        <outline val="0"/>
        <shadow val="0"/>
        <u val="none"/>
        <vertAlign val="baseline"/>
        <sz val="8"/>
        <color indexed="8"/>
        <name val="Arial Unicode MS"/>
        <family val="2"/>
        <scheme val="none"/>
      </font>
      <alignment horizontal="left" vertical="top" textRotation="0" wrapText="0" indent="0" justifyLastLine="0" shrinkToFit="0" readingOrder="0"/>
    </dxf>
    <dxf>
      <font>
        <b val="0"/>
        <i val="0"/>
        <strike val="0"/>
        <condense val="0"/>
        <extend val="0"/>
        <outline val="0"/>
        <shadow val="0"/>
        <u val="none"/>
        <vertAlign val="baseline"/>
        <sz val="8"/>
        <color indexed="8"/>
        <name val="Arial Unicode MS"/>
        <family val="2"/>
        <scheme val="none"/>
      </font>
      <alignment horizontal="left" vertical="top" textRotation="0" wrapText="0" indent="0" justifyLastLine="0" shrinkToFit="0" readingOrder="0"/>
    </dxf>
    <dxf>
      <font>
        <b val="0"/>
        <i val="0"/>
        <strike val="0"/>
        <condense val="0"/>
        <extend val="0"/>
        <outline val="0"/>
        <shadow val="0"/>
        <u val="none"/>
        <vertAlign val="baseline"/>
        <sz val="8"/>
        <color indexed="8"/>
        <name val="Arial Unicode MS"/>
        <family val="2"/>
        <scheme val="none"/>
      </font>
      <alignment horizontal="left" vertical="top" textRotation="0" wrapText="0" indent="0" justifyLastLine="0" shrinkToFit="0" readingOrder="0"/>
    </dxf>
    <dxf>
      <font>
        <b val="0"/>
        <i val="0"/>
        <strike val="0"/>
        <condense val="0"/>
        <extend val="0"/>
        <outline val="0"/>
        <shadow val="0"/>
        <u val="none"/>
        <vertAlign val="baseline"/>
        <sz val="8"/>
        <color indexed="8"/>
        <name val="Arial Unicode MS"/>
        <family val="2"/>
        <scheme val="none"/>
      </font>
      <alignment horizontal="left" vertical="top" textRotation="0" wrapText="0" indent="0" justifyLastLine="0" shrinkToFit="0" readingOrder="0"/>
    </dxf>
    <dxf>
      <border outline="0">
        <bottom style="thin">
          <color indexed="8"/>
        </bottom>
      </border>
    </dxf>
    <dxf>
      <font>
        <b/>
        <i val="0"/>
        <strike val="0"/>
        <condense val="0"/>
        <extend val="0"/>
        <outline val="0"/>
        <shadow val="0"/>
        <u val="none"/>
        <vertAlign val="baseline"/>
        <sz val="8"/>
        <color indexed="8"/>
        <name val="Arial Unicode MS"/>
        <family val="2"/>
        <scheme val="none"/>
      </font>
      <alignment horizontal="left" vertical="top" textRotation="0" wrapText="1" indent="0" justifyLastLine="0" shrinkToFit="0" readingOrder="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5.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10.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2.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9.xml"/><Relationship Id="rId1" Type="http://schemas.microsoft.com/office/2011/relationships/chartStyle" Target="style9.xml"/></Relationships>
</file>

<file path=xl/charts/_rels/chart13.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5.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6.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[Finanzas.xlsx]Sheet1!Paises</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Sheet1!$L$3</c:f>
              <c:strCache>
                <c:ptCount val="1"/>
                <c:pt idx="0">
                  <c:v>$ Ingresos</c:v>
                </c:pt>
              </c:strCache>
            </c:strRef>
          </c:tx>
          <c:spPr>
            <a:solidFill>
              <a:schemeClr val="accent1"/>
            </a:solidFill>
            <a:ln>
              <a:noFill/>
            </a:ln>
            <a:effectLst/>
          </c:spPr>
          <c:invertIfNegative val="0"/>
          <c:cat>
            <c:strRef>
              <c:f>Sheet1!$K$4:$K$10</c:f>
              <c:strCache>
                <c:ptCount val="6"/>
                <c:pt idx="0">
                  <c:v>Chile</c:v>
                </c:pt>
                <c:pt idx="1">
                  <c:v>Canada</c:v>
                </c:pt>
                <c:pt idx="2">
                  <c:v>Peru</c:v>
                </c:pt>
                <c:pt idx="3">
                  <c:v>Mexico</c:v>
                </c:pt>
                <c:pt idx="4">
                  <c:v>Argentina</c:v>
                </c:pt>
                <c:pt idx="5">
                  <c:v>Colombia</c:v>
                </c:pt>
              </c:strCache>
            </c:strRef>
          </c:cat>
          <c:val>
            <c:numRef>
              <c:f>Sheet1!$L$4:$L$10</c:f>
              <c:numCache>
                <c:formatCode>"$"#,##0.00</c:formatCode>
                <c:ptCount val="6"/>
                <c:pt idx="0">
                  <c:v>233798.49</c:v>
                </c:pt>
                <c:pt idx="1">
                  <c:v>204468.85000000006</c:v>
                </c:pt>
                <c:pt idx="2">
                  <c:v>160864.46999999997</c:v>
                </c:pt>
                <c:pt idx="3">
                  <c:v>111986.98999999998</c:v>
                </c:pt>
                <c:pt idx="4">
                  <c:v>94878.99</c:v>
                </c:pt>
                <c:pt idx="5">
                  <c:v>90142.870000000024</c:v>
                </c:pt>
              </c:numCache>
            </c:numRef>
          </c:val>
          <c:extLst>
            <c:ext xmlns:c16="http://schemas.microsoft.com/office/drawing/2014/chart" uri="{C3380CC4-5D6E-409C-BE32-E72D297353CC}">
              <c16:uniqueId val="{00000000-1F20-4662-8FEE-682BEEB2350B}"/>
            </c:ext>
          </c:extLst>
        </c:ser>
        <c:ser>
          <c:idx val="1"/>
          <c:order val="1"/>
          <c:tx>
            <c:strRef>
              <c:f>Sheet1!$M$3</c:f>
              <c:strCache>
                <c:ptCount val="1"/>
                <c:pt idx="0">
                  <c:v>$ Utilidad</c:v>
                </c:pt>
              </c:strCache>
            </c:strRef>
          </c:tx>
          <c:spPr>
            <a:solidFill>
              <a:schemeClr val="accent3"/>
            </a:solidFill>
            <a:ln>
              <a:noFill/>
            </a:ln>
            <a:effectLst/>
          </c:spPr>
          <c:invertIfNegative val="0"/>
          <c:cat>
            <c:strRef>
              <c:f>Sheet1!$K$4:$K$10</c:f>
              <c:strCache>
                <c:ptCount val="6"/>
                <c:pt idx="0">
                  <c:v>Chile</c:v>
                </c:pt>
                <c:pt idx="1">
                  <c:v>Canada</c:v>
                </c:pt>
                <c:pt idx="2">
                  <c:v>Peru</c:v>
                </c:pt>
                <c:pt idx="3">
                  <c:v>Mexico</c:v>
                </c:pt>
                <c:pt idx="4">
                  <c:v>Argentina</c:v>
                </c:pt>
                <c:pt idx="5">
                  <c:v>Colombia</c:v>
                </c:pt>
              </c:strCache>
            </c:strRef>
          </c:cat>
          <c:val>
            <c:numRef>
              <c:f>Sheet1!$M$4:$M$10</c:f>
              <c:numCache>
                <c:formatCode>General</c:formatCode>
                <c:ptCount val="6"/>
                <c:pt idx="0">
                  <c:v>96111.030000000086</c:v>
                </c:pt>
                <c:pt idx="1">
                  <c:v>108654.40000000008</c:v>
                </c:pt>
                <c:pt idx="2">
                  <c:v>71543.670000000013</c:v>
                </c:pt>
                <c:pt idx="3">
                  <c:v>55407.600000000028</c:v>
                </c:pt>
                <c:pt idx="4">
                  <c:v>48404.390000000029</c:v>
                </c:pt>
                <c:pt idx="5">
                  <c:v>44999.969999999979</c:v>
                </c:pt>
              </c:numCache>
            </c:numRef>
          </c:val>
          <c:extLst>
            <c:ext xmlns:c16="http://schemas.microsoft.com/office/drawing/2014/chart" uri="{C3380CC4-5D6E-409C-BE32-E72D297353CC}">
              <c16:uniqueId val="{00000001-1F20-4662-8FEE-682BEEB2350B}"/>
            </c:ext>
          </c:extLst>
        </c:ser>
        <c:dLbls>
          <c:showLegendKey val="0"/>
          <c:showVal val="0"/>
          <c:showCatName val="0"/>
          <c:showSerName val="0"/>
          <c:showPercent val="0"/>
          <c:showBubbleSize val="0"/>
        </c:dLbls>
        <c:gapWidth val="219"/>
        <c:overlap val="-27"/>
        <c:axId val="547358720"/>
        <c:axId val="547356800"/>
      </c:barChart>
      <c:lineChart>
        <c:grouping val="standard"/>
        <c:varyColors val="0"/>
        <c:ser>
          <c:idx val="2"/>
          <c:order val="2"/>
          <c:tx>
            <c:strRef>
              <c:f>Sheet1!$N$3</c:f>
              <c:strCache>
                <c:ptCount val="1"/>
                <c:pt idx="0">
                  <c:v>% Margen</c:v>
                </c:pt>
              </c:strCache>
            </c:strRef>
          </c:tx>
          <c:spPr>
            <a:ln w="28575" cap="rnd">
              <a:solidFill>
                <a:schemeClr val="accent5"/>
              </a:solidFill>
              <a:round/>
            </a:ln>
            <a:effectLst/>
          </c:spPr>
          <c:marker>
            <c:symbol val="none"/>
          </c:marker>
          <c:cat>
            <c:strRef>
              <c:f>Sheet1!$K$4:$K$10</c:f>
              <c:strCache>
                <c:ptCount val="6"/>
                <c:pt idx="0">
                  <c:v>Chile</c:v>
                </c:pt>
                <c:pt idx="1">
                  <c:v>Canada</c:v>
                </c:pt>
                <c:pt idx="2">
                  <c:v>Peru</c:v>
                </c:pt>
                <c:pt idx="3">
                  <c:v>Mexico</c:v>
                </c:pt>
                <c:pt idx="4">
                  <c:v>Argentina</c:v>
                </c:pt>
                <c:pt idx="5">
                  <c:v>Colombia</c:v>
                </c:pt>
              </c:strCache>
            </c:strRef>
          </c:cat>
          <c:val>
            <c:numRef>
              <c:f>Sheet1!$N$4:$N$10</c:f>
              <c:numCache>
                <c:formatCode>0.00%</c:formatCode>
                <c:ptCount val="6"/>
                <c:pt idx="0">
                  <c:v>0.41108490478274728</c:v>
                </c:pt>
                <c:pt idx="1">
                  <c:v>0.53139830345795969</c:v>
                </c:pt>
                <c:pt idx="2">
                  <c:v>0.44474500801824063</c:v>
                </c:pt>
                <c:pt idx="3">
                  <c:v>0.49476818691171215</c:v>
                </c:pt>
                <c:pt idx="4">
                  <c:v>0.51016974358601441</c:v>
                </c:pt>
                <c:pt idx="5">
                  <c:v>0.49920720296569177</c:v>
                </c:pt>
              </c:numCache>
            </c:numRef>
          </c:val>
          <c:smooth val="0"/>
          <c:extLst>
            <c:ext xmlns:c16="http://schemas.microsoft.com/office/drawing/2014/chart" uri="{C3380CC4-5D6E-409C-BE32-E72D297353CC}">
              <c16:uniqueId val="{00000002-1F20-4662-8FEE-682BEEB2350B}"/>
            </c:ext>
          </c:extLst>
        </c:ser>
        <c:dLbls>
          <c:showLegendKey val="0"/>
          <c:showVal val="0"/>
          <c:showCatName val="0"/>
          <c:showSerName val="0"/>
          <c:showPercent val="0"/>
          <c:showBubbleSize val="0"/>
        </c:dLbls>
        <c:marker val="1"/>
        <c:smooth val="0"/>
        <c:axId val="1461079664"/>
        <c:axId val="1461066224"/>
      </c:lineChart>
      <c:catAx>
        <c:axId val="54735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356800"/>
        <c:crosses val="autoZero"/>
        <c:auto val="1"/>
        <c:lblAlgn val="ctr"/>
        <c:lblOffset val="100"/>
        <c:noMultiLvlLbl val="0"/>
      </c:catAx>
      <c:valAx>
        <c:axId val="547356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358720"/>
        <c:crosses val="autoZero"/>
        <c:crossBetween val="between"/>
      </c:valAx>
      <c:valAx>
        <c:axId val="1461066224"/>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079664"/>
        <c:crosses val="max"/>
        <c:crossBetween val="between"/>
      </c:valAx>
      <c:catAx>
        <c:axId val="1461079664"/>
        <c:scaling>
          <c:orientation val="minMax"/>
        </c:scaling>
        <c:delete val="1"/>
        <c:axPos val="b"/>
        <c:numFmt formatCode="General" sourceLinked="1"/>
        <c:majorTickMark val="out"/>
        <c:minorTickMark val="none"/>
        <c:tickLblPos val="nextTo"/>
        <c:crossAx val="14610662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[Finanzas.xlsx]Sheet1!Cliente</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Sheet1!$G$3</c:f>
              <c:strCache>
                <c:ptCount val="1"/>
                <c:pt idx="0">
                  <c:v>Sum of Ingresos</c:v>
                </c:pt>
              </c:strCache>
            </c:strRef>
          </c:tx>
          <c:spPr>
            <a:solidFill>
              <a:schemeClr val="accent1"/>
            </a:solidFill>
            <a:ln>
              <a:noFill/>
            </a:ln>
            <a:effectLst/>
          </c:spPr>
          <c:invertIfNegative val="0"/>
          <c:cat>
            <c:strRef>
              <c:f>Sheet1!$F$4:$F$14</c:f>
              <c:strCache>
                <c:ptCount val="10"/>
                <c:pt idx="0">
                  <c:v>Bernhard, Gorczany and Prosacco</c:v>
                </c:pt>
                <c:pt idx="1">
                  <c:v>Breitenberg-Mosciski</c:v>
                </c:pt>
                <c:pt idx="2">
                  <c:v>Davis-Roob</c:v>
                </c:pt>
                <c:pt idx="3">
                  <c:v>Emmerich LLC</c:v>
                </c:pt>
                <c:pt idx="4">
                  <c:v>Haley Inc</c:v>
                </c:pt>
                <c:pt idx="5">
                  <c:v>Herzog-Gusikowski</c:v>
                </c:pt>
                <c:pt idx="6">
                  <c:v>Jones &amp; Sons</c:v>
                </c:pt>
                <c:pt idx="7">
                  <c:v>Jones, Hilpert and Dach</c:v>
                </c:pt>
                <c:pt idx="8">
                  <c:v>Monahan-Tromp</c:v>
                </c:pt>
                <c:pt idx="9">
                  <c:v>Stokes, Lind and Jacobs</c:v>
                </c:pt>
              </c:strCache>
            </c:strRef>
          </c:cat>
          <c:val>
            <c:numRef>
              <c:f>Sheet1!$G$4:$G$14</c:f>
              <c:numCache>
                <c:formatCode>"$"#,##0.00</c:formatCode>
                <c:ptCount val="10"/>
                <c:pt idx="0">
                  <c:v>57518.96</c:v>
                </c:pt>
                <c:pt idx="1">
                  <c:v>268565.8</c:v>
                </c:pt>
                <c:pt idx="2">
                  <c:v>80292.55</c:v>
                </c:pt>
                <c:pt idx="3">
                  <c:v>102995.76</c:v>
                </c:pt>
                <c:pt idx="4">
                  <c:v>47453.1</c:v>
                </c:pt>
                <c:pt idx="5">
                  <c:v>39543.4</c:v>
                </c:pt>
                <c:pt idx="6">
                  <c:v>353024.02999999991</c:v>
                </c:pt>
                <c:pt idx="7">
                  <c:v>42328.12</c:v>
                </c:pt>
                <c:pt idx="8">
                  <c:v>218826.78</c:v>
                </c:pt>
                <c:pt idx="9">
                  <c:v>88089.98</c:v>
                </c:pt>
              </c:numCache>
            </c:numRef>
          </c:val>
          <c:extLst>
            <c:ext xmlns:c16="http://schemas.microsoft.com/office/drawing/2014/chart" uri="{C3380CC4-5D6E-409C-BE32-E72D297353CC}">
              <c16:uniqueId val="{00000000-1F20-4662-8FEE-682BEEB2350B}"/>
            </c:ext>
          </c:extLst>
        </c:ser>
        <c:ser>
          <c:idx val="1"/>
          <c:order val="1"/>
          <c:tx>
            <c:strRef>
              <c:f>Sheet1!$H$3</c:f>
              <c:strCache>
                <c:ptCount val="1"/>
                <c:pt idx="0">
                  <c:v>Sum of Utilidad</c:v>
                </c:pt>
              </c:strCache>
            </c:strRef>
          </c:tx>
          <c:spPr>
            <a:solidFill>
              <a:schemeClr val="accent3"/>
            </a:solidFill>
            <a:ln>
              <a:noFill/>
            </a:ln>
            <a:effectLst/>
          </c:spPr>
          <c:invertIfNegative val="0"/>
          <c:cat>
            <c:strRef>
              <c:f>Sheet1!$F$4:$F$14</c:f>
              <c:strCache>
                <c:ptCount val="10"/>
                <c:pt idx="0">
                  <c:v>Bernhard, Gorczany and Prosacco</c:v>
                </c:pt>
                <c:pt idx="1">
                  <c:v>Breitenberg-Mosciski</c:v>
                </c:pt>
                <c:pt idx="2">
                  <c:v>Davis-Roob</c:v>
                </c:pt>
                <c:pt idx="3">
                  <c:v>Emmerich LLC</c:v>
                </c:pt>
                <c:pt idx="4">
                  <c:v>Haley Inc</c:v>
                </c:pt>
                <c:pt idx="5">
                  <c:v>Herzog-Gusikowski</c:v>
                </c:pt>
                <c:pt idx="6">
                  <c:v>Jones &amp; Sons</c:v>
                </c:pt>
                <c:pt idx="7">
                  <c:v>Jones, Hilpert and Dach</c:v>
                </c:pt>
                <c:pt idx="8">
                  <c:v>Monahan-Tromp</c:v>
                </c:pt>
                <c:pt idx="9">
                  <c:v>Stokes, Lind and Jacobs</c:v>
                </c:pt>
              </c:strCache>
            </c:strRef>
          </c:cat>
          <c:val>
            <c:numRef>
              <c:f>Sheet1!$H$4:$H$14</c:f>
              <c:numCache>
                <c:formatCode>"$"#,##0.00</c:formatCode>
                <c:ptCount val="10"/>
                <c:pt idx="0">
                  <c:v>31810.33</c:v>
                </c:pt>
                <c:pt idx="1">
                  <c:v>144703.24</c:v>
                </c:pt>
                <c:pt idx="2">
                  <c:v>35421.129999999968</c:v>
                </c:pt>
                <c:pt idx="3">
                  <c:v>48792.909999999982</c:v>
                </c:pt>
                <c:pt idx="4">
                  <c:v>28816.749999999996</c:v>
                </c:pt>
                <c:pt idx="5">
                  <c:v>23545.380000000005</c:v>
                </c:pt>
                <c:pt idx="6">
                  <c:v>105313.49999999974</c:v>
                </c:pt>
                <c:pt idx="7">
                  <c:v>21316.810000000009</c:v>
                </c:pt>
                <c:pt idx="8">
                  <c:v>84372.839999999967</c:v>
                </c:pt>
                <c:pt idx="9">
                  <c:v>35324.94</c:v>
                </c:pt>
              </c:numCache>
            </c:numRef>
          </c:val>
          <c:extLst>
            <c:ext xmlns:c16="http://schemas.microsoft.com/office/drawing/2014/chart" uri="{C3380CC4-5D6E-409C-BE32-E72D297353CC}">
              <c16:uniqueId val="{00000001-1F20-4662-8FEE-682BEEB2350B}"/>
            </c:ext>
          </c:extLst>
        </c:ser>
        <c:dLbls>
          <c:showLegendKey val="0"/>
          <c:showVal val="0"/>
          <c:showCatName val="0"/>
          <c:showSerName val="0"/>
          <c:showPercent val="0"/>
          <c:showBubbleSize val="0"/>
        </c:dLbls>
        <c:gapWidth val="219"/>
        <c:overlap val="-27"/>
        <c:axId val="547358720"/>
        <c:axId val="547356800"/>
      </c:barChart>
      <c:lineChart>
        <c:grouping val="standard"/>
        <c:varyColors val="0"/>
        <c:ser>
          <c:idx val="2"/>
          <c:order val="2"/>
          <c:tx>
            <c:strRef>
              <c:f>Sheet1!$I$3</c:f>
              <c:strCache>
                <c:ptCount val="1"/>
                <c:pt idx="0">
                  <c:v>Sum of Margen</c:v>
                </c:pt>
              </c:strCache>
            </c:strRef>
          </c:tx>
          <c:spPr>
            <a:ln w="28575" cap="rnd">
              <a:solidFill>
                <a:schemeClr val="accent5"/>
              </a:solidFill>
              <a:round/>
            </a:ln>
            <a:effectLst/>
          </c:spPr>
          <c:marker>
            <c:symbol val="none"/>
          </c:marker>
          <c:cat>
            <c:strRef>
              <c:f>Sheet1!$F$4:$F$14</c:f>
              <c:strCache>
                <c:ptCount val="10"/>
                <c:pt idx="0">
                  <c:v>Bernhard, Gorczany and Prosacco</c:v>
                </c:pt>
                <c:pt idx="1">
                  <c:v>Breitenberg-Mosciski</c:v>
                </c:pt>
                <c:pt idx="2">
                  <c:v>Davis-Roob</c:v>
                </c:pt>
                <c:pt idx="3">
                  <c:v>Emmerich LLC</c:v>
                </c:pt>
                <c:pt idx="4">
                  <c:v>Haley Inc</c:v>
                </c:pt>
                <c:pt idx="5">
                  <c:v>Herzog-Gusikowski</c:v>
                </c:pt>
                <c:pt idx="6">
                  <c:v>Jones &amp; Sons</c:v>
                </c:pt>
                <c:pt idx="7">
                  <c:v>Jones, Hilpert and Dach</c:v>
                </c:pt>
                <c:pt idx="8">
                  <c:v>Monahan-Tromp</c:v>
                </c:pt>
                <c:pt idx="9">
                  <c:v>Stokes, Lind and Jacobs</c:v>
                </c:pt>
              </c:strCache>
            </c:strRef>
          </c:cat>
          <c:val>
            <c:numRef>
              <c:f>Sheet1!$I$4:$I$14</c:f>
              <c:numCache>
                <c:formatCode>0.00%</c:formatCode>
                <c:ptCount val="10"/>
                <c:pt idx="0">
                  <c:v>0.55304077125177509</c:v>
                </c:pt>
                <c:pt idx="1">
                  <c:v>0.53879995144579096</c:v>
                </c:pt>
                <c:pt idx="2">
                  <c:v>0.44115089133425167</c:v>
                </c:pt>
                <c:pt idx="3">
                  <c:v>0.47373707422519123</c:v>
                </c:pt>
                <c:pt idx="4">
                  <c:v>0.60726801831703292</c:v>
                </c:pt>
                <c:pt idx="5">
                  <c:v>0.59543134884708959</c:v>
                </c:pt>
                <c:pt idx="6">
                  <c:v>0.29831821930082142</c:v>
                </c:pt>
                <c:pt idx="7">
                  <c:v>0.50360871212801339</c:v>
                </c:pt>
                <c:pt idx="8">
                  <c:v>0.38556907888513448</c:v>
                </c:pt>
                <c:pt idx="9">
                  <c:v>0.40100974026784891</c:v>
                </c:pt>
              </c:numCache>
            </c:numRef>
          </c:val>
          <c:smooth val="0"/>
          <c:extLst>
            <c:ext xmlns:c16="http://schemas.microsoft.com/office/drawing/2014/chart" uri="{C3380CC4-5D6E-409C-BE32-E72D297353CC}">
              <c16:uniqueId val="{00000002-1F20-4662-8FEE-682BEEB2350B}"/>
            </c:ext>
          </c:extLst>
        </c:ser>
        <c:dLbls>
          <c:showLegendKey val="0"/>
          <c:showVal val="0"/>
          <c:showCatName val="0"/>
          <c:showSerName val="0"/>
          <c:showPercent val="0"/>
          <c:showBubbleSize val="0"/>
        </c:dLbls>
        <c:marker val="1"/>
        <c:smooth val="0"/>
        <c:axId val="1461079664"/>
        <c:axId val="1461066224"/>
      </c:lineChart>
      <c:catAx>
        <c:axId val="54735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356800"/>
        <c:crosses val="autoZero"/>
        <c:auto val="1"/>
        <c:lblAlgn val="ctr"/>
        <c:lblOffset val="100"/>
        <c:noMultiLvlLbl val="0"/>
      </c:catAx>
      <c:valAx>
        <c:axId val="547356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358720"/>
        <c:crosses val="autoZero"/>
        <c:crossBetween val="between"/>
      </c:valAx>
      <c:valAx>
        <c:axId val="1461066224"/>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079664"/>
        <c:crosses val="max"/>
        <c:crossBetween val="between"/>
      </c:valAx>
      <c:catAx>
        <c:axId val="1461079664"/>
        <c:scaling>
          <c:orientation val="minMax"/>
        </c:scaling>
        <c:delete val="1"/>
        <c:axPos val="b"/>
        <c:numFmt formatCode="General" sourceLinked="1"/>
        <c:majorTickMark val="out"/>
        <c:minorTickMark val="none"/>
        <c:tickLblPos val="nextTo"/>
        <c:crossAx val="14610662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[Finanzas.xlsx]Sheet1!Producto</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Sum of Ingresos</c:v>
                </c:pt>
              </c:strCache>
            </c:strRef>
          </c:tx>
          <c:spPr>
            <a:solidFill>
              <a:schemeClr val="accent1"/>
            </a:solidFill>
            <a:ln>
              <a:noFill/>
            </a:ln>
            <a:effectLst/>
          </c:spPr>
          <c:invertIfNegative val="0"/>
          <c:cat>
            <c:strRef>
              <c:f>Sheet1!$A$4:$A$9</c:f>
              <c:strCache>
                <c:ptCount val="5"/>
                <c:pt idx="0">
                  <c:v>Cream - 10%</c:v>
                </c:pt>
                <c:pt idx="1">
                  <c:v>Wild Mix 3#/cs</c:v>
                </c:pt>
                <c:pt idx="2">
                  <c:v>Thyme - Fresh</c:v>
                </c:pt>
                <c:pt idx="3">
                  <c:v>Evaporated Milk - Skim</c:v>
                </c:pt>
                <c:pt idx="4">
                  <c:v>Muffin Batt - Choc Chk</c:v>
                </c:pt>
              </c:strCache>
            </c:strRef>
          </c:cat>
          <c:val>
            <c:numRef>
              <c:f>Sheet1!$B$4:$B$9</c:f>
              <c:numCache>
                <c:formatCode>"$"#,##0.00</c:formatCode>
                <c:ptCount val="5"/>
                <c:pt idx="0">
                  <c:v>155040</c:v>
                </c:pt>
                <c:pt idx="1">
                  <c:v>144150.96000000002</c:v>
                </c:pt>
                <c:pt idx="2">
                  <c:v>103506.08</c:v>
                </c:pt>
                <c:pt idx="3">
                  <c:v>82995.5</c:v>
                </c:pt>
                <c:pt idx="4">
                  <c:v>72564</c:v>
                </c:pt>
              </c:numCache>
            </c:numRef>
          </c:val>
          <c:extLst>
            <c:ext xmlns:c16="http://schemas.microsoft.com/office/drawing/2014/chart" uri="{C3380CC4-5D6E-409C-BE32-E72D297353CC}">
              <c16:uniqueId val="{00000000-1F20-4662-8FEE-682BEEB2350B}"/>
            </c:ext>
          </c:extLst>
        </c:ser>
        <c:ser>
          <c:idx val="1"/>
          <c:order val="1"/>
          <c:tx>
            <c:strRef>
              <c:f>Sheet1!$C$3</c:f>
              <c:strCache>
                <c:ptCount val="1"/>
                <c:pt idx="0">
                  <c:v>Sum of Utilidad</c:v>
                </c:pt>
              </c:strCache>
            </c:strRef>
          </c:tx>
          <c:spPr>
            <a:solidFill>
              <a:schemeClr val="accent3"/>
            </a:solidFill>
            <a:ln>
              <a:noFill/>
            </a:ln>
            <a:effectLst/>
          </c:spPr>
          <c:invertIfNegative val="0"/>
          <c:cat>
            <c:strRef>
              <c:f>Sheet1!$A$4:$A$9</c:f>
              <c:strCache>
                <c:ptCount val="5"/>
                <c:pt idx="0">
                  <c:v>Cream - 10%</c:v>
                </c:pt>
                <c:pt idx="1">
                  <c:v>Wild Mix 3#/cs</c:v>
                </c:pt>
                <c:pt idx="2">
                  <c:v>Thyme - Fresh</c:v>
                </c:pt>
                <c:pt idx="3">
                  <c:v>Evaporated Milk - Skim</c:v>
                </c:pt>
                <c:pt idx="4">
                  <c:v>Muffin Batt - Choc Chk</c:v>
                </c:pt>
              </c:strCache>
            </c:strRef>
          </c:cat>
          <c:val>
            <c:numRef>
              <c:f>Sheet1!$C$4:$C$9</c:f>
              <c:numCache>
                <c:formatCode>"$"#,##0.00</c:formatCode>
                <c:ptCount val="5"/>
                <c:pt idx="0">
                  <c:v>2770.0899999999965</c:v>
                </c:pt>
                <c:pt idx="1">
                  <c:v>49779.320000000022</c:v>
                </c:pt>
                <c:pt idx="2">
                  <c:v>66968.62</c:v>
                </c:pt>
                <c:pt idx="3">
                  <c:v>28283.07</c:v>
                </c:pt>
                <c:pt idx="4">
                  <c:v>19359.18</c:v>
                </c:pt>
              </c:numCache>
            </c:numRef>
          </c:val>
          <c:extLst>
            <c:ext xmlns:c16="http://schemas.microsoft.com/office/drawing/2014/chart" uri="{C3380CC4-5D6E-409C-BE32-E72D297353CC}">
              <c16:uniqueId val="{00000001-1F20-4662-8FEE-682BEEB2350B}"/>
            </c:ext>
          </c:extLst>
        </c:ser>
        <c:dLbls>
          <c:showLegendKey val="0"/>
          <c:showVal val="0"/>
          <c:showCatName val="0"/>
          <c:showSerName val="0"/>
          <c:showPercent val="0"/>
          <c:showBubbleSize val="0"/>
        </c:dLbls>
        <c:gapWidth val="219"/>
        <c:overlap val="-27"/>
        <c:axId val="547358720"/>
        <c:axId val="547356800"/>
      </c:barChart>
      <c:lineChart>
        <c:grouping val="standard"/>
        <c:varyColors val="0"/>
        <c:ser>
          <c:idx val="2"/>
          <c:order val="2"/>
          <c:tx>
            <c:strRef>
              <c:f>Sheet1!$D$3</c:f>
              <c:strCache>
                <c:ptCount val="1"/>
                <c:pt idx="0">
                  <c:v>Sum of Margen</c:v>
                </c:pt>
              </c:strCache>
            </c:strRef>
          </c:tx>
          <c:spPr>
            <a:ln w="28575" cap="rnd">
              <a:solidFill>
                <a:schemeClr val="accent5"/>
              </a:solidFill>
              <a:round/>
            </a:ln>
            <a:effectLst/>
          </c:spPr>
          <c:marker>
            <c:symbol val="none"/>
          </c:marker>
          <c:cat>
            <c:strRef>
              <c:f>Sheet1!$A$4:$A$9</c:f>
              <c:strCache>
                <c:ptCount val="5"/>
                <c:pt idx="0">
                  <c:v>Cream - 10%</c:v>
                </c:pt>
                <c:pt idx="1">
                  <c:v>Wild Mix 3#/cs</c:v>
                </c:pt>
                <c:pt idx="2">
                  <c:v>Thyme - Fresh</c:v>
                </c:pt>
                <c:pt idx="3">
                  <c:v>Evaporated Milk - Skim</c:v>
                </c:pt>
                <c:pt idx="4">
                  <c:v>Muffin Batt - Choc Chk</c:v>
                </c:pt>
              </c:strCache>
            </c:strRef>
          </c:cat>
          <c:val>
            <c:numRef>
              <c:f>Sheet1!$D$4:$D$9</c:f>
              <c:numCache>
                <c:formatCode>0.00%</c:formatCode>
                <c:ptCount val="5"/>
                <c:pt idx="0">
                  <c:v>1.786693756449946E-2</c:v>
                </c:pt>
                <c:pt idx="1">
                  <c:v>0.34532770367953164</c:v>
                </c:pt>
                <c:pt idx="2">
                  <c:v>0.6470017993145909</c:v>
                </c:pt>
                <c:pt idx="3">
                  <c:v>0.3407783554530065</c:v>
                </c:pt>
                <c:pt idx="4">
                  <c:v>0.26678766330411774</c:v>
                </c:pt>
              </c:numCache>
            </c:numRef>
          </c:val>
          <c:smooth val="0"/>
          <c:extLst>
            <c:ext xmlns:c16="http://schemas.microsoft.com/office/drawing/2014/chart" uri="{C3380CC4-5D6E-409C-BE32-E72D297353CC}">
              <c16:uniqueId val="{00000002-1F20-4662-8FEE-682BEEB2350B}"/>
            </c:ext>
          </c:extLst>
        </c:ser>
        <c:dLbls>
          <c:showLegendKey val="0"/>
          <c:showVal val="0"/>
          <c:showCatName val="0"/>
          <c:showSerName val="0"/>
          <c:showPercent val="0"/>
          <c:showBubbleSize val="0"/>
        </c:dLbls>
        <c:marker val="1"/>
        <c:smooth val="0"/>
        <c:axId val="1461079664"/>
        <c:axId val="1461066224"/>
      </c:lineChart>
      <c:catAx>
        <c:axId val="547358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356800"/>
        <c:crosses val="autoZero"/>
        <c:auto val="1"/>
        <c:lblAlgn val="ctr"/>
        <c:lblOffset val="100"/>
        <c:noMultiLvlLbl val="0"/>
      </c:catAx>
      <c:valAx>
        <c:axId val="54735680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358720"/>
        <c:crosses val="autoZero"/>
        <c:crossBetween val="between"/>
      </c:valAx>
      <c:valAx>
        <c:axId val="1461066224"/>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1079664"/>
        <c:crosses val="max"/>
        <c:crossBetween val="between"/>
      </c:valAx>
      <c:catAx>
        <c:axId val="1461079664"/>
        <c:scaling>
          <c:orientation val="minMax"/>
        </c:scaling>
        <c:delete val="1"/>
        <c:axPos val="b"/>
        <c:numFmt formatCode="General" sourceLinked="1"/>
        <c:majorTickMark val="out"/>
        <c:minorTickMark val="none"/>
        <c:tickLblPos val="nextTo"/>
        <c:crossAx val="14610662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[Finanzas.xlsx]Sheet2!PivotTable7</c:name>
    <c:fmtId val="0"/>
  </c:pivotSource>
  <c:chart>
    <c:autoTitleDeleted val="1"/>
    <c:pivotFmts>
      <c:pivotFmt>
        <c:idx val="0"/>
        <c:spPr>
          <a:ln w="3492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c:f>
              <c:strCache>
                <c:ptCount val="1"/>
                <c:pt idx="0">
                  <c:v>Total</c:v>
                </c:pt>
              </c:strCache>
            </c:strRef>
          </c:tx>
          <c:spPr>
            <a:ln w="34925" cap="rnd">
              <a:solidFill>
                <a:schemeClr val="accent1">
                  <a:lumMod val="50000"/>
                </a:schemeClr>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cat>
            <c:strRef>
              <c:f>Sheet2!$A$2:$A$8</c:f>
              <c:strCache>
                <c:ptCount val="6"/>
                <c:pt idx="0">
                  <c:v>1</c:v>
                </c:pt>
                <c:pt idx="1">
                  <c:v>2</c:v>
                </c:pt>
                <c:pt idx="2">
                  <c:v>3</c:v>
                </c:pt>
                <c:pt idx="3">
                  <c:v>4</c:v>
                </c:pt>
                <c:pt idx="4">
                  <c:v>5</c:v>
                </c:pt>
                <c:pt idx="5">
                  <c:v>6</c:v>
                </c:pt>
              </c:strCache>
            </c:strRef>
          </c:cat>
          <c:val>
            <c:numRef>
              <c:f>Sheet2!$B$2:$B$8</c:f>
              <c:numCache>
                <c:formatCode>0.00%</c:formatCode>
                <c:ptCount val="6"/>
                <c:pt idx="0">
                  <c:v>0.49443549872652315</c:v>
                </c:pt>
                <c:pt idx="1">
                  <c:v>0.4557348753142233</c:v>
                </c:pt>
                <c:pt idx="2">
                  <c:v>0.46707539250261976</c:v>
                </c:pt>
                <c:pt idx="3">
                  <c:v>0.45409393907762774</c:v>
                </c:pt>
                <c:pt idx="4">
                  <c:v>0.46176854524775568</c:v>
                </c:pt>
                <c:pt idx="5">
                  <c:v>0.44950857615243955</c:v>
                </c:pt>
              </c:numCache>
            </c:numRef>
          </c:val>
          <c:smooth val="1"/>
          <c:extLst>
            <c:ext xmlns:c16="http://schemas.microsoft.com/office/drawing/2014/chart" uri="{C3380CC4-5D6E-409C-BE32-E72D297353CC}">
              <c16:uniqueId val="{00000000-34B7-4C45-BB8A-1EA84B137576}"/>
            </c:ext>
          </c:extLst>
        </c:ser>
        <c:dLbls>
          <c:dLblPos val="t"/>
          <c:showLegendKey val="0"/>
          <c:showVal val="1"/>
          <c:showCatName val="0"/>
          <c:showSerName val="0"/>
          <c:showPercent val="0"/>
          <c:showBubbleSize val="0"/>
        </c:dLbls>
        <c:smooth val="0"/>
        <c:axId val="541501936"/>
        <c:axId val="541502896"/>
      </c:lineChart>
      <c:catAx>
        <c:axId val="541501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Periodos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502896"/>
        <c:crosses val="autoZero"/>
        <c:auto val="1"/>
        <c:lblAlgn val="ctr"/>
        <c:lblOffset val="100"/>
        <c:noMultiLvlLbl val="0"/>
      </c:catAx>
      <c:valAx>
        <c:axId val="5415028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501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[Finanzas.xlsx]Sheet2!PivotTable8</c:name>
    <c:fmtId val="1"/>
  </c:pivotSource>
  <c:chart>
    <c:autoTitleDeleted val="1"/>
    <c:pivotFmts>
      <c:pivotFmt>
        <c:idx val="0"/>
        <c:spPr>
          <a:solidFill>
            <a:schemeClr val="accent1"/>
          </a:solidFill>
          <a:ln w="3492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Sheet2!$B$18</c:f>
              <c:strCache>
                <c:ptCount val="1"/>
                <c:pt idx="0">
                  <c:v>Total</c:v>
                </c:pt>
              </c:strCache>
            </c:strRef>
          </c:tx>
          <c:spPr>
            <a:ln w="34925" cap="rnd">
              <a:solidFill>
                <a:schemeClr val="accent1">
                  <a:lumMod val="50000"/>
                </a:schemeClr>
              </a:solidFill>
              <a:round/>
            </a:ln>
            <a:effectLst/>
          </c:spPr>
          <c:marker>
            <c:symbol val="none"/>
          </c:marker>
          <c:trendline>
            <c:spPr>
              <a:ln w="19050" cap="rnd">
                <a:solidFill>
                  <a:schemeClr val="accent1"/>
                </a:solidFill>
                <a:prstDash val="sysDot"/>
              </a:ln>
              <a:effectLst/>
            </c:spPr>
            <c:trendlineType val="linear"/>
            <c:dispRSqr val="0"/>
            <c:dispEq val="0"/>
          </c:trendline>
          <c:cat>
            <c:strRef>
              <c:f>Sheet2!$A$19:$A$25</c:f>
              <c:strCache>
                <c:ptCount val="6"/>
                <c:pt idx="0">
                  <c:v>1</c:v>
                </c:pt>
                <c:pt idx="1">
                  <c:v>2</c:v>
                </c:pt>
                <c:pt idx="2">
                  <c:v>3</c:v>
                </c:pt>
                <c:pt idx="3">
                  <c:v>4</c:v>
                </c:pt>
                <c:pt idx="4">
                  <c:v>5</c:v>
                </c:pt>
                <c:pt idx="5">
                  <c:v>6</c:v>
                </c:pt>
              </c:strCache>
            </c:strRef>
          </c:cat>
          <c:val>
            <c:numRef>
              <c:f>Sheet2!$B$19:$B$25</c:f>
              <c:numCache>
                <c:formatCode>"$"#,##0.00</c:formatCode>
                <c:ptCount val="6"/>
                <c:pt idx="0">
                  <c:v>342491.60999999975</c:v>
                </c:pt>
                <c:pt idx="1">
                  <c:v>248207.13999999993</c:v>
                </c:pt>
                <c:pt idx="2">
                  <c:v>305441.90999999986</c:v>
                </c:pt>
                <c:pt idx="3">
                  <c:v>275619.27000000008</c:v>
                </c:pt>
                <c:pt idx="4">
                  <c:v>323490.96000000008</c:v>
                </c:pt>
                <c:pt idx="5">
                  <c:v>290028.6599999998</c:v>
                </c:pt>
              </c:numCache>
            </c:numRef>
          </c:val>
          <c:smooth val="1"/>
          <c:extLst>
            <c:ext xmlns:c16="http://schemas.microsoft.com/office/drawing/2014/chart" uri="{C3380CC4-5D6E-409C-BE32-E72D297353CC}">
              <c16:uniqueId val="{00000000-34B7-4C45-BB8A-1EA84B137576}"/>
            </c:ext>
          </c:extLst>
        </c:ser>
        <c:dLbls>
          <c:showLegendKey val="0"/>
          <c:showVal val="0"/>
          <c:showCatName val="0"/>
          <c:showSerName val="0"/>
          <c:showPercent val="0"/>
          <c:showBubbleSize val="0"/>
        </c:dLbls>
        <c:smooth val="0"/>
        <c:axId val="541501936"/>
        <c:axId val="541502896"/>
      </c:lineChart>
      <c:catAx>
        <c:axId val="541501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Title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502896"/>
        <c:crosses val="autoZero"/>
        <c:auto val="1"/>
        <c:lblAlgn val="ctr"/>
        <c:lblOffset val="100"/>
        <c:noMultiLvlLbl val="0"/>
      </c:catAx>
      <c:valAx>
        <c:axId val="541502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501936"/>
        <c:crosses val="autoZero"/>
        <c:crossBetween val="between"/>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[Finanzas.xlsx]Sheet2!PivotTable9</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Sheet2!$B$40:$B$41</c:f>
              <c:strCache>
                <c:ptCount val="1"/>
                <c:pt idx="0">
                  <c:v>Argentina</c:v>
                </c:pt>
              </c:strCache>
            </c:strRef>
          </c:tx>
          <c:spPr>
            <a:ln w="28575" cap="rnd">
              <a:solidFill>
                <a:schemeClr val="accent1"/>
              </a:solidFill>
              <a:round/>
            </a:ln>
            <a:effectLst/>
          </c:spPr>
          <c:marker>
            <c:symbol val="none"/>
          </c:marker>
          <c:cat>
            <c:strRef>
              <c:f>Sheet2!$A$42:$A$48</c:f>
              <c:strCache>
                <c:ptCount val="6"/>
                <c:pt idx="0">
                  <c:v>1</c:v>
                </c:pt>
                <c:pt idx="1">
                  <c:v>2</c:v>
                </c:pt>
                <c:pt idx="2">
                  <c:v>3</c:v>
                </c:pt>
                <c:pt idx="3">
                  <c:v>4</c:v>
                </c:pt>
                <c:pt idx="4">
                  <c:v>5</c:v>
                </c:pt>
                <c:pt idx="5">
                  <c:v>6</c:v>
                </c:pt>
              </c:strCache>
            </c:strRef>
          </c:cat>
          <c:val>
            <c:numRef>
              <c:f>Sheet2!$B$42:$B$48</c:f>
              <c:numCache>
                <c:formatCode>#,##0.00</c:formatCode>
                <c:ptCount val="6"/>
                <c:pt idx="0">
                  <c:v>16255.959999999992</c:v>
                </c:pt>
                <c:pt idx="1">
                  <c:v>13305.850000000009</c:v>
                </c:pt>
                <c:pt idx="2">
                  <c:v>18842.579999999984</c:v>
                </c:pt>
                <c:pt idx="3">
                  <c:v>12986.630000000003</c:v>
                </c:pt>
                <c:pt idx="4">
                  <c:v>17009.079999999987</c:v>
                </c:pt>
                <c:pt idx="5">
                  <c:v>12060.759999999991</c:v>
                </c:pt>
              </c:numCache>
            </c:numRef>
          </c:val>
          <c:smooth val="0"/>
          <c:extLst>
            <c:ext xmlns:c16="http://schemas.microsoft.com/office/drawing/2014/chart" uri="{C3380CC4-5D6E-409C-BE32-E72D297353CC}">
              <c16:uniqueId val="{00000000-880A-42A6-9941-7AF87F39F7FD}"/>
            </c:ext>
          </c:extLst>
        </c:ser>
        <c:ser>
          <c:idx val="1"/>
          <c:order val="1"/>
          <c:tx>
            <c:strRef>
              <c:f>Sheet2!$C$40:$C$41</c:f>
              <c:strCache>
                <c:ptCount val="1"/>
                <c:pt idx="0">
                  <c:v>Canada</c:v>
                </c:pt>
              </c:strCache>
            </c:strRef>
          </c:tx>
          <c:spPr>
            <a:ln w="28575" cap="rnd">
              <a:solidFill>
                <a:schemeClr val="accent2"/>
              </a:solidFill>
              <a:round/>
            </a:ln>
            <a:effectLst/>
          </c:spPr>
          <c:marker>
            <c:symbol val="none"/>
          </c:marker>
          <c:cat>
            <c:strRef>
              <c:f>Sheet2!$A$42:$A$48</c:f>
              <c:strCache>
                <c:ptCount val="6"/>
                <c:pt idx="0">
                  <c:v>1</c:v>
                </c:pt>
                <c:pt idx="1">
                  <c:v>2</c:v>
                </c:pt>
                <c:pt idx="2">
                  <c:v>3</c:v>
                </c:pt>
                <c:pt idx="3">
                  <c:v>4</c:v>
                </c:pt>
                <c:pt idx="4">
                  <c:v>5</c:v>
                </c:pt>
                <c:pt idx="5">
                  <c:v>6</c:v>
                </c:pt>
              </c:strCache>
            </c:strRef>
          </c:cat>
          <c:val>
            <c:numRef>
              <c:f>Sheet2!$C$42:$C$48</c:f>
              <c:numCache>
                <c:formatCode>#,##0.00</c:formatCode>
                <c:ptCount val="6"/>
                <c:pt idx="0">
                  <c:v>43313.67</c:v>
                </c:pt>
                <c:pt idx="1">
                  <c:v>30377</c:v>
                </c:pt>
                <c:pt idx="2">
                  <c:v>34963.73000000001</c:v>
                </c:pt>
                <c:pt idx="3">
                  <c:v>34514.380000000005</c:v>
                </c:pt>
                <c:pt idx="4">
                  <c:v>38858.329999999994</c:v>
                </c:pt>
                <c:pt idx="5">
                  <c:v>33628.210000000006</c:v>
                </c:pt>
              </c:numCache>
            </c:numRef>
          </c:val>
          <c:smooth val="0"/>
          <c:extLst>
            <c:ext xmlns:c16="http://schemas.microsoft.com/office/drawing/2014/chart" uri="{C3380CC4-5D6E-409C-BE32-E72D297353CC}">
              <c16:uniqueId val="{00000001-880A-42A6-9941-7AF87F39F7FD}"/>
            </c:ext>
          </c:extLst>
        </c:ser>
        <c:ser>
          <c:idx val="2"/>
          <c:order val="2"/>
          <c:tx>
            <c:strRef>
              <c:f>Sheet2!$D$40:$D$41</c:f>
              <c:strCache>
                <c:ptCount val="1"/>
                <c:pt idx="0">
                  <c:v>Chile</c:v>
                </c:pt>
              </c:strCache>
            </c:strRef>
          </c:tx>
          <c:spPr>
            <a:ln w="28575" cap="rnd">
              <a:solidFill>
                <a:schemeClr val="accent3"/>
              </a:solidFill>
              <a:round/>
            </a:ln>
            <a:effectLst/>
          </c:spPr>
          <c:marker>
            <c:symbol val="none"/>
          </c:marker>
          <c:cat>
            <c:strRef>
              <c:f>Sheet2!$A$42:$A$48</c:f>
              <c:strCache>
                <c:ptCount val="6"/>
                <c:pt idx="0">
                  <c:v>1</c:v>
                </c:pt>
                <c:pt idx="1">
                  <c:v>2</c:v>
                </c:pt>
                <c:pt idx="2">
                  <c:v>3</c:v>
                </c:pt>
                <c:pt idx="3">
                  <c:v>4</c:v>
                </c:pt>
                <c:pt idx="4">
                  <c:v>5</c:v>
                </c:pt>
                <c:pt idx="5">
                  <c:v>6</c:v>
                </c:pt>
              </c:strCache>
            </c:strRef>
          </c:cat>
          <c:val>
            <c:numRef>
              <c:f>Sheet2!$D$42:$D$48</c:f>
              <c:numCache>
                <c:formatCode>#,##0.00</c:formatCode>
                <c:ptCount val="6"/>
                <c:pt idx="0">
                  <c:v>40774.410000000003</c:v>
                </c:pt>
                <c:pt idx="1">
                  <c:v>22032.569999999985</c:v>
                </c:pt>
                <c:pt idx="2">
                  <c:v>33304.049999999959</c:v>
                </c:pt>
                <c:pt idx="3">
                  <c:v>22652.32</c:v>
                </c:pt>
                <c:pt idx="4">
                  <c:v>22079.960000000014</c:v>
                </c:pt>
                <c:pt idx="5">
                  <c:v>24394.970000000016</c:v>
                </c:pt>
              </c:numCache>
            </c:numRef>
          </c:val>
          <c:smooth val="0"/>
          <c:extLst>
            <c:ext xmlns:c16="http://schemas.microsoft.com/office/drawing/2014/chart" uri="{C3380CC4-5D6E-409C-BE32-E72D297353CC}">
              <c16:uniqueId val="{00000007-880A-42A6-9941-7AF87F39F7FD}"/>
            </c:ext>
          </c:extLst>
        </c:ser>
        <c:ser>
          <c:idx val="3"/>
          <c:order val="3"/>
          <c:tx>
            <c:strRef>
              <c:f>Sheet2!$E$40:$E$41</c:f>
              <c:strCache>
                <c:ptCount val="1"/>
                <c:pt idx="0">
                  <c:v>Colombia</c:v>
                </c:pt>
              </c:strCache>
            </c:strRef>
          </c:tx>
          <c:spPr>
            <a:ln w="28575" cap="rnd">
              <a:solidFill>
                <a:schemeClr val="accent4"/>
              </a:solidFill>
              <a:round/>
            </a:ln>
            <a:effectLst/>
          </c:spPr>
          <c:marker>
            <c:symbol val="none"/>
          </c:marker>
          <c:cat>
            <c:strRef>
              <c:f>Sheet2!$A$42:$A$48</c:f>
              <c:strCache>
                <c:ptCount val="6"/>
                <c:pt idx="0">
                  <c:v>1</c:v>
                </c:pt>
                <c:pt idx="1">
                  <c:v>2</c:v>
                </c:pt>
                <c:pt idx="2">
                  <c:v>3</c:v>
                </c:pt>
                <c:pt idx="3">
                  <c:v>4</c:v>
                </c:pt>
                <c:pt idx="4">
                  <c:v>5</c:v>
                </c:pt>
                <c:pt idx="5">
                  <c:v>6</c:v>
                </c:pt>
              </c:strCache>
            </c:strRef>
          </c:cat>
          <c:val>
            <c:numRef>
              <c:f>Sheet2!$E$42:$E$48</c:f>
              <c:numCache>
                <c:formatCode>#,##0.00</c:formatCode>
                <c:ptCount val="6"/>
                <c:pt idx="0">
                  <c:v>19312.47</c:v>
                </c:pt>
                <c:pt idx="1">
                  <c:v>12309.050000000005</c:v>
                </c:pt>
                <c:pt idx="2">
                  <c:v>13378.449999999999</c:v>
                </c:pt>
                <c:pt idx="3">
                  <c:v>13459.140000000001</c:v>
                </c:pt>
                <c:pt idx="4">
                  <c:v>17559.729999999996</c:v>
                </c:pt>
                <c:pt idx="5">
                  <c:v>14984.120000000004</c:v>
                </c:pt>
              </c:numCache>
            </c:numRef>
          </c:val>
          <c:smooth val="0"/>
          <c:extLst>
            <c:ext xmlns:c16="http://schemas.microsoft.com/office/drawing/2014/chart" uri="{C3380CC4-5D6E-409C-BE32-E72D297353CC}">
              <c16:uniqueId val="{00000008-880A-42A6-9941-7AF87F39F7FD}"/>
            </c:ext>
          </c:extLst>
        </c:ser>
        <c:ser>
          <c:idx val="4"/>
          <c:order val="4"/>
          <c:tx>
            <c:strRef>
              <c:f>Sheet2!$F$40:$F$41</c:f>
              <c:strCache>
                <c:ptCount val="1"/>
                <c:pt idx="0">
                  <c:v>Mexico</c:v>
                </c:pt>
              </c:strCache>
            </c:strRef>
          </c:tx>
          <c:spPr>
            <a:ln w="28575" cap="rnd">
              <a:solidFill>
                <a:schemeClr val="accent5"/>
              </a:solidFill>
              <a:round/>
            </a:ln>
            <a:effectLst/>
          </c:spPr>
          <c:marker>
            <c:symbol val="none"/>
          </c:marker>
          <c:cat>
            <c:strRef>
              <c:f>Sheet2!$A$42:$A$48</c:f>
              <c:strCache>
                <c:ptCount val="6"/>
                <c:pt idx="0">
                  <c:v>1</c:v>
                </c:pt>
                <c:pt idx="1">
                  <c:v>2</c:v>
                </c:pt>
                <c:pt idx="2">
                  <c:v>3</c:v>
                </c:pt>
                <c:pt idx="3">
                  <c:v>4</c:v>
                </c:pt>
                <c:pt idx="4">
                  <c:v>5</c:v>
                </c:pt>
                <c:pt idx="5">
                  <c:v>6</c:v>
                </c:pt>
              </c:strCache>
            </c:strRef>
          </c:cat>
          <c:val>
            <c:numRef>
              <c:f>Sheet2!$F$42:$F$48</c:f>
              <c:numCache>
                <c:formatCode>#,##0.00</c:formatCode>
                <c:ptCount val="6"/>
                <c:pt idx="0">
                  <c:v>22519.879999999997</c:v>
                </c:pt>
                <c:pt idx="1">
                  <c:v>14044.460000000005</c:v>
                </c:pt>
                <c:pt idx="2">
                  <c:v>18843.259999999991</c:v>
                </c:pt>
                <c:pt idx="3">
                  <c:v>15937.530000000002</c:v>
                </c:pt>
                <c:pt idx="4">
                  <c:v>26154.010000000013</c:v>
                </c:pt>
                <c:pt idx="5">
                  <c:v>19093.619999999995</c:v>
                </c:pt>
              </c:numCache>
            </c:numRef>
          </c:val>
          <c:smooth val="0"/>
          <c:extLst>
            <c:ext xmlns:c16="http://schemas.microsoft.com/office/drawing/2014/chart" uri="{C3380CC4-5D6E-409C-BE32-E72D297353CC}">
              <c16:uniqueId val="{00000009-880A-42A6-9941-7AF87F39F7FD}"/>
            </c:ext>
          </c:extLst>
        </c:ser>
        <c:ser>
          <c:idx val="5"/>
          <c:order val="5"/>
          <c:tx>
            <c:strRef>
              <c:f>Sheet2!$G$40:$G$41</c:f>
              <c:strCache>
                <c:ptCount val="1"/>
                <c:pt idx="0">
                  <c:v>Peru</c:v>
                </c:pt>
              </c:strCache>
            </c:strRef>
          </c:tx>
          <c:spPr>
            <a:ln w="28575" cap="rnd">
              <a:solidFill>
                <a:schemeClr val="accent6"/>
              </a:solidFill>
              <a:round/>
            </a:ln>
            <a:effectLst/>
          </c:spPr>
          <c:marker>
            <c:symbol val="none"/>
          </c:marker>
          <c:cat>
            <c:strRef>
              <c:f>Sheet2!$A$42:$A$48</c:f>
              <c:strCache>
                <c:ptCount val="6"/>
                <c:pt idx="0">
                  <c:v>1</c:v>
                </c:pt>
                <c:pt idx="1">
                  <c:v>2</c:v>
                </c:pt>
                <c:pt idx="2">
                  <c:v>3</c:v>
                </c:pt>
                <c:pt idx="3">
                  <c:v>4</c:v>
                </c:pt>
                <c:pt idx="4">
                  <c:v>5</c:v>
                </c:pt>
                <c:pt idx="5">
                  <c:v>6</c:v>
                </c:pt>
              </c:strCache>
            </c:strRef>
          </c:cat>
          <c:val>
            <c:numRef>
              <c:f>Sheet2!$G$42:$G$48</c:f>
              <c:numCache>
                <c:formatCode>#,##0.00</c:formatCode>
                <c:ptCount val="6"/>
                <c:pt idx="0">
                  <c:v>27163.62000000001</c:v>
                </c:pt>
                <c:pt idx="1">
                  <c:v>21047.720000000005</c:v>
                </c:pt>
                <c:pt idx="2">
                  <c:v>23332.329999999984</c:v>
                </c:pt>
                <c:pt idx="3">
                  <c:v>25607.040000000001</c:v>
                </c:pt>
                <c:pt idx="4">
                  <c:v>27716.839999999997</c:v>
                </c:pt>
                <c:pt idx="5">
                  <c:v>26208.69000000001</c:v>
                </c:pt>
              </c:numCache>
            </c:numRef>
          </c:val>
          <c:smooth val="0"/>
          <c:extLst>
            <c:ext xmlns:c16="http://schemas.microsoft.com/office/drawing/2014/chart" uri="{C3380CC4-5D6E-409C-BE32-E72D297353CC}">
              <c16:uniqueId val="{0000000A-880A-42A6-9941-7AF87F39F7FD}"/>
            </c:ext>
          </c:extLst>
        </c:ser>
        <c:dLbls>
          <c:showLegendKey val="0"/>
          <c:showVal val="0"/>
          <c:showCatName val="0"/>
          <c:showSerName val="0"/>
          <c:showPercent val="0"/>
          <c:showBubbleSize val="0"/>
        </c:dLbls>
        <c:smooth val="0"/>
        <c:axId val="588564576"/>
        <c:axId val="588565536"/>
      </c:lineChart>
      <c:catAx>
        <c:axId val="588564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565536"/>
        <c:crosses val="autoZero"/>
        <c:auto val="1"/>
        <c:lblAlgn val="ctr"/>
        <c:lblOffset val="100"/>
        <c:noMultiLvlLbl val="0"/>
      </c:catAx>
      <c:valAx>
        <c:axId val="5885655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564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[Finanzas.xlsx]Sheet3!PivotTable1</c:name>
    <c:fmtId val="0"/>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marker>
          <c:symbol val="none"/>
        </c:marker>
        <c:dLbl>
          <c:idx val="0"/>
          <c:delete val="1"/>
          <c:extLst>
            <c:ext xmlns:c15="http://schemas.microsoft.com/office/drawing/2012/chart" uri="{CE6537A1-D6FC-4f65-9D91-7224C49458BB}"/>
          </c:extLst>
        </c:dLbl>
      </c:pivotFmt>
      <c:pivotFmt>
        <c:idx val="5"/>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s>
    <c:plotArea>
      <c:layout/>
      <c:barChart>
        <c:barDir val="bar"/>
        <c:grouping val="clustered"/>
        <c:varyColors val="0"/>
        <c:ser>
          <c:idx val="0"/>
          <c:order val="0"/>
          <c:tx>
            <c:strRef>
              <c:f>Sheet3!$B$1:$B$2</c:f>
              <c:strCache>
                <c:ptCount val="1"/>
                <c:pt idx="0">
                  <c:v>1</c:v>
                </c:pt>
              </c:strCache>
            </c:strRef>
          </c:tx>
          <c:invertIfNegative val="0"/>
          <c:cat>
            <c:strRef>
              <c:f>Sheet3!$A$3:$A$11</c:f>
              <c:strCache>
                <c:ptCount val="8"/>
                <c:pt idx="0">
                  <c:v>SALF</c:v>
                </c:pt>
                <c:pt idx="1">
                  <c:v>DAWNE</c:v>
                </c:pt>
                <c:pt idx="2">
                  <c:v>MOC</c:v>
                </c:pt>
                <c:pt idx="3">
                  <c:v>GAMBO</c:v>
                </c:pt>
                <c:pt idx="4">
                  <c:v>LAX</c:v>
                </c:pt>
                <c:pt idx="5">
                  <c:v>DONANY</c:v>
                </c:pt>
                <c:pt idx="6">
                  <c:v>CHOTUS</c:v>
                </c:pt>
                <c:pt idx="7">
                  <c:v>QUOKAR</c:v>
                </c:pt>
              </c:strCache>
            </c:strRef>
          </c:cat>
          <c:val>
            <c:numRef>
              <c:f>Sheet3!$B$3:$B$11</c:f>
              <c:numCache>
                <c:formatCode>"$"#,##0.00</c:formatCode>
                <c:ptCount val="8"/>
                <c:pt idx="0">
                  <c:v>35716.679999999993</c:v>
                </c:pt>
                <c:pt idx="1">
                  <c:v>35228.509999999995</c:v>
                </c:pt>
                <c:pt idx="2">
                  <c:v>22442.139999999996</c:v>
                </c:pt>
                <c:pt idx="3">
                  <c:v>103947.40999999997</c:v>
                </c:pt>
                <c:pt idx="4">
                  <c:v>28760.919999999991</c:v>
                </c:pt>
                <c:pt idx="5">
                  <c:v>30899.929999999993</c:v>
                </c:pt>
                <c:pt idx="6">
                  <c:v>49953.47</c:v>
                </c:pt>
                <c:pt idx="7">
                  <c:v>35542.549999999996</c:v>
                </c:pt>
              </c:numCache>
            </c:numRef>
          </c:val>
          <c:extLst>
            <c:ext xmlns:c16="http://schemas.microsoft.com/office/drawing/2014/chart" uri="{C3380CC4-5D6E-409C-BE32-E72D297353CC}">
              <c16:uniqueId val="{00000003-7A25-4069-937F-DFF97D79B893}"/>
            </c:ext>
          </c:extLst>
        </c:ser>
        <c:ser>
          <c:idx val="1"/>
          <c:order val="1"/>
          <c:tx>
            <c:strRef>
              <c:f>Sheet3!$C$1:$C$2</c:f>
              <c:strCache>
                <c:ptCount val="1"/>
                <c:pt idx="0">
                  <c:v>2</c:v>
                </c:pt>
              </c:strCache>
            </c:strRef>
          </c:tx>
          <c:invertIfNegative val="0"/>
          <c:cat>
            <c:strRef>
              <c:f>Sheet3!$A$3:$A$11</c:f>
              <c:strCache>
                <c:ptCount val="8"/>
                <c:pt idx="0">
                  <c:v>SALF</c:v>
                </c:pt>
                <c:pt idx="1">
                  <c:v>DAWNE</c:v>
                </c:pt>
                <c:pt idx="2">
                  <c:v>MOC</c:v>
                </c:pt>
                <c:pt idx="3">
                  <c:v>GAMBO</c:v>
                </c:pt>
                <c:pt idx="4">
                  <c:v>LAX</c:v>
                </c:pt>
                <c:pt idx="5">
                  <c:v>DONANY</c:v>
                </c:pt>
                <c:pt idx="6">
                  <c:v>CHOTUS</c:v>
                </c:pt>
                <c:pt idx="7">
                  <c:v>QUOKAR</c:v>
                </c:pt>
              </c:strCache>
            </c:strRef>
          </c:cat>
          <c:val>
            <c:numRef>
              <c:f>Sheet3!$C$3:$C$11</c:f>
              <c:numCache>
                <c:formatCode>"$"#,##0.00</c:formatCode>
                <c:ptCount val="8"/>
                <c:pt idx="0">
                  <c:v>20577.040000000005</c:v>
                </c:pt>
                <c:pt idx="1">
                  <c:v>27087.699999999997</c:v>
                </c:pt>
                <c:pt idx="2">
                  <c:v>28637.389999999996</c:v>
                </c:pt>
                <c:pt idx="3">
                  <c:v>17671.869999999995</c:v>
                </c:pt>
                <c:pt idx="4">
                  <c:v>26241.759999999991</c:v>
                </c:pt>
                <c:pt idx="5">
                  <c:v>28444.110000000004</c:v>
                </c:pt>
                <c:pt idx="6">
                  <c:v>41396.53</c:v>
                </c:pt>
                <c:pt idx="7">
                  <c:v>58150.74</c:v>
                </c:pt>
              </c:numCache>
            </c:numRef>
          </c:val>
          <c:extLst>
            <c:ext xmlns:c16="http://schemas.microsoft.com/office/drawing/2014/chart" uri="{C3380CC4-5D6E-409C-BE32-E72D297353CC}">
              <c16:uniqueId val="{00000009-7A25-4069-937F-DFF97D79B893}"/>
            </c:ext>
          </c:extLst>
        </c:ser>
        <c:ser>
          <c:idx val="2"/>
          <c:order val="2"/>
          <c:tx>
            <c:strRef>
              <c:f>Sheet3!$D$1:$D$2</c:f>
              <c:strCache>
                <c:ptCount val="1"/>
                <c:pt idx="0">
                  <c:v>3</c:v>
                </c:pt>
              </c:strCache>
            </c:strRef>
          </c:tx>
          <c:invertIfNegative val="0"/>
          <c:cat>
            <c:strRef>
              <c:f>Sheet3!$A$3:$A$11</c:f>
              <c:strCache>
                <c:ptCount val="8"/>
                <c:pt idx="0">
                  <c:v>SALF</c:v>
                </c:pt>
                <c:pt idx="1">
                  <c:v>DAWNE</c:v>
                </c:pt>
                <c:pt idx="2">
                  <c:v>MOC</c:v>
                </c:pt>
                <c:pt idx="3">
                  <c:v>GAMBO</c:v>
                </c:pt>
                <c:pt idx="4">
                  <c:v>LAX</c:v>
                </c:pt>
                <c:pt idx="5">
                  <c:v>DONANY</c:v>
                </c:pt>
                <c:pt idx="6">
                  <c:v>CHOTUS</c:v>
                </c:pt>
                <c:pt idx="7">
                  <c:v>QUOKAR</c:v>
                </c:pt>
              </c:strCache>
            </c:strRef>
          </c:cat>
          <c:val>
            <c:numRef>
              <c:f>Sheet3!$D$3:$D$11</c:f>
              <c:numCache>
                <c:formatCode>"$"#,##0.00</c:formatCode>
                <c:ptCount val="8"/>
                <c:pt idx="0">
                  <c:v>20375.880000000008</c:v>
                </c:pt>
                <c:pt idx="1">
                  <c:v>29660.57</c:v>
                </c:pt>
                <c:pt idx="2">
                  <c:v>36341.149999999987</c:v>
                </c:pt>
                <c:pt idx="3">
                  <c:v>21942.599999999991</c:v>
                </c:pt>
                <c:pt idx="4">
                  <c:v>53916.17</c:v>
                </c:pt>
                <c:pt idx="5">
                  <c:v>38137.759999999995</c:v>
                </c:pt>
                <c:pt idx="6">
                  <c:v>43727.7</c:v>
                </c:pt>
                <c:pt idx="7">
                  <c:v>61340.080000000009</c:v>
                </c:pt>
              </c:numCache>
            </c:numRef>
          </c:val>
          <c:extLst>
            <c:ext xmlns:c16="http://schemas.microsoft.com/office/drawing/2014/chart" uri="{C3380CC4-5D6E-409C-BE32-E72D297353CC}">
              <c16:uniqueId val="{0000000A-7A25-4069-937F-DFF97D79B893}"/>
            </c:ext>
          </c:extLst>
        </c:ser>
        <c:ser>
          <c:idx val="3"/>
          <c:order val="3"/>
          <c:tx>
            <c:strRef>
              <c:f>Sheet3!$E$1:$E$2</c:f>
              <c:strCache>
                <c:ptCount val="1"/>
                <c:pt idx="0">
                  <c:v>4</c:v>
                </c:pt>
              </c:strCache>
            </c:strRef>
          </c:tx>
          <c:invertIfNegative val="0"/>
          <c:cat>
            <c:strRef>
              <c:f>Sheet3!$A$3:$A$11</c:f>
              <c:strCache>
                <c:ptCount val="8"/>
                <c:pt idx="0">
                  <c:v>SALF</c:v>
                </c:pt>
                <c:pt idx="1">
                  <c:v>DAWNE</c:v>
                </c:pt>
                <c:pt idx="2">
                  <c:v>MOC</c:v>
                </c:pt>
                <c:pt idx="3">
                  <c:v>GAMBO</c:v>
                </c:pt>
                <c:pt idx="4">
                  <c:v>LAX</c:v>
                </c:pt>
                <c:pt idx="5">
                  <c:v>DONANY</c:v>
                </c:pt>
                <c:pt idx="6">
                  <c:v>CHOTUS</c:v>
                </c:pt>
                <c:pt idx="7">
                  <c:v>QUOKAR</c:v>
                </c:pt>
              </c:strCache>
            </c:strRef>
          </c:cat>
          <c:val>
            <c:numRef>
              <c:f>Sheet3!$E$3:$E$11</c:f>
              <c:numCache>
                <c:formatCode>"$"#,##0.00</c:formatCode>
                <c:ptCount val="8"/>
                <c:pt idx="0">
                  <c:v>22680.800000000003</c:v>
                </c:pt>
                <c:pt idx="1">
                  <c:v>29958.54</c:v>
                </c:pt>
                <c:pt idx="2">
                  <c:v>32282.529999999995</c:v>
                </c:pt>
                <c:pt idx="3">
                  <c:v>20369.379999999997</c:v>
                </c:pt>
                <c:pt idx="4">
                  <c:v>30432.77</c:v>
                </c:pt>
                <c:pt idx="5">
                  <c:v>38740.12999999999</c:v>
                </c:pt>
                <c:pt idx="6">
                  <c:v>40905.020000000004</c:v>
                </c:pt>
                <c:pt idx="7">
                  <c:v>60250.099999999991</c:v>
                </c:pt>
              </c:numCache>
            </c:numRef>
          </c:val>
          <c:extLst>
            <c:ext xmlns:c16="http://schemas.microsoft.com/office/drawing/2014/chart" uri="{C3380CC4-5D6E-409C-BE32-E72D297353CC}">
              <c16:uniqueId val="{0000000B-7A25-4069-937F-DFF97D79B893}"/>
            </c:ext>
          </c:extLst>
        </c:ser>
        <c:ser>
          <c:idx val="4"/>
          <c:order val="4"/>
          <c:tx>
            <c:strRef>
              <c:f>Sheet3!$F$1:$F$2</c:f>
              <c:strCache>
                <c:ptCount val="1"/>
                <c:pt idx="0">
                  <c:v>5</c:v>
                </c:pt>
              </c:strCache>
            </c:strRef>
          </c:tx>
          <c:invertIfNegative val="0"/>
          <c:cat>
            <c:strRef>
              <c:f>Sheet3!$A$3:$A$11</c:f>
              <c:strCache>
                <c:ptCount val="8"/>
                <c:pt idx="0">
                  <c:v>SALF</c:v>
                </c:pt>
                <c:pt idx="1">
                  <c:v>DAWNE</c:v>
                </c:pt>
                <c:pt idx="2">
                  <c:v>MOC</c:v>
                </c:pt>
                <c:pt idx="3">
                  <c:v>GAMBO</c:v>
                </c:pt>
                <c:pt idx="4">
                  <c:v>LAX</c:v>
                </c:pt>
                <c:pt idx="5">
                  <c:v>DONANY</c:v>
                </c:pt>
                <c:pt idx="6">
                  <c:v>CHOTUS</c:v>
                </c:pt>
                <c:pt idx="7">
                  <c:v>QUOKAR</c:v>
                </c:pt>
              </c:strCache>
            </c:strRef>
          </c:cat>
          <c:val>
            <c:numRef>
              <c:f>Sheet3!$F$3:$F$11</c:f>
              <c:numCache>
                <c:formatCode>"$"#,##0.00</c:formatCode>
                <c:ptCount val="8"/>
                <c:pt idx="0">
                  <c:v>21235.690000000002</c:v>
                </c:pt>
                <c:pt idx="1">
                  <c:v>33966.5</c:v>
                </c:pt>
                <c:pt idx="2">
                  <c:v>37841.119999999995</c:v>
                </c:pt>
                <c:pt idx="3">
                  <c:v>19159.860000000004</c:v>
                </c:pt>
                <c:pt idx="4">
                  <c:v>35599.71</c:v>
                </c:pt>
                <c:pt idx="5">
                  <c:v>49876.88</c:v>
                </c:pt>
                <c:pt idx="6">
                  <c:v>53204.329999999994</c:v>
                </c:pt>
                <c:pt idx="7">
                  <c:v>72606.87000000001</c:v>
                </c:pt>
              </c:numCache>
            </c:numRef>
          </c:val>
          <c:extLst>
            <c:ext xmlns:c16="http://schemas.microsoft.com/office/drawing/2014/chart" uri="{C3380CC4-5D6E-409C-BE32-E72D297353CC}">
              <c16:uniqueId val="{0000000C-7A25-4069-937F-DFF97D79B893}"/>
            </c:ext>
          </c:extLst>
        </c:ser>
        <c:ser>
          <c:idx val="5"/>
          <c:order val="5"/>
          <c:tx>
            <c:strRef>
              <c:f>Sheet3!$G$1:$G$2</c:f>
              <c:strCache>
                <c:ptCount val="1"/>
                <c:pt idx="0">
                  <c:v>6</c:v>
                </c:pt>
              </c:strCache>
            </c:strRef>
          </c:tx>
          <c:invertIfNegative val="0"/>
          <c:cat>
            <c:strRef>
              <c:f>Sheet3!$A$3:$A$11</c:f>
              <c:strCache>
                <c:ptCount val="8"/>
                <c:pt idx="0">
                  <c:v>SALF</c:v>
                </c:pt>
                <c:pt idx="1">
                  <c:v>DAWNE</c:v>
                </c:pt>
                <c:pt idx="2">
                  <c:v>MOC</c:v>
                </c:pt>
                <c:pt idx="3">
                  <c:v>GAMBO</c:v>
                </c:pt>
                <c:pt idx="4">
                  <c:v>LAX</c:v>
                </c:pt>
                <c:pt idx="5">
                  <c:v>DONANY</c:v>
                </c:pt>
                <c:pt idx="6">
                  <c:v>CHOTUS</c:v>
                </c:pt>
                <c:pt idx="7">
                  <c:v>QUOKAR</c:v>
                </c:pt>
              </c:strCache>
            </c:strRef>
          </c:cat>
          <c:val>
            <c:numRef>
              <c:f>Sheet3!$G$3:$G$11</c:f>
              <c:numCache>
                <c:formatCode>"$"#,##0.00</c:formatCode>
                <c:ptCount val="8"/>
                <c:pt idx="0">
                  <c:v>18937.48</c:v>
                </c:pt>
                <c:pt idx="1">
                  <c:v>25276.7</c:v>
                </c:pt>
                <c:pt idx="2">
                  <c:v>36292.839999999997</c:v>
                </c:pt>
                <c:pt idx="3">
                  <c:v>15304.909999999996</c:v>
                </c:pt>
                <c:pt idx="4">
                  <c:v>30855.7</c:v>
                </c:pt>
                <c:pt idx="5">
                  <c:v>44721.69</c:v>
                </c:pt>
                <c:pt idx="6">
                  <c:v>48474.719999999994</c:v>
                </c:pt>
                <c:pt idx="7">
                  <c:v>70164.62</c:v>
                </c:pt>
              </c:numCache>
            </c:numRef>
          </c:val>
          <c:extLst>
            <c:ext xmlns:c16="http://schemas.microsoft.com/office/drawing/2014/chart" uri="{C3380CC4-5D6E-409C-BE32-E72D297353CC}">
              <c16:uniqueId val="{0000000D-7A25-4069-937F-DFF97D79B893}"/>
            </c:ext>
          </c:extLst>
        </c:ser>
        <c:dLbls>
          <c:showLegendKey val="0"/>
          <c:showVal val="0"/>
          <c:showCatName val="0"/>
          <c:showSerName val="0"/>
          <c:showPercent val="0"/>
          <c:showBubbleSize val="0"/>
        </c:dLbls>
        <c:gapWidth val="182"/>
        <c:axId val="1953232303"/>
        <c:axId val="1953230863"/>
      </c:barChart>
      <c:catAx>
        <c:axId val="1953232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230863"/>
        <c:crosses val="autoZero"/>
        <c:auto val="1"/>
        <c:lblAlgn val="ctr"/>
        <c:lblOffset val="100"/>
        <c:noMultiLvlLbl val="0"/>
      </c:catAx>
      <c:valAx>
        <c:axId val="19532308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232303"/>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[Finanzas.xlsx]Sheet3!PivotTable1</c:name>
    <c:fmtId val="3"/>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stacked"/>
        <c:varyColors val="0"/>
        <c:ser>
          <c:idx val="0"/>
          <c:order val="0"/>
          <c:tx>
            <c:strRef>
              <c:f>Sheet3!$B$1:$B$2</c:f>
              <c:strCache>
                <c:ptCount val="1"/>
                <c:pt idx="0">
                  <c:v>1</c:v>
                </c:pt>
              </c:strCache>
            </c:strRef>
          </c:tx>
          <c:spPr>
            <a:solidFill>
              <a:schemeClr val="accent1"/>
            </a:solidFill>
            <a:ln>
              <a:noFill/>
            </a:ln>
            <a:effectLst/>
          </c:spPr>
          <c:invertIfNegative val="0"/>
          <c:cat>
            <c:strRef>
              <c:f>Sheet3!$A$3:$A$11</c:f>
              <c:strCache>
                <c:ptCount val="8"/>
                <c:pt idx="0">
                  <c:v>SALF</c:v>
                </c:pt>
                <c:pt idx="1">
                  <c:v>DAWNE</c:v>
                </c:pt>
                <c:pt idx="2">
                  <c:v>MOC</c:v>
                </c:pt>
                <c:pt idx="3">
                  <c:v>GAMBO</c:v>
                </c:pt>
                <c:pt idx="4">
                  <c:v>LAX</c:v>
                </c:pt>
                <c:pt idx="5">
                  <c:v>DONANY</c:v>
                </c:pt>
                <c:pt idx="6">
                  <c:v>CHOTUS</c:v>
                </c:pt>
                <c:pt idx="7">
                  <c:v>QUOKAR</c:v>
                </c:pt>
              </c:strCache>
            </c:strRef>
          </c:cat>
          <c:val>
            <c:numRef>
              <c:f>Sheet3!$B$3:$B$11</c:f>
              <c:numCache>
                <c:formatCode>"$"#,##0.00</c:formatCode>
                <c:ptCount val="8"/>
                <c:pt idx="0">
                  <c:v>35716.679999999993</c:v>
                </c:pt>
                <c:pt idx="1">
                  <c:v>35228.509999999995</c:v>
                </c:pt>
                <c:pt idx="2">
                  <c:v>22442.139999999996</c:v>
                </c:pt>
                <c:pt idx="3">
                  <c:v>103947.40999999997</c:v>
                </c:pt>
                <c:pt idx="4">
                  <c:v>28760.919999999991</c:v>
                </c:pt>
                <c:pt idx="5">
                  <c:v>30899.929999999993</c:v>
                </c:pt>
                <c:pt idx="6">
                  <c:v>49953.47</c:v>
                </c:pt>
                <c:pt idx="7">
                  <c:v>35542.549999999996</c:v>
                </c:pt>
              </c:numCache>
            </c:numRef>
          </c:val>
          <c:extLst>
            <c:ext xmlns:c16="http://schemas.microsoft.com/office/drawing/2014/chart" uri="{C3380CC4-5D6E-409C-BE32-E72D297353CC}">
              <c16:uniqueId val="{0000000D-170D-4743-A12E-C52AB6B1EAC1}"/>
            </c:ext>
          </c:extLst>
        </c:ser>
        <c:ser>
          <c:idx val="1"/>
          <c:order val="1"/>
          <c:tx>
            <c:strRef>
              <c:f>Sheet3!$C$1:$C$2</c:f>
              <c:strCache>
                <c:ptCount val="1"/>
                <c:pt idx="0">
                  <c:v>2</c:v>
                </c:pt>
              </c:strCache>
            </c:strRef>
          </c:tx>
          <c:spPr>
            <a:solidFill>
              <a:schemeClr val="accent2"/>
            </a:solidFill>
            <a:ln>
              <a:noFill/>
            </a:ln>
            <a:effectLst/>
          </c:spPr>
          <c:invertIfNegative val="0"/>
          <c:cat>
            <c:strRef>
              <c:f>Sheet3!$A$3:$A$11</c:f>
              <c:strCache>
                <c:ptCount val="8"/>
                <c:pt idx="0">
                  <c:v>SALF</c:v>
                </c:pt>
                <c:pt idx="1">
                  <c:v>DAWNE</c:v>
                </c:pt>
                <c:pt idx="2">
                  <c:v>MOC</c:v>
                </c:pt>
                <c:pt idx="3">
                  <c:v>GAMBO</c:v>
                </c:pt>
                <c:pt idx="4">
                  <c:v>LAX</c:v>
                </c:pt>
                <c:pt idx="5">
                  <c:v>DONANY</c:v>
                </c:pt>
                <c:pt idx="6">
                  <c:v>CHOTUS</c:v>
                </c:pt>
                <c:pt idx="7">
                  <c:v>QUOKAR</c:v>
                </c:pt>
              </c:strCache>
            </c:strRef>
          </c:cat>
          <c:val>
            <c:numRef>
              <c:f>Sheet3!$C$3:$C$11</c:f>
              <c:numCache>
                <c:formatCode>"$"#,##0.00</c:formatCode>
                <c:ptCount val="8"/>
                <c:pt idx="0">
                  <c:v>20577.040000000005</c:v>
                </c:pt>
                <c:pt idx="1">
                  <c:v>27087.699999999997</c:v>
                </c:pt>
                <c:pt idx="2">
                  <c:v>28637.389999999996</c:v>
                </c:pt>
                <c:pt idx="3">
                  <c:v>17671.869999999995</c:v>
                </c:pt>
                <c:pt idx="4">
                  <c:v>26241.759999999991</c:v>
                </c:pt>
                <c:pt idx="5">
                  <c:v>28444.110000000004</c:v>
                </c:pt>
                <c:pt idx="6">
                  <c:v>41396.53</c:v>
                </c:pt>
                <c:pt idx="7">
                  <c:v>58150.74</c:v>
                </c:pt>
              </c:numCache>
            </c:numRef>
          </c:val>
          <c:extLst>
            <c:ext xmlns:c16="http://schemas.microsoft.com/office/drawing/2014/chart" uri="{C3380CC4-5D6E-409C-BE32-E72D297353CC}">
              <c16:uniqueId val="{0000000F-170D-4743-A12E-C52AB6B1EAC1}"/>
            </c:ext>
          </c:extLst>
        </c:ser>
        <c:ser>
          <c:idx val="2"/>
          <c:order val="2"/>
          <c:tx>
            <c:strRef>
              <c:f>Sheet3!$D$1:$D$2</c:f>
              <c:strCache>
                <c:ptCount val="1"/>
                <c:pt idx="0">
                  <c:v>3</c:v>
                </c:pt>
              </c:strCache>
            </c:strRef>
          </c:tx>
          <c:spPr>
            <a:solidFill>
              <a:schemeClr val="accent3"/>
            </a:solidFill>
            <a:ln>
              <a:noFill/>
            </a:ln>
            <a:effectLst/>
          </c:spPr>
          <c:invertIfNegative val="0"/>
          <c:cat>
            <c:strRef>
              <c:f>Sheet3!$A$3:$A$11</c:f>
              <c:strCache>
                <c:ptCount val="8"/>
                <c:pt idx="0">
                  <c:v>SALF</c:v>
                </c:pt>
                <c:pt idx="1">
                  <c:v>DAWNE</c:v>
                </c:pt>
                <c:pt idx="2">
                  <c:v>MOC</c:v>
                </c:pt>
                <c:pt idx="3">
                  <c:v>GAMBO</c:v>
                </c:pt>
                <c:pt idx="4">
                  <c:v>LAX</c:v>
                </c:pt>
                <c:pt idx="5">
                  <c:v>DONANY</c:v>
                </c:pt>
                <c:pt idx="6">
                  <c:v>CHOTUS</c:v>
                </c:pt>
                <c:pt idx="7">
                  <c:v>QUOKAR</c:v>
                </c:pt>
              </c:strCache>
            </c:strRef>
          </c:cat>
          <c:val>
            <c:numRef>
              <c:f>Sheet3!$D$3:$D$11</c:f>
              <c:numCache>
                <c:formatCode>"$"#,##0.00</c:formatCode>
                <c:ptCount val="8"/>
                <c:pt idx="0">
                  <c:v>20375.880000000008</c:v>
                </c:pt>
                <c:pt idx="1">
                  <c:v>29660.57</c:v>
                </c:pt>
                <c:pt idx="2">
                  <c:v>36341.149999999987</c:v>
                </c:pt>
                <c:pt idx="3">
                  <c:v>21942.599999999991</c:v>
                </c:pt>
                <c:pt idx="4">
                  <c:v>53916.17</c:v>
                </c:pt>
                <c:pt idx="5">
                  <c:v>38137.759999999995</c:v>
                </c:pt>
                <c:pt idx="6">
                  <c:v>43727.7</c:v>
                </c:pt>
                <c:pt idx="7">
                  <c:v>61340.080000000009</c:v>
                </c:pt>
              </c:numCache>
            </c:numRef>
          </c:val>
          <c:extLst>
            <c:ext xmlns:c16="http://schemas.microsoft.com/office/drawing/2014/chart" uri="{C3380CC4-5D6E-409C-BE32-E72D297353CC}">
              <c16:uniqueId val="{00000011-170D-4743-A12E-C52AB6B1EAC1}"/>
            </c:ext>
          </c:extLst>
        </c:ser>
        <c:ser>
          <c:idx val="3"/>
          <c:order val="3"/>
          <c:tx>
            <c:strRef>
              <c:f>Sheet3!$E$1:$E$2</c:f>
              <c:strCache>
                <c:ptCount val="1"/>
                <c:pt idx="0">
                  <c:v>4</c:v>
                </c:pt>
              </c:strCache>
            </c:strRef>
          </c:tx>
          <c:spPr>
            <a:solidFill>
              <a:schemeClr val="accent4"/>
            </a:solidFill>
            <a:ln>
              <a:noFill/>
            </a:ln>
            <a:effectLst/>
          </c:spPr>
          <c:invertIfNegative val="0"/>
          <c:cat>
            <c:strRef>
              <c:f>Sheet3!$A$3:$A$11</c:f>
              <c:strCache>
                <c:ptCount val="8"/>
                <c:pt idx="0">
                  <c:v>SALF</c:v>
                </c:pt>
                <c:pt idx="1">
                  <c:v>DAWNE</c:v>
                </c:pt>
                <c:pt idx="2">
                  <c:v>MOC</c:v>
                </c:pt>
                <c:pt idx="3">
                  <c:v>GAMBO</c:v>
                </c:pt>
                <c:pt idx="4">
                  <c:v>LAX</c:v>
                </c:pt>
                <c:pt idx="5">
                  <c:v>DONANY</c:v>
                </c:pt>
                <c:pt idx="6">
                  <c:v>CHOTUS</c:v>
                </c:pt>
                <c:pt idx="7">
                  <c:v>QUOKAR</c:v>
                </c:pt>
              </c:strCache>
            </c:strRef>
          </c:cat>
          <c:val>
            <c:numRef>
              <c:f>Sheet3!$E$3:$E$11</c:f>
              <c:numCache>
                <c:formatCode>"$"#,##0.00</c:formatCode>
                <c:ptCount val="8"/>
                <c:pt idx="0">
                  <c:v>22680.800000000003</c:v>
                </c:pt>
                <c:pt idx="1">
                  <c:v>29958.54</c:v>
                </c:pt>
                <c:pt idx="2">
                  <c:v>32282.529999999995</c:v>
                </c:pt>
                <c:pt idx="3">
                  <c:v>20369.379999999997</c:v>
                </c:pt>
                <c:pt idx="4">
                  <c:v>30432.77</c:v>
                </c:pt>
                <c:pt idx="5">
                  <c:v>38740.12999999999</c:v>
                </c:pt>
                <c:pt idx="6">
                  <c:v>40905.020000000004</c:v>
                </c:pt>
                <c:pt idx="7">
                  <c:v>60250.099999999991</c:v>
                </c:pt>
              </c:numCache>
            </c:numRef>
          </c:val>
          <c:extLst>
            <c:ext xmlns:c16="http://schemas.microsoft.com/office/drawing/2014/chart" uri="{C3380CC4-5D6E-409C-BE32-E72D297353CC}">
              <c16:uniqueId val="{00000013-170D-4743-A12E-C52AB6B1EAC1}"/>
            </c:ext>
          </c:extLst>
        </c:ser>
        <c:ser>
          <c:idx val="4"/>
          <c:order val="4"/>
          <c:tx>
            <c:strRef>
              <c:f>Sheet3!$F$1:$F$2</c:f>
              <c:strCache>
                <c:ptCount val="1"/>
                <c:pt idx="0">
                  <c:v>5</c:v>
                </c:pt>
              </c:strCache>
            </c:strRef>
          </c:tx>
          <c:spPr>
            <a:solidFill>
              <a:schemeClr val="accent5"/>
            </a:solidFill>
            <a:ln>
              <a:noFill/>
            </a:ln>
            <a:effectLst/>
          </c:spPr>
          <c:invertIfNegative val="0"/>
          <c:cat>
            <c:strRef>
              <c:f>Sheet3!$A$3:$A$11</c:f>
              <c:strCache>
                <c:ptCount val="8"/>
                <c:pt idx="0">
                  <c:v>SALF</c:v>
                </c:pt>
                <c:pt idx="1">
                  <c:v>DAWNE</c:v>
                </c:pt>
                <c:pt idx="2">
                  <c:v>MOC</c:v>
                </c:pt>
                <c:pt idx="3">
                  <c:v>GAMBO</c:v>
                </c:pt>
                <c:pt idx="4">
                  <c:v>LAX</c:v>
                </c:pt>
                <c:pt idx="5">
                  <c:v>DONANY</c:v>
                </c:pt>
                <c:pt idx="6">
                  <c:v>CHOTUS</c:v>
                </c:pt>
                <c:pt idx="7">
                  <c:v>QUOKAR</c:v>
                </c:pt>
              </c:strCache>
            </c:strRef>
          </c:cat>
          <c:val>
            <c:numRef>
              <c:f>Sheet3!$F$3:$F$11</c:f>
              <c:numCache>
                <c:formatCode>"$"#,##0.00</c:formatCode>
                <c:ptCount val="8"/>
                <c:pt idx="0">
                  <c:v>21235.690000000002</c:v>
                </c:pt>
                <c:pt idx="1">
                  <c:v>33966.5</c:v>
                </c:pt>
                <c:pt idx="2">
                  <c:v>37841.119999999995</c:v>
                </c:pt>
                <c:pt idx="3">
                  <c:v>19159.860000000004</c:v>
                </c:pt>
                <c:pt idx="4">
                  <c:v>35599.71</c:v>
                </c:pt>
                <c:pt idx="5">
                  <c:v>49876.88</c:v>
                </c:pt>
                <c:pt idx="6">
                  <c:v>53204.329999999994</c:v>
                </c:pt>
                <c:pt idx="7">
                  <c:v>72606.87000000001</c:v>
                </c:pt>
              </c:numCache>
            </c:numRef>
          </c:val>
          <c:extLst>
            <c:ext xmlns:c16="http://schemas.microsoft.com/office/drawing/2014/chart" uri="{C3380CC4-5D6E-409C-BE32-E72D297353CC}">
              <c16:uniqueId val="{00000015-170D-4743-A12E-C52AB6B1EAC1}"/>
            </c:ext>
          </c:extLst>
        </c:ser>
        <c:ser>
          <c:idx val="5"/>
          <c:order val="5"/>
          <c:tx>
            <c:strRef>
              <c:f>Sheet3!$G$1:$G$2</c:f>
              <c:strCache>
                <c:ptCount val="1"/>
                <c:pt idx="0">
                  <c:v>6</c:v>
                </c:pt>
              </c:strCache>
            </c:strRef>
          </c:tx>
          <c:spPr>
            <a:solidFill>
              <a:schemeClr val="accent6"/>
            </a:solidFill>
            <a:ln>
              <a:noFill/>
            </a:ln>
            <a:effectLst/>
          </c:spPr>
          <c:invertIfNegative val="0"/>
          <c:cat>
            <c:strRef>
              <c:f>Sheet3!$A$3:$A$11</c:f>
              <c:strCache>
                <c:ptCount val="8"/>
                <c:pt idx="0">
                  <c:v>SALF</c:v>
                </c:pt>
                <c:pt idx="1">
                  <c:v>DAWNE</c:v>
                </c:pt>
                <c:pt idx="2">
                  <c:v>MOC</c:v>
                </c:pt>
                <c:pt idx="3">
                  <c:v>GAMBO</c:v>
                </c:pt>
                <c:pt idx="4">
                  <c:v>LAX</c:v>
                </c:pt>
                <c:pt idx="5">
                  <c:v>DONANY</c:v>
                </c:pt>
                <c:pt idx="6">
                  <c:v>CHOTUS</c:v>
                </c:pt>
                <c:pt idx="7">
                  <c:v>QUOKAR</c:v>
                </c:pt>
              </c:strCache>
            </c:strRef>
          </c:cat>
          <c:val>
            <c:numRef>
              <c:f>Sheet3!$G$3:$G$11</c:f>
              <c:numCache>
                <c:formatCode>"$"#,##0.00</c:formatCode>
                <c:ptCount val="8"/>
                <c:pt idx="0">
                  <c:v>18937.48</c:v>
                </c:pt>
                <c:pt idx="1">
                  <c:v>25276.7</c:v>
                </c:pt>
                <c:pt idx="2">
                  <c:v>36292.839999999997</c:v>
                </c:pt>
                <c:pt idx="3">
                  <c:v>15304.909999999996</c:v>
                </c:pt>
                <c:pt idx="4">
                  <c:v>30855.7</c:v>
                </c:pt>
                <c:pt idx="5">
                  <c:v>44721.69</c:v>
                </c:pt>
                <c:pt idx="6">
                  <c:v>48474.719999999994</c:v>
                </c:pt>
                <c:pt idx="7">
                  <c:v>70164.62</c:v>
                </c:pt>
              </c:numCache>
            </c:numRef>
          </c:val>
          <c:extLst>
            <c:ext xmlns:c16="http://schemas.microsoft.com/office/drawing/2014/chart" uri="{C3380CC4-5D6E-409C-BE32-E72D297353CC}">
              <c16:uniqueId val="{00000017-170D-4743-A12E-C52AB6B1EAC1}"/>
            </c:ext>
          </c:extLst>
        </c:ser>
        <c:dLbls>
          <c:showLegendKey val="0"/>
          <c:showVal val="0"/>
          <c:showCatName val="0"/>
          <c:showSerName val="0"/>
          <c:showPercent val="0"/>
          <c:showBubbleSize val="0"/>
        </c:dLbls>
        <c:gapWidth val="182"/>
        <c:overlap val="100"/>
        <c:axId val="1953232303"/>
        <c:axId val="1953230863"/>
      </c:barChart>
      <c:catAx>
        <c:axId val="1953232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230863"/>
        <c:crosses val="autoZero"/>
        <c:auto val="1"/>
        <c:lblAlgn val="ctr"/>
        <c:lblOffset val="100"/>
        <c:noMultiLvlLbl val="0"/>
      </c:catAx>
      <c:valAx>
        <c:axId val="19532308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23230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[Finanzas.xlsx]Sheet3!PivotTable1</c:name>
    <c:fmtId val="8"/>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2"/>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33"/>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35"/>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36"/>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8"/>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39"/>
        <c:spPr>
          <a:solidFill>
            <a:schemeClr val="accent3"/>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accent4"/>
          </a:solidFill>
          <a:ln>
            <a:noFill/>
          </a:ln>
          <a:effectLst/>
        </c:spPr>
        <c:marker>
          <c:symbol val="none"/>
        </c:marker>
        <c:dLbl>
          <c:idx val="0"/>
          <c:delete val="1"/>
          <c:extLst>
            <c:ext xmlns:c15="http://schemas.microsoft.com/office/drawing/2012/chart" uri="{CE6537A1-D6FC-4f65-9D91-7224C49458BB}"/>
          </c:extLst>
        </c:dLbl>
      </c:pivotFmt>
      <c:pivotFmt>
        <c:idx val="41"/>
        <c:spPr>
          <a:solidFill>
            <a:schemeClr val="accent5"/>
          </a:solidFill>
          <a:ln>
            <a:noFill/>
          </a:ln>
          <a:effectLst/>
        </c:spPr>
        <c:marker>
          <c:symbol val="none"/>
        </c:marker>
        <c:dLbl>
          <c:idx val="0"/>
          <c:delete val="1"/>
          <c:extLst>
            <c:ext xmlns:c15="http://schemas.microsoft.com/office/drawing/2012/chart" uri="{CE6537A1-D6FC-4f65-9D91-7224C49458BB}"/>
          </c:extLst>
        </c:dLbl>
      </c:pivotFmt>
      <c:pivotFmt>
        <c:idx val="42"/>
        <c:spPr>
          <a:solidFill>
            <a:schemeClr val="accent6"/>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bar"/>
        <c:grouping val="percentStacked"/>
        <c:varyColors val="0"/>
        <c:ser>
          <c:idx val="0"/>
          <c:order val="0"/>
          <c:tx>
            <c:strRef>
              <c:f>Sheet3!$B$1:$B$2</c:f>
              <c:strCache>
                <c:ptCount val="1"/>
                <c:pt idx="0">
                  <c:v>1</c:v>
                </c:pt>
              </c:strCache>
            </c:strRef>
          </c:tx>
          <c:spPr>
            <a:solidFill>
              <a:schemeClr val="accent1"/>
            </a:solidFill>
            <a:ln>
              <a:noFill/>
            </a:ln>
            <a:effectLst/>
          </c:spPr>
          <c:invertIfNegative val="0"/>
          <c:cat>
            <c:strRef>
              <c:f>Sheet3!$A$3:$A$11</c:f>
              <c:strCache>
                <c:ptCount val="8"/>
                <c:pt idx="0">
                  <c:v>SALF</c:v>
                </c:pt>
                <c:pt idx="1">
                  <c:v>DAWNE</c:v>
                </c:pt>
                <c:pt idx="2">
                  <c:v>MOC</c:v>
                </c:pt>
                <c:pt idx="3">
                  <c:v>GAMBO</c:v>
                </c:pt>
                <c:pt idx="4">
                  <c:v>LAX</c:v>
                </c:pt>
                <c:pt idx="5">
                  <c:v>DONANY</c:v>
                </c:pt>
                <c:pt idx="6">
                  <c:v>CHOTUS</c:v>
                </c:pt>
                <c:pt idx="7">
                  <c:v>QUOKAR</c:v>
                </c:pt>
              </c:strCache>
            </c:strRef>
          </c:cat>
          <c:val>
            <c:numRef>
              <c:f>Sheet3!$B$3:$B$11</c:f>
              <c:numCache>
                <c:formatCode>"$"#,##0.00</c:formatCode>
                <c:ptCount val="8"/>
                <c:pt idx="0">
                  <c:v>35716.679999999993</c:v>
                </c:pt>
                <c:pt idx="1">
                  <c:v>35228.509999999995</c:v>
                </c:pt>
                <c:pt idx="2">
                  <c:v>22442.139999999996</c:v>
                </c:pt>
                <c:pt idx="3">
                  <c:v>103947.40999999997</c:v>
                </c:pt>
                <c:pt idx="4">
                  <c:v>28760.919999999991</c:v>
                </c:pt>
                <c:pt idx="5">
                  <c:v>30899.929999999993</c:v>
                </c:pt>
                <c:pt idx="6">
                  <c:v>49953.47</c:v>
                </c:pt>
                <c:pt idx="7">
                  <c:v>35542.549999999996</c:v>
                </c:pt>
              </c:numCache>
            </c:numRef>
          </c:val>
          <c:extLst>
            <c:ext xmlns:c16="http://schemas.microsoft.com/office/drawing/2014/chart" uri="{C3380CC4-5D6E-409C-BE32-E72D297353CC}">
              <c16:uniqueId val="{00000000-5B26-4A91-B233-4467F8B3F6A9}"/>
            </c:ext>
          </c:extLst>
        </c:ser>
        <c:ser>
          <c:idx val="1"/>
          <c:order val="1"/>
          <c:tx>
            <c:strRef>
              <c:f>Sheet3!$C$1:$C$2</c:f>
              <c:strCache>
                <c:ptCount val="1"/>
                <c:pt idx="0">
                  <c:v>2</c:v>
                </c:pt>
              </c:strCache>
            </c:strRef>
          </c:tx>
          <c:spPr>
            <a:solidFill>
              <a:schemeClr val="accent2"/>
            </a:solidFill>
            <a:ln>
              <a:noFill/>
            </a:ln>
            <a:effectLst/>
          </c:spPr>
          <c:invertIfNegative val="0"/>
          <c:cat>
            <c:strRef>
              <c:f>Sheet3!$A$3:$A$11</c:f>
              <c:strCache>
                <c:ptCount val="8"/>
                <c:pt idx="0">
                  <c:v>SALF</c:v>
                </c:pt>
                <c:pt idx="1">
                  <c:v>DAWNE</c:v>
                </c:pt>
                <c:pt idx="2">
                  <c:v>MOC</c:v>
                </c:pt>
                <c:pt idx="3">
                  <c:v>GAMBO</c:v>
                </c:pt>
                <c:pt idx="4">
                  <c:v>LAX</c:v>
                </c:pt>
                <c:pt idx="5">
                  <c:v>DONANY</c:v>
                </c:pt>
                <c:pt idx="6">
                  <c:v>CHOTUS</c:v>
                </c:pt>
                <c:pt idx="7">
                  <c:v>QUOKAR</c:v>
                </c:pt>
              </c:strCache>
            </c:strRef>
          </c:cat>
          <c:val>
            <c:numRef>
              <c:f>Sheet3!$C$3:$C$11</c:f>
              <c:numCache>
                <c:formatCode>"$"#,##0.00</c:formatCode>
                <c:ptCount val="8"/>
                <c:pt idx="0">
                  <c:v>20577.040000000005</c:v>
                </c:pt>
                <c:pt idx="1">
                  <c:v>27087.699999999997</c:v>
                </c:pt>
                <c:pt idx="2">
                  <c:v>28637.389999999996</c:v>
                </c:pt>
                <c:pt idx="3">
                  <c:v>17671.869999999995</c:v>
                </c:pt>
                <c:pt idx="4">
                  <c:v>26241.759999999991</c:v>
                </c:pt>
                <c:pt idx="5">
                  <c:v>28444.110000000004</c:v>
                </c:pt>
                <c:pt idx="6">
                  <c:v>41396.53</c:v>
                </c:pt>
                <c:pt idx="7">
                  <c:v>58150.74</c:v>
                </c:pt>
              </c:numCache>
            </c:numRef>
          </c:val>
          <c:extLst>
            <c:ext xmlns:c16="http://schemas.microsoft.com/office/drawing/2014/chart" uri="{C3380CC4-5D6E-409C-BE32-E72D297353CC}">
              <c16:uniqueId val="{00000001-5B26-4A91-B233-4467F8B3F6A9}"/>
            </c:ext>
          </c:extLst>
        </c:ser>
        <c:ser>
          <c:idx val="2"/>
          <c:order val="2"/>
          <c:tx>
            <c:strRef>
              <c:f>Sheet3!$D$1:$D$2</c:f>
              <c:strCache>
                <c:ptCount val="1"/>
                <c:pt idx="0">
                  <c:v>3</c:v>
                </c:pt>
              </c:strCache>
            </c:strRef>
          </c:tx>
          <c:spPr>
            <a:solidFill>
              <a:schemeClr val="accent3"/>
            </a:solidFill>
            <a:ln>
              <a:noFill/>
            </a:ln>
            <a:effectLst/>
          </c:spPr>
          <c:invertIfNegative val="0"/>
          <c:cat>
            <c:strRef>
              <c:f>Sheet3!$A$3:$A$11</c:f>
              <c:strCache>
                <c:ptCount val="8"/>
                <c:pt idx="0">
                  <c:v>SALF</c:v>
                </c:pt>
                <c:pt idx="1">
                  <c:v>DAWNE</c:v>
                </c:pt>
                <c:pt idx="2">
                  <c:v>MOC</c:v>
                </c:pt>
                <c:pt idx="3">
                  <c:v>GAMBO</c:v>
                </c:pt>
                <c:pt idx="4">
                  <c:v>LAX</c:v>
                </c:pt>
                <c:pt idx="5">
                  <c:v>DONANY</c:v>
                </c:pt>
                <c:pt idx="6">
                  <c:v>CHOTUS</c:v>
                </c:pt>
                <c:pt idx="7">
                  <c:v>QUOKAR</c:v>
                </c:pt>
              </c:strCache>
            </c:strRef>
          </c:cat>
          <c:val>
            <c:numRef>
              <c:f>Sheet3!$D$3:$D$11</c:f>
              <c:numCache>
                <c:formatCode>"$"#,##0.00</c:formatCode>
                <c:ptCount val="8"/>
                <c:pt idx="0">
                  <c:v>20375.880000000008</c:v>
                </c:pt>
                <c:pt idx="1">
                  <c:v>29660.57</c:v>
                </c:pt>
                <c:pt idx="2">
                  <c:v>36341.149999999987</c:v>
                </c:pt>
                <c:pt idx="3">
                  <c:v>21942.599999999991</c:v>
                </c:pt>
                <c:pt idx="4">
                  <c:v>53916.17</c:v>
                </c:pt>
                <c:pt idx="5">
                  <c:v>38137.759999999995</c:v>
                </c:pt>
                <c:pt idx="6">
                  <c:v>43727.7</c:v>
                </c:pt>
                <c:pt idx="7">
                  <c:v>61340.080000000009</c:v>
                </c:pt>
              </c:numCache>
            </c:numRef>
          </c:val>
          <c:extLst>
            <c:ext xmlns:c16="http://schemas.microsoft.com/office/drawing/2014/chart" uri="{C3380CC4-5D6E-409C-BE32-E72D297353CC}">
              <c16:uniqueId val="{00000002-5B26-4A91-B233-4467F8B3F6A9}"/>
            </c:ext>
          </c:extLst>
        </c:ser>
        <c:ser>
          <c:idx val="3"/>
          <c:order val="3"/>
          <c:tx>
            <c:strRef>
              <c:f>Sheet3!$E$1:$E$2</c:f>
              <c:strCache>
                <c:ptCount val="1"/>
                <c:pt idx="0">
                  <c:v>4</c:v>
                </c:pt>
              </c:strCache>
            </c:strRef>
          </c:tx>
          <c:spPr>
            <a:solidFill>
              <a:schemeClr val="accent4"/>
            </a:solidFill>
            <a:ln>
              <a:noFill/>
            </a:ln>
            <a:effectLst/>
          </c:spPr>
          <c:invertIfNegative val="0"/>
          <c:cat>
            <c:strRef>
              <c:f>Sheet3!$A$3:$A$11</c:f>
              <c:strCache>
                <c:ptCount val="8"/>
                <c:pt idx="0">
                  <c:v>SALF</c:v>
                </c:pt>
                <c:pt idx="1">
                  <c:v>DAWNE</c:v>
                </c:pt>
                <c:pt idx="2">
                  <c:v>MOC</c:v>
                </c:pt>
                <c:pt idx="3">
                  <c:v>GAMBO</c:v>
                </c:pt>
                <c:pt idx="4">
                  <c:v>LAX</c:v>
                </c:pt>
                <c:pt idx="5">
                  <c:v>DONANY</c:v>
                </c:pt>
                <c:pt idx="6">
                  <c:v>CHOTUS</c:v>
                </c:pt>
                <c:pt idx="7">
                  <c:v>QUOKAR</c:v>
                </c:pt>
              </c:strCache>
            </c:strRef>
          </c:cat>
          <c:val>
            <c:numRef>
              <c:f>Sheet3!$E$3:$E$11</c:f>
              <c:numCache>
                <c:formatCode>"$"#,##0.00</c:formatCode>
                <c:ptCount val="8"/>
                <c:pt idx="0">
                  <c:v>22680.800000000003</c:v>
                </c:pt>
                <c:pt idx="1">
                  <c:v>29958.54</c:v>
                </c:pt>
                <c:pt idx="2">
                  <c:v>32282.529999999995</c:v>
                </c:pt>
                <c:pt idx="3">
                  <c:v>20369.379999999997</c:v>
                </c:pt>
                <c:pt idx="4">
                  <c:v>30432.77</c:v>
                </c:pt>
                <c:pt idx="5">
                  <c:v>38740.12999999999</c:v>
                </c:pt>
                <c:pt idx="6">
                  <c:v>40905.020000000004</c:v>
                </c:pt>
                <c:pt idx="7">
                  <c:v>60250.099999999991</c:v>
                </c:pt>
              </c:numCache>
            </c:numRef>
          </c:val>
          <c:extLst>
            <c:ext xmlns:c16="http://schemas.microsoft.com/office/drawing/2014/chart" uri="{C3380CC4-5D6E-409C-BE32-E72D297353CC}">
              <c16:uniqueId val="{00000003-5B26-4A91-B233-4467F8B3F6A9}"/>
            </c:ext>
          </c:extLst>
        </c:ser>
        <c:ser>
          <c:idx val="4"/>
          <c:order val="4"/>
          <c:tx>
            <c:strRef>
              <c:f>Sheet3!$F$1:$F$2</c:f>
              <c:strCache>
                <c:ptCount val="1"/>
                <c:pt idx="0">
                  <c:v>5</c:v>
                </c:pt>
              </c:strCache>
            </c:strRef>
          </c:tx>
          <c:spPr>
            <a:solidFill>
              <a:schemeClr val="accent5"/>
            </a:solidFill>
            <a:ln>
              <a:noFill/>
            </a:ln>
            <a:effectLst/>
          </c:spPr>
          <c:invertIfNegative val="0"/>
          <c:cat>
            <c:strRef>
              <c:f>Sheet3!$A$3:$A$11</c:f>
              <c:strCache>
                <c:ptCount val="8"/>
                <c:pt idx="0">
                  <c:v>SALF</c:v>
                </c:pt>
                <c:pt idx="1">
                  <c:v>DAWNE</c:v>
                </c:pt>
                <c:pt idx="2">
                  <c:v>MOC</c:v>
                </c:pt>
                <c:pt idx="3">
                  <c:v>GAMBO</c:v>
                </c:pt>
                <c:pt idx="4">
                  <c:v>LAX</c:v>
                </c:pt>
                <c:pt idx="5">
                  <c:v>DONANY</c:v>
                </c:pt>
                <c:pt idx="6">
                  <c:v>CHOTUS</c:v>
                </c:pt>
                <c:pt idx="7">
                  <c:v>QUOKAR</c:v>
                </c:pt>
              </c:strCache>
            </c:strRef>
          </c:cat>
          <c:val>
            <c:numRef>
              <c:f>Sheet3!$F$3:$F$11</c:f>
              <c:numCache>
                <c:formatCode>"$"#,##0.00</c:formatCode>
                <c:ptCount val="8"/>
                <c:pt idx="0">
                  <c:v>21235.690000000002</c:v>
                </c:pt>
                <c:pt idx="1">
                  <c:v>33966.5</c:v>
                </c:pt>
                <c:pt idx="2">
                  <c:v>37841.119999999995</c:v>
                </c:pt>
                <c:pt idx="3">
                  <c:v>19159.860000000004</c:v>
                </c:pt>
                <c:pt idx="4">
                  <c:v>35599.71</c:v>
                </c:pt>
                <c:pt idx="5">
                  <c:v>49876.88</c:v>
                </c:pt>
                <c:pt idx="6">
                  <c:v>53204.329999999994</c:v>
                </c:pt>
                <c:pt idx="7">
                  <c:v>72606.87000000001</c:v>
                </c:pt>
              </c:numCache>
            </c:numRef>
          </c:val>
          <c:extLst>
            <c:ext xmlns:c16="http://schemas.microsoft.com/office/drawing/2014/chart" uri="{C3380CC4-5D6E-409C-BE32-E72D297353CC}">
              <c16:uniqueId val="{00000004-5B26-4A91-B233-4467F8B3F6A9}"/>
            </c:ext>
          </c:extLst>
        </c:ser>
        <c:ser>
          <c:idx val="5"/>
          <c:order val="5"/>
          <c:tx>
            <c:strRef>
              <c:f>Sheet3!$G$1:$G$2</c:f>
              <c:strCache>
                <c:ptCount val="1"/>
                <c:pt idx="0">
                  <c:v>6</c:v>
                </c:pt>
              </c:strCache>
            </c:strRef>
          </c:tx>
          <c:spPr>
            <a:solidFill>
              <a:schemeClr val="accent6"/>
            </a:solidFill>
            <a:ln>
              <a:noFill/>
            </a:ln>
            <a:effectLst/>
          </c:spPr>
          <c:invertIfNegative val="0"/>
          <c:cat>
            <c:strRef>
              <c:f>Sheet3!$A$3:$A$11</c:f>
              <c:strCache>
                <c:ptCount val="8"/>
                <c:pt idx="0">
                  <c:v>SALF</c:v>
                </c:pt>
                <c:pt idx="1">
                  <c:v>DAWNE</c:v>
                </c:pt>
                <c:pt idx="2">
                  <c:v>MOC</c:v>
                </c:pt>
                <c:pt idx="3">
                  <c:v>GAMBO</c:v>
                </c:pt>
                <c:pt idx="4">
                  <c:v>LAX</c:v>
                </c:pt>
                <c:pt idx="5">
                  <c:v>DONANY</c:v>
                </c:pt>
                <c:pt idx="6">
                  <c:v>CHOTUS</c:v>
                </c:pt>
                <c:pt idx="7">
                  <c:v>QUOKAR</c:v>
                </c:pt>
              </c:strCache>
            </c:strRef>
          </c:cat>
          <c:val>
            <c:numRef>
              <c:f>Sheet3!$G$3:$G$11</c:f>
              <c:numCache>
                <c:formatCode>"$"#,##0.00</c:formatCode>
                <c:ptCount val="8"/>
                <c:pt idx="0">
                  <c:v>18937.48</c:v>
                </c:pt>
                <c:pt idx="1">
                  <c:v>25276.7</c:v>
                </c:pt>
                <c:pt idx="2">
                  <c:v>36292.839999999997</c:v>
                </c:pt>
                <c:pt idx="3">
                  <c:v>15304.909999999996</c:v>
                </c:pt>
                <c:pt idx="4">
                  <c:v>30855.7</c:v>
                </c:pt>
                <c:pt idx="5">
                  <c:v>44721.69</c:v>
                </c:pt>
                <c:pt idx="6">
                  <c:v>48474.719999999994</c:v>
                </c:pt>
                <c:pt idx="7">
                  <c:v>70164.62</c:v>
                </c:pt>
              </c:numCache>
            </c:numRef>
          </c:val>
          <c:extLst>
            <c:ext xmlns:c16="http://schemas.microsoft.com/office/drawing/2014/chart" uri="{C3380CC4-5D6E-409C-BE32-E72D297353CC}">
              <c16:uniqueId val="{00000005-5B26-4A91-B233-4467F8B3F6A9}"/>
            </c:ext>
          </c:extLst>
        </c:ser>
        <c:dLbls>
          <c:showLegendKey val="0"/>
          <c:showVal val="0"/>
          <c:showCatName val="0"/>
          <c:showSerName val="0"/>
          <c:showPercent val="0"/>
          <c:showBubbleSize val="0"/>
        </c:dLbls>
        <c:gapWidth val="182"/>
        <c:overlap val="100"/>
        <c:axId val="1953232303"/>
        <c:axId val="1953230863"/>
      </c:barChart>
      <c:catAx>
        <c:axId val="19532323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230863"/>
        <c:crosses val="autoZero"/>
        <c:auto val="1"/>
        <c:lblAlgn val="ctr"/>
        <c:lblOffset val="100"/>
        <c:noMultiLvlLbl val="0"/>
      </c:catAx>
      <c:valAx>
        <c:axId val="19532308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23230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[Finanzas.xlsx]Tablas_Ingresos!Region_Ingresos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Ingresos</a:t>
            </a:r>
            <a:r>
              <a:rPr lang="en-US" baseline="0"/>
              <a:t> por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s>
    <c:plotArea>
      <c:layout/>
      <c:doughnutChart>
        <c:varyColors val="1"/>
        <c:ser>
          <c:idx val="0"/>
          <c:order val="0"/>
          <c:tx>
            <c:strRef>
              <c:f>Tablas_Ingresos!$B$1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54F-4D70-8E01-A0FB7602973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54F-4D70-8E01-A0FB7602973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54F-4D70-8E01-A0FB7602973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54F-4D70-8E01-A0FB7602973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54F-4D70-8E01-A0FB7602973D}"/>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54F-4D70-8E01-A0FB7602973D}"/>
              </c:ext>
            </c:extLst>
          </c:dPt>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Tablas_Ingresos!$A$2:$A$8</c:f>
              <c:strCache>
                <c:ptCount val="6"/>
                <c:pt idx="0">
                  <c:v>Argentina</c:v>
                </c:pt>
                <c:pt idx="1">
                  <c:v>Canada</c:v>
                </c:pt>
                <c:pt idx="2">
                  <c:v>Chile</c:v>
                </c:pt>
                <c:pt idx="3">
                  <c:v>Colombia</c:v>
                </c:pt>
                <c:pt idx="4">
                  <c:v>Mexico</c:v>
                </c:pt>
                <c:pt idx="5">
                  <c:v>Peru</c:v>
                </c:pt>
              </c:strCache>
            </c:strRef>
          </c:cat>
          <c:val>
            <c:numRef>
              <c:f>Tablas_Ingresos!$B$2:$B$8</c:f>
              <c:numCache>
                <c:formatCode>#,##0.00</c:formatCode>
                <c:ptCount val="6"/>
                <c:pt idx="0">
                  <c:v>175551.85000000015</c:v>
                </c:pt>
                <c:pt idx="1">
                  <c:v>409271.8</c:v>
                </c:pt>
                <c:pt idx="2">
                  <c:v>449784.71000000014</c:v>
                </c:pt>
                <c:pt idx="3">
                  <c:v>181243.52000000002</c:v>
                </c:pt>
                <c:pt idx="4">
                  <c:v>224369.16999999998</c:v>
                </c:pt>
                <c:pt idx="5">
                  <c:v>345058.49999999983</c:v>
                </c:pt>
              </c:numCache>
            </c:numRef>
          </c:val>
          <c:extLst>
            <c:ext xmlns:c16="http://schemas.microsoft.com/office/drawing/2014/chart" uri="{C3380CC4-5D6E-409C-BE32-E72D297353CC}">
              <c16:uniqueId val="{0000000C-E54F-4D70-8E01-A0FB7602973D}"/>
            </c:ext>
          </c:extLst>
        </c:ser>
        <c:dLbls>
          <c:showLegendKey val="0"/>
          <c:showVal val="1"/>
          <c:showCatName val="0"/>
          <c:showSerName val="0"/>
          <c:showPercent val="0"/>
          <c:showBubbleSize val="0"/>
          <c:showLeaderLines val="1"/>
        </c:dLbls>
        <c:firstSliceAng val="0"/>
        <c:holeSize val="4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rgbClr val="AD84C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[Finanzas.xlsx]Tablas_Ingresos!Tipo_Producto_Ingresos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Ingresos</a:t>
            </a:r>
            <a:r>
              <a:rPr lang="en-US" baseline="0"/>
              <a:t> por tipo de producto</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Tablas_Ingresos!$B$13</c:f>
              <c:strCache>
                <c:ptCount val="1"/>
                <c:pt idx="0">
                  <c:v>Total</c:v>
                </c:pt>
              </c:strCache>
            </c:strRef>
          </c:tx>
          <c:spPr>
            <a:solidFill>
              <a:schemeClr val="accent1"/>
            </a:solidFill>
            <a:ln>
              <a:noFill/>
            </a:ln>
            <a:effectLst/>
          </c:spPr>
          <c:invertIfNegative val="0"/>
          <c:cat>
            <c:strRef>
              <c:f>Tablas_Ingresos!$A$14:$A$22</c:f>
              <c:strCache>
                <c:ptCount val="8"/>
                <c:pt idx="0">
                  <c:v>QUOKAR</c:v>
                </c:pt>
                <c:pt idx="1">
                  <c:v>CHOTUS</c:v>
                </c:pt>
                <c:pt idx="2">
                  <c:v>DONANY</c:v>
                </c:pt>
                <c:pt idx="3">
                  <c:v>LAX</c:v>
                </c:pt>
                <c:pt idx="4">
                  <c:v>GAMBO</c:v>
                </c:pt>
                <c:pt idx="5">
                  <c:v>MOC</c:v>
                </c:pt>
                <c:pt idx="6">
                  <c:v>DAWNE</c:v>
                </c:pt>
                <c:pt idx="7">
                  <c:v>SALF</c:v>
                </c:pt>
              </c:strCache>
            </c:strRef>
          </c:cat>
          <c:val>
            <c:numRef>
              <c:f>Tablas_Ingresos!$B$14:$B$22</c:f>
              <c:numCache>
                <c:formatCode>#,##0.00</c:formatCode>
                <c:ptCount val="8"/>
                <c:pt idx="0">
                  <c:v>358054.96000000014</c:v>
                </c:pt>
                <c:pt idx="1">
                  <c:v>277661.77000000008</c:v>
                </c:pt>
                <c:pt idx="2">
                  <c:v>230820.49999999997</c:v>
                </c:pt>
                <c:pt idx="3">
                  <c:v>205807.02999999997</c:v>
                </c:pt>
                <c:pt idx="4">
                  <c:v>198396.03</c:v>
                </c:pt>
                <c:pt idx="5">
                  <c:v>193837.17000000004</c:v>
                </c:pt>
                <c:pt idx="6">
                  <c:v>181178.52000000005</c:v>
                </c:pt>
                <c:pt idx="7">
                  <c:v>139523.57</c:v>
                </c:pt>
              </c:numCache>
            </c:numRef>
          </c:val>
          <c:extLst>
            <c:ext xmlns:c16="http://schemas.microsoft.com/office/drawing/2014/chart" uri="{C3380CC4-5D6E-409C-BE32-E72D297353CC}">
              <c16:uniqueId val="{00000000-1371-41C9-B7A9-C86901F4803A}"/>
            </c:ext>
          </c:extLst>
        </c:ser>
        <c:dLbls>
          <c:showLegendKey val="0"/>
          <c:showVal val="0"/>
          <c:showCatName val="0"/>
          <c:showSerName val="0"/>
          <c:showPercent val="0"/>
          <c:showBubbleSize val="0"/>
        </c:dLbls>
        <c:gapWidth val="219"/>
        <c:overlap val="-27"/>
        <c:axId val="2012519519"/>
        <c:axId val="2012516639"/>
      </c:barChart>
      <c:catAx>
        <c:axId val="20125195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516639"/>
        <c:crosses val="autoZero"/>
        <c:auto val="1"/>
        <c:lblAlgn val="ctr"/>
        <c:lblOffset val="100"/>
        <c:noMultiLvlLbl val="0"/>
      </c:catAx>
      <c:valAx>
        <c:axId val="20125166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2519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[Finanzas.xlsx]Tablas_Ingresos!Periodo_Ingresos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Ingresos por periodo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3492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34925" cap="rnd">
            <a:solidFill>
              <a:schemeClr val="accent1">
                <a:lumMod val="50000"/>
              </a:schemeClr>
            </a:solidFill>
            <a:round/>
          </a:ln>
          <a:effectLst/>
        </c:spPr>
        <c:marker>
          <c:symbol val="none"/>
        </c:marker>
      </c:pivotFmt>
      <c:pivotFmt>
        <c:idx val="2"/>
        <c:spPr>
          <a:solidFill>
            <a:schemeClr val="accent1"/>
          </a:solidFill>
          <a:ln w="3492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3492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34925" cap="rnd">
            <a:solidFill>
              <a:schemeClr val="accent1">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rgbClr val="AD84C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Tablas_Ingresos!$B$25</c:f>
              <c:strCache>
                <c:ptCount val="1"/>
                <c:pt idx="0">
                  <c:v>Total</c:v>
                </c:pt>
              </c:strCache>
            </c:strRef>
          </c:tx>
          <c:spPr>
            <a:ln w="34925" cap="rnd">
              <a:solidFill>
                <a:srgbClr val="AD84C6"/>
              </a:solidFill>
              <a:round/>
            </a:ln>
            <a:effectLst/>
          </c:spPr>
          <c:marker>
            <c:symbol val="none"/>
          </c:marker>
          <c:trendline>
            <c:spPr>
              <a:ln w="19050" cap="rnd">
                <a:solidFill>
                  <a:srgbClr val="AD84C6"/>
                </a:solidFill>
                <a:prstDash val="sysDot"/>
              </a:ln>
              <a:effectLst/>
            </c:spPr>
            <c:trendlineType val="linear"/>
            <c:dispRSqr val="0"/>
            <c:dispEq val="0"/>
          </c:trendline>
          <c:cat>
            <c:strRef>
              <c:f>Tablas_Ingresos!$A$26:$A$32</c:f>
              <c:strCache>
                <c:ptCount val="6"/>
                <c:pt idx="0">
                  <c:v>1</c:v>
                </c:pt>
                <c:pt idx="1">
                  <c:v>2</c:v>
                </c:pt>
                <c:pt idx="2">
                  <c:v>3</c:v>
                </c:pt>
                <c:pt idx="3">
                  <c:v>4</c:v>
                </c:pt>
                <c:pt idx="4">
                  <c:v>5</c:v>
                </c:pt>
                <c:pt idx="5">
                  <c:v>6</c:v>
                </c:pt>
              </c:strCache>
            </c:strRef>
          </c:cat>
          <c:val>
            <c:numRef>
              <c:f>Tablas_Ingresos!$B$26:$B$32</c:f>
              <c:numCache>
                <c:formatCode>#,##0.00</c:formatCode>
                <c:ptCount val="6"/>
                <c:pt idx="0">
                  <c:v>342491.60999999975</c:v>
                </c:pt>
                <c:pt idx="1">
                  <c:v>248207.13999999993</c:v>
                </c:pt>
                <c:pt idx="2">
                  <c:v>305441.90999999986</c:v>
                </c:pt>
                <c:pt idx="3">
                  <c:v>275619.27000000008</c:v>
                </c:pt>
                <c:pt idx="4">
                  <c:v>323490.96000000008</c:v>
                </c:pt>
                <c:pt idx="5">
                  <c:v>290028.6599999998</c:v>
                </c:pt>
              </c:numCache>
            </c:numRef>
          </c:val>
          <c:smooth val="1"/>
          <c:extLst>
            <c:ext xmlns:c16="http://schemas.microsoft.com/office/drawing/2014/chart" uri="{C3380CC4-5D6E-409C-BE32-E72D297353CC}">
              <c16:uniqueId val="{00000001-951B-42E1-8F8A-2EAED3CCF916}"/>
            </c:ext>
          </c:extLst>
        </c:ser>
        <c:dLbls>
          <c:showLegendKey val="0"/>
          <c:showVal val="0"/>
          <c:showCatName val="0"/>
          <c:showSerName val="0"/>
          <c:showPercent val="0"/>
          <c:showBubbleSize val="0"/>
        </c:dLbls>
        <c:smooth val="0"/>
        <c:axId val="541501936"/>
        <c:axId val="541502896"/>
      </c:lineChart>
      <c:catAx>
        <c:axId val="54150193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Periodos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502896"/>
        <c:crosses val="autoZero"/>
        <c:auto val="1"/>
        <c:lblAlgn val="ctr"/>
        <c:lblOffset val="100"/>
        <c:noMultiLvlLbl val="0"/>
      </c:catAx>
      <c:valAx>
        <c:axId val="5415028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1501936"/>
        <c:crosses val="autoZero"/>
        <c:crossBetween val="between"/>
      </c:valAx>
      <c:spPr>
        <a:noFill/>
        <a:ln>
          <a:noFill/>
        </a:ln>
        <a:effectLst/>
      </c:spPr>
    </c:plotArea>
    <c:plotVisOnly val="1"/>
    <c:dispBlanksAs val="gap"/>
    <c:showDLblsOverMax val="0"/>
    <c:extLst/>
  </c:chart>
  <c:spPr>
    <a:solidFill>
      <a:schemeClr val="bg1"/>
    </a:solidFill>
    <a:ln w="15875" cap="flat" cmpd="sng" algn="ctr">
      <a:solidFill>
        <a:srgbClr val="AD84C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[Finanzas.xlsx]Tablas_Ingresos!Cliente_Ingresos</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Principales</a:t>
            </a:r>
            <a:r>
              <a:rPr lang="en-US" baseline="0"/>
              <a:t> clientes Ingresos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901466913409349"/>
          <c:y val="0.17171296296296296"/>
          <c:w val="0.71340642697039125"/>
          <c:h val="0.61903579760863214"/>
        </c:manualLayout>
      </c:layout>
      <c:barChart>
        <c:barDir val="bar"/>
        <c:grouping val="clustered"/>
        <c:varyColors val="0"/>
        <c:ser>
          <c:idx val="0"/>
          <c:order val="0"/>
          <c:tx>
            <c:strRef>
              <c:f>Tablas_Ingresos!$B$35</c:f>
              <c:strCache>
                <c:ptCount val="1"/>
                <c:pt idx="0">
                  <c:v>Total</c:v>
                </c:pt>
              </c:strCache>
            </c:strRef>
          </c:tx>
          <c:spPr>
            <a:solidFill>
              <a:schemeClr val="accent1"/>
            </a:solidFill>
            <a:ln>
              <a:noFill/>
            </a:ln>
            <a:effectLst/>
          </c:spPr>
          <c:invertIfNegative val="0"/>
          <c:cat>
            <c:strRef>
              <c:f>Tablas_Ingresos!$A$36:$A$41</c:f>
              <c:strCache>
                <c:ptCount val="5"/>
                <c:pt idx="0">
                  <c:v>Stokes, Lind and Jacobs</c:v>
                </c:pt>
                <c:pt idx="1">
                  <c:v>Emmerich LLC</c:v>
                </c:pt>
                <c:pt idx="2">
                  <c:v>Monahan-Tromp</c:v>
                </c:pt>
                <c:pt idx="3">
                  <c:v>Breitenberg-Mosciski</c:v>
                </c:pt>
                <c:pt idx="4">
                  <c:v>Jones &amp; Sons</c:v>
                </c:pt>
              </c:strCache>
            </c:strRef>
          </c:cat>
          <c:val>
            <c:numRef>
              <c:f>Tablas_Ingresos!$B$36:$B$41</c:f>
              <c:numCache>
                <c:formatCode>#,##0.00</c:formatCode>
                <c:ptCount val="5"/>
                <c:pt idx="0">
                  <c:v>88089.98</c:v>
                </c:pt>
                <c:pt idx="1">
                  <c:v>102995.76</c:v>
                </c:pt>
                <c:pt idx="2">
                  <c:v>218826.78</c:v>
                </c:pt>
                <c:pt idx="3">
                  <c:v>268565.8</c:v>
                </c:pt>
                <c:pt idx="4">
                  <c:v>353024.02999999991</c:v>
                </c:pt>
              </c:numCache>
            </c:numRef>
          </c:val>
          <c:extLst>
            <c:ext xmlns:c16="http://schemas.microsoft.com/office/drawing/2014/chart" uri="{C3380CC4-5D6E-409C-BE32-E72D297353CC}">
              <c16:uniqueId val="{00000000-782B-4058-A6DC-8A2F8C2F9074}"/>
            </c:ext>
          </c:extLst>
        </c:ser>
        <c:dLbls>
          <c:showLegendKey val="0"/>
          <c:showVal val="0"/>
          <c:showCatName val="0"/>
          <c:showSerName val="0"/>
          <c:showPercent val="0"/>
          <c:showBubbleSize val="0"/>
        </c:dLbls>
        <c:gapWidth val="182"/>
        <c:axId val="2031111119"/>
        <c:axId val="2031108719"/>
      </c:barChart>
      <c:catAx>
        <c:axId val="20311111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108719"/>
        <c:crosses val="autoZero"/>
        <c:auto val="1"/>
        <c:lblAlgn val="ctr"/>
        <c:lblOffset val="100"/>
        <c:noMultiLvlLbl val="0"/>
      </c:catAx>
      <c:valAx>
        <c:axId val="203110871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11111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rgbClr val="AD84C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[Finanzas.xlsx]Tablas_Ingresos!Producto_Ingresos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Principales productos</a:t>
            </a:r>
            <a:r>
              <a:rPr lang="en-US" baseline="0"/>
              <a:t> ingresos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329846191871352"/>
          <c:y val="0.15511193712843216"/>
          <c:w val="0.71912263963026513"/>
          <c:h val="0.60986454794101941"/>
        </c:manualLayout>
      </c:layout>
      <c:barChart>
        <c:barDir val="bar"/>
        <c:grouping val="clustered"/>
        <c:varyColors val="0"/>
        <c:ser>
          <c:idx val="0"/>
          <c:order val="0"/>
          <c:tx>
            <c:strRef>
              <c:f>Tablas_Ingresos!$B$44</c:f>
              <c:strCache>
                <c:ptCount val="1"/>
                <c:pt idx="0">
                  <c:v>Total</c:v>
                </c:pt>
              </c:strCache>
            </c:strRef>
          </c:tx>
          <c:spPr>
            <a:solidFill>
              <a:schemeClr val="accent1"/>
            </a:solidFill>
            <a:ln>
              <a:noFill/>
            </a:ln>
            <a:effectLst/>
          </c:spPr>
          <c:invertIfNegative val="0"/>
          <c:cat>
            <c:strRef>
              <c:f>Tablas_Ingresos!$A$45:$A$50</c:f>
              <c:strCache>
                <c:ptCount val="5"/>
                <c:pt idx="0">
                  <c:v>Muffin Batt - Choc Chk</c:v>
                </c:pt>
                <c:pt idx="1">
                  <c:v>Evaporated Milk - Skim</c:v>
                </c:pt>
                <c:pt idx="2">
                  <c:v>Thyme - Fresh</c:v>
                </c:pt>
                <c:pt idx="3">
                  <c:v>Wild Mix 3#/cs</c:v>
                </c:pt>
                <c:pt idx="4">
                  <c:v>Cream - 10%</c:v>
                </c:pt>
              </c:strCache>
            </c:strRef>
          </c:cat>
          <c:val>
            <c:numRef>
              <c:f>Tablas_Ingresos!$B$45:$B$50</c:f>
              <c:numCache>
                <c:formatCode>#,##0.00</c:formatCode>
                <c:ptCount val="5"/>
                <c:pt idx="0">
                  <c:v>72564</c:v>
                </c:pt>
                <c:pt idx="1">
                  <c:v>82995.5</c:v>
                </c:pt>
                <c:pt idx="2">
                  <c:v>103506.08</c:v>
                </c:pt>
                <c:pt idx="3">
                  <c:v>144150.96000000002</c:v>
                </c:pt>
                <c:pt idx="4">
                  <c:v>155040</c:v>
                </c:pt>
              </c:numCache>
            </c:numRef>
          </c:val>
          <c:extLst>
            <c:ext xmlns:c16="http://schemas.microsoft.com/office/drawing/2014/chart" uri="{C3380CC4-5D6E-409C-BE32-E72D297353CC}">
              <c16:uniqueId val="{00000000-0264-4C33-8642-077BC4D3125E}"/>
            </c:ext>
          </c:extLst>
        </c:ser>
        <c:dLbls>
          <c:showLegendKey val="0"/>
          <c:showVal val="0"/>
          <c:showCatName val="0"/>
          <c:showSerName val="0"/>
          <c:showPercent val="0"/>
          <c:showBubbleSize val="0"/>
        </c:dLbls>
        <c:gapWidth val="182"/>
        <c:axId val="2076710895"/>
        <c:axId val="2076713295"/>
      </c:barChart>
      <c:catAx>
        <c:axId val="207671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13295"/>
        <c:crosses val="autoZero"/>
        <c:auto val="1"/>
        <c:lblAlgn val="ctr"/>
        <c:lblOffset val="100"/>
        <c:noMultiLvlLbl val="0"/>
      </c:catAx>
      <c:valAx>
        <c:axId val="2076713295"/>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7671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1587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[Finanzas.xlsx]Reporte_Uitilidad!PivotTable1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Utilidad</a:t>
            </a:r>
            <a:r>
              <a:rPr lang="en-US" sz="1600" b="1" baseline="0"/>
              <a:t> y margen por region</a:t>
            </a:r>
            <a:endParaRPr lang="en-US" sz="1600"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Reporte_Uitilidad!$B$2</c:f>
              <c:strCache>
                <c:ptCount val="1"/>
                <c:pt idx="0">
                  <c:v>$ Utilidad</c:v>
                </c:pt>
              </c:strCache>
            </c:strRef>
          </c:tx>
          <c:spPr>
            <a:solidFill>
              <a:schemeClr val="accent4">
                <a:lumMod val="60000"/>
                <a:lumOff val="40000"/>
              </a:schemeClr>
            </a:solidFill>
            <a:ln>
              <a:solidFill>
                <a:schemeClr val="bg1">
                  <a:lumMod val="85000"/>
                </a:schemeClr>
              </a:solidFill>
            </a:ln>
            <a:effectLst/>
          </c:spPr>
          <c:invertIfNegative val="0"/>
          <c:cat>
            <c:strRef>
              <c:f>Reporte_Uitilidad!$A$3:$A$9</c:f>
              <c:strCache>
                <c:ptCount val="6"/>
                <c:pt idx="0">
                  <c:v>Argentina</c:v>
                </c:pt>
                <c:pt idx="1">
                  <c:v>Canada</c:v>
                </c:pt>
                <c:pt idx="2">
                  <c:v>Chile</c:v>
                </c:pt>
                <c:pt idx="3">
                  <c:v>Colombia</c:v>
                </c:pt>
                <c:pt idx="4">
                  <c:v>Mexico</c:v>
                </c:pt>
                <c:pt idx="5">
                  <c:v>Peru</c:v>
                </c:pt>
              </c:strCache>
            </c:strRef>
          </c:cat>
          <c:val>
            <c:numRef>
              <c:f>Reporte_Uitilidad!$B$3:$B$9</c:f>
              <c:numCache>
                <c:formatCode>"$"#,##0.00</c:formatCode>
                <c:ptCount val="6"/>
                <c:pt idx="0">
                  <c:v>90460.860000000117</c:v>
                </c:pt>
                <c:pt idx="1">
                  <c:v>215655.32000000033</c:v>
                </c:pt>
                <c:pt idx="2">
                  <c:v>165238.28000000038</c:v>
                </c:pt>
                <c:pt idx="3">
                  <c:v>91002.960000000021</c:v>
                </c:pt>
                <c:pt idx="4">
                  <c:v>116592.75999999997</c:v>
                </c:pt>
                <c:pt idx="5">
                  <c:v>151076.23999999967</c:v>
                </c:pt>
              </c:numCache>
            </c:numRef>
          </c:val>
          <c:extLst>
            <c:ext xmlns:c16="http://schemas.microsoft.com/office/drawing/2014/chart" uri="{C3380CC4-5D6E-409C-BE32-E72D297353CC}">
              <c16:uniqueId val="{00000000-46C0-4F08-9264-29CC0CDB026B}"/>
            </c:ext>
          </c:extLst>
        </c:ser>
        <c:dLbls>
          <c:showLegendKey val="0"/>
          <c:showVal val="0"/>
          <c:showCatName val="0"/>
          <c:showSerName val="0"/>
          <c:showPercent val="0"/>
          <c:showBubbleSize val="0"/>
        </c:dLbls>
        <c:gapWidth val="219"/>
        <c:overlap val="-27"/>
        <c:axId val="1912095520"/>
        <c:axId val="1912092160"/>
      </c:barChart>
      <c:lineChart>
        <c:grouping val="standard"/>
        <c:varyColors val="0"/>
        <c:ser>
          <c:idx val="1"/>
          <c:order val="1"/>
          <c:tx>
            <c:strRef>
              <c:f>Reporte_Uitilidad!$C$2</c:f>
              <c:strCache>
                <c:ptCount val="1"/>
                <c:pt idx="0">
                  <c:v>% Margen</c:v>
                </c:pt>
              </c:strCache>
            </c:strRef>
          </c:tx>
          <c:spPr>
            <a:ln w="28575" cap="rnd">
              <a:solidFill>
                <a:schemeClr val="accent3"/>
              </a:solidFill>
              <a:round/>
            </a:ln>
            <a:effectLst/>
          </c:spPr>
          <c:marker>
            <c:symbol val="none"/>
          </c:marker>
          <c:cat>
            <c:strRef>
              <c:f>Reporte_Uitilidad!$A$3:$A$9</c:f>
              <c:strCache>
                <c:ptCount val="6"/>
                <c:pt idx="0">
                  <c:v>Argentina</c:v>
                </c:pt>
                <c:pt idx="1">
                  <c:v>Canada</c:v>
                </c:pt>
                <c:pt idx="2">
                  <c:v>Chile</c:v>
                </c:pt>
                <c:pt idx="3">
                  <c:v>Colombia</c:v>
                </c:pt>
                <c:pt idx="4">
                  <c:v>Mexico</c:v>
                </c:pt>
                <c:pt idx="5">
                  <c:v>Peru</c:v>
                </c:pt>
              </c:strCache>
            </c:strRef>
          </c:cat>
          <c:val>
            <c:numRef>
              <c:f>Reporte_Uitilidad!$C$3:$C$9</c:f>
              <c:numCache>
                <c:formatCode>0.00%</c:formatCode>
                <c:ptCount val="6"/>
                <c:pt idx="0">
                  <c:v>0.51529425636927229</c:v>
                </c:pt>
                <c:pt idx="1">
                  <c:v>0.52692445460449588</c:v>
                </c:pt>
                <c:pt idx="2">
                  <c:v>0.36737193667610518</c:v>
                </c:pt>
                <c:pt idx="3">
                  <c:v>0.50210324760852143</c:v>
                </c:pt>
                <c:pt idx="4">
                  <c:v>0.5196469728884765</c:v>
                </c:pt>
                <c:pt idx="5">
                  <c:v>0.43782790454372156</c:v>
                </c:pt>
              </c:numCache>
            </c:numRef>
          </c:val>
          <c:smooth val="1"/>
          <c:extLst>
            <c:ext xmlns:c16="http://schemas.microsoft.com/office/drawing/2014/chart" uri="{C3380CC4-5D6E-409C-BE32-E72D297353CC}">
              <c16:uniqueId val="{00000001-46C0-4F08-9264-29CC0CDB026B}"/>
            </c:ext>
          </c:extLst>
        </c:ser>
        <c:dLbls>
          <c:showLegendKey val="0"/>
          <c:showVal val="0"/>
          <c:showCatName val="0"/>
          <c:showSerName val="0"/>
          <c:showPercent val="0"/>
          <c:showBubbleSize val="0"/>
        </c:dLbls>
        <c:marker val="1"/>
        <c:smooth val="0"/>
        <c:axId val="2021668240"/>
        <c:axId val="2021669200"/>
      </c:lineChart>
      <c:catAx>
        <c:axId val="191209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092160"/>
        <c:crosses val="autoZero"/>
        <c:auto val="1"/>
        <c:lblAlgn val="ctr"/>
        <c:lblOffset val="100"/>
        <c:noMultiLvlLbl val="0"/>
      </c:catAx>
      <c:valAx>
        <c:axId val="1912092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095520"/>
        <c:crosses val="autoZero"/>
        <c:crossBetween val="between"/>
      </c:valAx>
      <c:valAx>
        <c:axId val="2021669200"/>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68240"/>
        <c:crosses val="max"/>
        <c:crossBetween val="between"/>
      </c:valAx>
      <c:catAx>
        <c:axId val="2021668240"/>
        <c:scaling>
          <c:orientation val="minMax"/>
        </c:scaling>
        <c:delete val="1"/>
        <c:axPos val="b"/>
        <c:numFmt formatCode="General" sourceLinked="1"/>
        <c:majorTickMark val="out"/>
        <c:minorTickMark val="none"/>
        <c:tickLblPos val="nextTo"/>
        <c:crossAx val="2021669200"/>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2225" cap="flat" cmpd="sng" algn="ctr">
      <a:solidFill>
        <a:schemeClr val="accent4">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[Finanzas.xlsx]Reporte_Uitilidad!PivotTable2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Utilidad</a:t>
            </a:r>
            <a:r>
              <a:rPr lang="en-US" sz="1600" b="1" baseline="0"/>
              <a:t> y margen por periodo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60000"/>
              <a:lumOff val="40000"/>
            </a:schemeClr>
          </a:solidFill>
          <a:ln>
            <a:solidFill>
              <a:schemeClr val="bg1">
                <a:lumMod val="8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Reporte_Uitilidad!$B$11</c:f>
              <c:strCache>
                <c:ptCount val="1"/>
                <c:pt idx="0">
                  <c:v>$ Utilidad</c:v>
                </c:pt>
              </c:strCache>
            </c:strRef>
          </c:tx>
          <c:spPr>
            <a:solidFill>
              <a:schemeClr val="accent4">
                <a:lumMod val="60000"/>
                <a:lumOff val="40000"/>
              </a:schemeClr>
            </a:solidFill>
            <a:ln>
              <a:solidFill>
                <a:schemeClr val="bg1">
                  <a:lumMod val="85000"/>
                </a:schemeClr>
              </a:solidFill>
            </a:ln>
            <a:effectLst/>
          </c:spPr>
          <c:invertIfNegative val="0"/>
          <c:cat>
            <c:strRef>
              <c:f>Reporte_Uitilidad!$A$12:$A$18</c:f>
              <c:strCache>
                <c:ptCount val="6"/>
                <c:pt idx="0">
                  <c:v>1</c:v>
                </c:pt>
                <c:pt idx="1">
                  <c:v>2</c:v>
                </c:pt>
                <c:pt idx="2">
                  <c:v>3</c:v>
                </c:pt>
                <c:pt idx="3">
                  <c:v>4</c:v>
                </c:pt>
                <c:pt idx="4">
                  <c:v>5</c:v>
                </c:pt>
                <c:pt idx="5">
                  <c:v>6</c:v>
                </c:pt>
              </c:strCache>
            </c:strRef>
          </c:cat>
          <c:val>
            <c:numRef>
              <c:f>Reporte_Uitilidad!$B$12:$B$18</c:f>
              <c:numCache>
                <c:formatCode>"$"#,##0.00</c:formatCode>
                <c:ptCount val="6"/>
                <c:pt idx="0">
                  <c:v>169340.00999999975</c:v>
                </c:pt>
                <c:pt idx="1">
                  <c:v>113116.64999999994</c:v>
                </c:pt>
                <c:pt idx="2">
                  <c:v>142664.39999999979</c:v>
                </c:pt>
                <c:pt idx="3">
                  <c:v>125157.04000000027</c:v>
                </c:pt>
                <c:pt idx="4">
                  <c:v>149377.94999999995</c:v>
                </c:pt>
                <c:pt idx="5">
                  <c:v>130370.36999999991</c:v>
                </c:pt>
              </c:numCache>
            </c:numRef>
          </c:val>
          <c:extLst>
            <c:ext xmlns:c16="http://schemas.microsoft.com/office/drawing/2014/chart" uri="{C3380CC4-5D6E-409C-BE32-E72D297353CC}">
              <c16:uniqueId val="{00000000-46C0-4F08-9264-29CC0CDB026B}"/>
            </c:ext>
          </c:extLst>
        </c:ser>
        <c:dLbls>
          <c:showLegendKey val="0"/>
          <c:showVal val="0"/>
          <c:showCatName val="0"/>
          <c:showSerName val="0"/>
          <c:showPercent val="0"/>
          <c:showBubbleSize val="0"/>
        </c:dLbls>
        <c:gapWidth val="219"/>
        <c:overlap val="-27"/>
        <c:axId val="1912095520"/>
        <c:axId val="1912092160"/>
      </c:barChart>
      <c:lineChart>
        <c:grouping val="standard"/>
        <c:varyColors val="0"/>
        <c:ser>
          <c:idx val="1"/>
          <c:order val="1"/>
          <c:tx>
            <c:strRef>
              <c:f>Reporte_Uitilidad!$C$11</c:f>
              <c:strCache>
                <c:ptCount val="1"/>
                <c:pt idx="0">
                  <c:v>% Margen</c:v>
                </c:pt>
              </c:strCache>
            </c:strRef>
          </c:tx>
          <c:spPr>
            <a:ln w="28575" cap="rnd">
              <a:solidFill>
                <a:schemeClr val="accent3"/>
              </a:solidFill>
              <a:round/>
            </a:ln>
            <a:effectLst/>
          </c:spPr>
          <c:marker>
            <c:symbol val="none"/>
          </c:marker>
          <c:cat>
            <c:strRef>
              <c:f>Reporte_Uitilidad!$A$12:$A$18</c:f>
              <c:strCache>
                <c:ptCount val="6"/>
                <c:pt idx="0">
                  <c:v>1</c:v>
                </c:pt>
                <c:pt idx="1">
                  <c:v>2</c:v>
                </c:pt>
                <c:pt idx="2">
                  <c:v>3</c:v>
                </c:pt>
                <c:pt idx="3">
                  <c:v>4</c:v>
                </c:pt>
                <c:pt idx="4">
                  <c:v>5</c:v>
                </c:pt>
                <c:pt idx="5">
                  <c:v>6</c:v>
                </c:pt>
              </c:strCache>
            </c:strRef>
          </c:cat>
          <c:val>
            <c:numRef>
              <c:f>Reporte_Uitilidad!$C$12:$C$18</c:f>
              <c:numCache>
                <c:formatCode>0.00%</c:formatCode>
                <c:ptCount val="6"/>
                <c:pt idx="0">
                  <c:v>0.49443549872652315</c:v>
                </c:pt>
                <c:pt idx="1">
                  <c:v>0.4557348753142233</c:v>
                </c:pt>
                <c:pt idx="2">
                  <c:v>0.46707539250261976</c:v>
                </c:pt>
                <c:pt idx="3">
                  <c:v>0.45409393907762774</c:v>
                </c:pt>
                <c:pt idx="4">
                  <c:v>0.46176854524775568</c:v>
                </c:pt>
                <c:pt idx="5">
                  <c:v>0.44950857615243955</c:v>
                </c:pt>
              </c:numCache>
            </c:numRef>
          </c:val>
          <c:smooth val="1"/>
          <c:extLst>
            <c:ext xmlns:c16="http://schemas.microsoft.com/office/drawing/2014/chart" uri="{C3380CC4-5D6E-409C-BE32-E72D297353CC}">
              <c16:uniqueId val="{00000001-46C0-4F08-9264-29CC0CDB026B}"/>
            </c:ext>
          </c:extLst>
        </c:ser>
        <c:dLbls>
          <c:showLegendKey val="0"/>
          <c:showVal val="0"/>
          <c:showCatName val="0"/>
          <c:showSerName val="0"/>
          <c:showPercent val="0"/>
          <c:showBubbleSize val="0"/>
        </c:dLbls>
        <c:marker val="1"/>
        <c:smooth val="0"/>
        <c:axId val="2021668240"/>
        <c:axId val="2021669200"/>
      </c:lineChart>
      <c:catAx>
        <c:axId val="1912095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092160"/>
        <c:crosses val="autoZero"/>
        <c:auto val="1"/>
        <c:lblAlgn val="ctr"/>
        <c:lblOffset val="100"/>
        <c:noMultiLvlLbl val="0"/>
      </c:catAx>
      <c:valAx>
        <c:axId val="191209216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095520"/>
        <c:crosses val="autoZero"/>
        <c:crossBetween val="between"/>
      </c:valAx>
      <c:valAx>
        <c:axId val="2021669200"/>
        <c:scaling>
          <c:orientation val="minMax"/>
        </c:scaling>
        <c:delete val="0"/>
        <c:axPos val="r"/>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668240"/>
        <c:crosses val="max"/>
        <c:crossBetween val="between"/>
      </c:valAx>
      <c:catAx>
        <c:axId val="2021668240"/>
        <c:scaling>
          <c:orientation val="minMax"/>
        </c:scaling>
        <c:delete val="1"/>
        <c:axPos val="b"/>
        <c:numFmt formatCode="General" sourceLinked="1"/>
        <c:majorTickMark val="out"/>
        <c:minorTickMark val="none"/>
        <c:tickLblPos val="nextTo"/>
        <c:crossAx val="2021669200"/>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22225" cap="flat" cmpd="sng" algn="ctr">
      <a:solidFill>
        <a:srgbClr val="6997AF">
          <a:lumMod val="75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hyperlink" Target="#Reporte_Uitilidad!A1"/><Relationship Id="rId5" Type="http://schemas.openxmlformats.org/officeDocument/2006/relationships/chart" Target="../charts/chart14.xml"/><Relationship Id="rId4"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3" Type="http://schemas.openxmlformats.org/officeDocument/2006/relationships/hyperlink" Target="#Reporte_Ingresos!A1"/><Relationship Id="rId2" Type="http://schemas.openxmlformats.org/officeDocument/2006/relationships/chart" Target="../charts/chart16.xml"/><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10</xdr:col>
      <xdr:colOff>0</xdr:colOff>
      <xdr:row>11</xdr:row>
      <xdr:rowOff>0</xdr:rowOff>
    </xdr:from>
    <xdr:to>
      <xdr:col>15</xdr:col>
      <xdr:colOff>114300</xdr:colOff>
      <xdr:row>25</xdr:row>
      <xdr:rowOff>76200</xdr:rowOff>
    </xdr:to>
    <xdr:graphicFrame macro="">
      <xdr:nvGraphicFramePr>
        <xdr:cNvPr id="3" name="Chart 2">
          <a:extLst>
            <a:ext uri="{FF2B5EF4-FFF2-40B4-BE49-F238E27FC236}">
              <a16:creationId xmlns:a16="http://schemas.microsoft.com/office/drawing/2014/main" id="{6EC985F6-1FAD-6E4E-5F24-9E15FA55A1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15</xdr:row>
      <xdr:rowOff>0</xdr:rowOff>
    </xdr:from>
    <xdr:to>
      <xdr:col>8</xdr:col>
      <xdr:colOff>523875</xdr:colOff>
      <xdr:row>29</xdr:row>
      <xdr:rowOff>76200</xdr:rowOff>
    </xdr:to>
    <xdr:graphicFrame macro="">
      <xdr:nvGraphicFramePr>
        <xdr:cNvPr id="4" name="Chart 3">
          <a:extLst>
            <a:ext uri="{FF2B5EF4-FFF2-40B4-BE49-F238E27FC236}">
              <a16:creationId xmlns:a16="http://schemas.microsoft.com/office/drawing/2014/main" id="{673D5D06-5A78-CA2F-DD71-BD795B8286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10</xdr:row>
      <xdr:rowOff>0</xdr:rowOff>
    </xdr:from>
    <xdr:to>
      <xdr:col>4</xdr:col>
      <xdr:colOff>161925</xdr:colOff>
      <xdr:row>24</xdr:row>
      <xdr:rowOff>76200</xdr:rowOff>
    </xdr:to>
    <xdr:graphicFrame macro="">
      <xdr:nvGraphicFramePr>
        <xdr:cNvPr id="5" name="Chart 4">
          <a:extLst>
            <a:ext uri="{FF2B5EF4-FFF2-40B4-BE49-F238E27FC236}">
              <a16:creationId xmlns:a16="http://schemas.microsoft.com/office/drawing/2014/main" id="{2E513D1E-3111-BB96-8616-E1CB69175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23813</xdr:rowOff>
    </xdr:from>
    <xdr:to>
      <xdr:col>10</xdr:col>
      <xdr:colOff>304800</xdr:colOff>
      <xdr:row>14</xdr:row>
      <xdr:rowOff>100013</xdr:rowOff>
    </xdr:to>
    <xdr:graphicFrame macro="">
      <xdr:nvGraphicFramePr>
        <xdr:cNvPr id="2" name="Chart 1">
          <a:extLst>
            <a:ext uri="{FF2B5EF4-FFF2-40B4-BE49-F238E27FC236}">
              <a16:creationId xmlns:a16="http://schemas.microsoft.com/office/drawing/2014/main" id="{E246F5A6-4BDF-1C8F-312A-86EEEA296D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17</xdr:row>
      <xdr:rowOff>0</xdr:rowOff>
    </xdr:from>
    <xdr:to>
      <xdr:col>10</xdr:col>
      <xdr:colOff>304800</xdr:colOff>
      <xdr:row>31</xdr:row>
      <xdr:rowOff>76200</xdr:rowOff>
    </xdr:to>
    <xdr:graphicFrame macro="">
      <xdr:nvGraphicFramePr>
        <xdr:cNvPr id="3" name="Chart 2">
          <a:extLst>
            <a:ext uri="{FF2B5EF4-FFF2-40B4-BE49-F238E27FC236}">
              <a16:creationId xmlns:a16="http://schemas.microsoft.com/office/drawing/2014/main" id="{D583CEA1-E9D7-F11C-34D0-DD620A0C00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0</xdr:colOff>
      <xdr:row>36</xdr:row>
      <xdr:rowOff>0</xdr:rowOff>
    </xdr:from>
    <xdr:to>
      <xdr:col>16</xdr:col>
      <xdr:colOff>304800</xdr:colOff>
      <xdr:row>50</xdr:row>
      <xdr:rowOff>76200</xdr:rowOff>
    </xdr:to>
    <xdr:graphicFrame macro="">
      <xdr:nvGraphicFramePr>
        <xdr:cNvPr id="4" name="Chart 3">
          <a:extLst>
            <a:ext uri="{FF2B5EF4-FFF2-40B4-BE49-F238E27FC236}">
              <a16:creationId xmlns:a16="http://schemas.microsoft.com/office/drawing/2014/main" id="{60F5E87A-28D0-4590-DC3B-5757C37B17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0</xdr:colOff>
      <xdr:row>0</xdr:row>
      <xdr:rowOff>0</xdr:rowOff>
    </xdr:from>
    <xdr:to>
      <xdr:col>17</xdr:col>
      <xdr:colOff>161925</xdr:colOff>
      <xdr:row>14</xdr:row>
      <xdr:rowOff>76200</xdr:rowOff>
    </xdr:to>
    <xdr:graphicFrame macro="">
      <xdr:nvGraphicFramePr>
        <xdr:cNvPr id="2" name="Chart 1">
          <a:extLst>
            <a:ext uri="{FF2B5EF4-FFF2-40B4-BE49-F238E27FC236}">
              <a16:creationId xmlns:a16="http://schemas.microsoft.com/office/drawing/2014/main" id="{482C59D5-3B42-508E-6F05-25C875508A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15</xdr:row>
      <xdr:rowOff>0</xdr:rowOff>
    </xdr:from>
    <xdr:to>
      <xdr:col>17</xdr:col>
      <xdr:colOff>161925</xdr:colOff>
      <xdr:row>29</xdr:row>
      <xdr:rowOff>76200</xdr:rowOff>
    </xdr:to>
    <xdr:graphicFrame macro="">
      <xdr:nvGraphicFramePr>
        <xdr:cNvPr id="3" name="Chart 2">
          <a:extLst>
            <a:ext uri="{FF2B5EF4-FFF2-40B4-BE49-F238E27FC236}">
              <a16:creationId xmlns:a16="http://schemas.microsoft.com/office/drawing/2014/main" id="{21C9EC91-B923-4A1A-9462-D43CA58278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30</xdr:row>
      <xdr:rowOff>0</xdr:rowOff>
    </xdr:from>
    <xdr:to>
      <xdr:col>17</xdr:col>
      <xdr:colOff>161925</xdr:colOff>
      <xdr:row>44</xdr:row>
      <xdr:rowOff>76200</xdr:rowOff>
    </xdr:to>
    <xdr:graphicFrame macro="">
      <xdr:nvGraphicFramePr>
        <xdr:cNvPr id="4" name="Chart 3">
          <a:extLst>
            <a:ext uri="{FF2B5EF4-FFF2-40B4-BE49-F238E27FC236}">
              <a16:creationId xmlns:a16="http://schemas.microsoft.com/office/drawing/2014/main" id="{5E3B486D-59DD-454C-A4FE-B5FB85253D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6927</xdr:colOff>
      <xdr:row>6</xdr:row>
      <xdr:rowOff>0</xdr:rowOff>
    </xdr:from>
    <xdr:to>
      <xdr:col>3</xdr:col>
      <xdr:colOff>672353</xdr:colOff>
      <xdr:row>12</xdr:row>
      <xdr:rowOff>179294</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2B2A1C21-0DC2-5849-3D41-53D5524B89A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927" y="0"/>
              <a:ext cx="1847355" cy="1183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312964</xdr:colOff>
      <xdr:row>6</xdr:row>
      <xdr:rowOff>7620</xdr:rowOff>
    </xdr:from>
    <xdr:to>
      <xdr:col>8</xdr:col>
      <xdr:colOff>283038</xdr:colOff>
      <xdr:row>13</xdr:row>
      <xdr:rowOff>0</xdr:rowOff>
    </xdr:to>
    <mc:AlternateContent xmlns:mc="http://schemas.openxmlformats.org/markup-compatibility/2006" xmlns:a14="http://schemas.microsoft.com/office/drawing/2010/main">
      <mc:Choice Requires="a14">
        <xdr:graphicFrame macro="">
          <xdr:nvGraphicFramePr>
            <xdr:cNvPr id="8" name="Período">
              <a:extLst>
                <a:ext uri="{FF2B5EF4-FFF2-40B4-BE49-F238E27FC236}">
                  <a16:creationId xmlns:a16="http://schemas.microsoft.com/office/drawing/2014/main" id="{F6F47F9C-BA41-7E5C-B818-A13C587BA589}"/>
                </a:ext>
              </a:extLst>
            </xdr:cNvPr>
            <xdr:cNvGraphicFramePr/>
          </xdr:nvGraphicFramePr>
          <xdr:xfrm>
            <a:off x="0" y="0"/>
            <a:ext cx="0" cy="0"/>
          </xdr:xfrm>
          <a:graphic>
            <a:graphicData uri="http://schemas.microsoft.com/office/drawing/2010/slicer">
              <sle:slicer xmlns:sle="http://schemas.microsoft.com/office/drawing/2010/slicer" name="Período"/>
            </a:graphicData>
          </a:graphic>
        </xdr:graphicFrame>
      </mc:Choice>
      <mc:Fallback xmlns="">
        <xdr:sp macro="" textlink="">
          <xdr:nvSpPr>
            <xdr:cNvPr id="0" name=""/>
            <xdr:cNvSpPr>
              <a:spLocks noTextEdit="1"/>
            </xdr:cNvSpPr>
          </xdr:nvSpPr>
          <xdr:spPr>
            <a:xfrm>
              <a:off x="3297464" y="1150620"/>
              <a:ext cx="2033824" cy="1325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0</xdr:colOff>
      <xdr:row>6</xdr:row>
      <xdr:rowOff>0</xdr:rowOff>
    </xdr:from>
    <xdr:to>
      <xdr:col>17</xdr:col>
      <xdr:colOff>289723</xdr:colOff>
      <xdr:row>20</xdr:row>
      <xdr:rowOff>76200</xdr:rowOff>
    </xdr:to>
    <xdr:graphicFrame macro="">
      <xdr:nvGraphicFramePr>
        <xdr:cNvPr id="9" name="Chart 8">
          <a:extLst>
            <a:ext uri="{FF2B5EF4-FFF2-40B4-BE49-F238E27FC236}">
              <a16:creationId xmlns:a16="http://schemas.microsoft.com/office/drawing/2014/main" id="{488BCD50-C466-4EED-9EA1-3960748C15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0</xdr:colOff>
      <xdr:row>6</xdr:row>
      <xdr:rowOff>0</xdr:rowOff>
    </xdr:from>
    <xdr:to>
      <xdr:col>25</xdr:col>
      <xdr:colOff>289837</xdr:colOff>
      <xdr:row>20</xdr:row>
      <xdr:rowOff>76200</xdr:rowOff>
    </xdr:to>
    <xdr:graphicFrame macro="">
      <xdr:nvGraphicFramePr>
        <xdr:cNvPr id="10" name="Chart 9">
          <a:extLst>
            <a:ext uri="{FF2B5EF4-FFF2-40B4-BE49-F238E27FC236}">
              <a16:creationId xmlns:a16="http://schemas.microsoft.com/office/drawing/2014/main" id="{53224456-536C-401A-BCF9-DF94E72A5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225135</xdr:colOff>
      <xdr:row>19</xdr:row>
      <xdr:rowOff>0</xdr:rowOff>
    </xdr:from>
    <xdr:to>
      <xdr:col>8</xdr:col>
      <xdr:colOff>289836</xdr:colOff>
      <xdr:row>33</xdr:row>
      <xdr:rowOff>76200</xdr:rowOff>
    </xdr:to>
    <xdr:graphicFrame macro="">
      <xdr:nvGraphicFramePr>
        <xdr:cNvPr id="11" name="Chart 10">
          <a:extLst>
            <a:ext uri="{FF2B5EF4-FFF2-40B4-BE49-F238E27FC236}">
              <a16:creationId xmlns:a16="http://schemas.microsoft.com/office/drawing/2014/main" id="{9BA239E0-B88C-4F69-98B3-2A32E44997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259771</xdr:colOff>
      <xdr:row>21</xdr:row>
      <xdr:rowOff>22412</xdr:rowOff>
    </xdr:from>
    <xdr:to>
      <xdr:col>17</xdr:col>
      <xdr:colOff>289836</xdr:colOff>
      <xdr:row>35</xdr:row>
      <xdr:rowOff>98612</xdr:rowOff>
    </xdr:to>
    <xdr:graphicFrame macro="">
      <xdr:nvGraphicFramePr>
        <xdr:cNvPr id="12" name="Chart 11">
          <a:extLst>
            <a:ext uri="{FF2B5EF4-FFF2-40B4-BE49-F238E27FC236}">
              <a16:creationId xmlns:a16="http://schemas.microsoft.com/office/drawing/2014/main" id="{DC79FBAB-C067-4A14-A051-4704E635F5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18</xdr:col>
      <xdr:colOff>0</xdr:colOff>
      <xdr:row>21</xdr:row>
      <xdr:rowOff>0</xdr:rowOff>
    </xdr:from>
    <xdr:to>
      <xdr:col>25</xdr:col>
      <xdr:colOff>289837</xdr:colOff>
      <xdr:row>35</xdr:row>
      <xdr:rowOff>76200</xdr:rowOff>
    </xdr:to>
    <xdr:graphicFrame macro="">
      <xdr:nvGraphicFramePr>
        <xdr:cNvPr id="13" name="Chart 12">
          <a:extLst>
            <a:ext uri="{FF2B5EF4-FFF2-40B4-BE49-F238E27FC236}">
              <a16:creationId xmlns:a16="http://schemas.microsoft.com/office/drawing/2014/main" id="{9D359FE3-3755-4CA1-95AE-7CBAA4EE8B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1</xdr:row>
      <xdr:rowOff>0</xdr:rowOff>
    </xdr:from>
    <xdr:to>
      <xdr:col>26</xdr:col>
      <xdr:colOff>0</xdr:colOff>
      <xdr:row>4</xdr:row>
      <xdr:rowOff>155864</xdr:rowOff>
    </xdr:to>
    <xdr:sp macro="" textlink="">
      <xdr:nvSpPr>
        <xdr:cNvPr id="2" name="Rectangle 1">
          <a:extLst>
            <a:ext uri="{FF2B5EF4-FFF2-40B4-BE49-F238E27FC236}">
              <a16:creationId xmlns:a16="http://schemas.microsoft.com/office/drawing/2014/main" id="{ED1A95A0-D38D-339A-BDAD-807B8FA4FF8B}"/>
            </a:ext>
          </a:extLst>
        </xdr:cNvPr>
        <xdr:cNvSpPr/>
      </xdr:nvSpPr>
      <xdr:spPr>
        <a:xfrm>
          <a:off x="225136" y="0"/>
          <a:ext cx="16261773" cy="727364"/>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Reporte Ingresos</a:t>
          </a:r>
        </a:p>
        <a:p>
          <a:pPr algn="ctr"/>
          <a:r>
            <a:rPr lang="en-US" sz="1600" b="1" i="1" u="none"/>
            <a:t>Segun</a:t>
          </a:r>
          <a:r>
            <a:rPr lang="en-US" sz="1600" b="1" i="1" u="none" baseline="0"/>
            <a:t> regiones, productos, clientes y  periodos</a:t>
          </a:r>
          <a:endParaRPr lang="en-US" sz="1600" b="1" i="1" u="none"/>
        </a:p>
      </xdr:txBody>
    </xdr:sp>
    <xdr:clientData/>
  </xdr:twoCellAnchor>
  <xdr:twoCellAnchor>
    <xdr:from>
      <xdr:col>22</xdr:col>
      <xdr:colOff>0</xdr:colOff>
      <xdr:row>1</xdr:row>
      <xdr:rowOff>127000</xdr:rowOff>
    </xdr:from>
    <xdr:to>
      <xdr:col>25</xdr:col>
      <xdr:colOff>127000</xdr:colOff>
      <xdr:row>3</xdr:row>
      <xdr:rowOff>137583</xdr:rowOff>
    </xdr:to>
    <xdr:sp macro="" textlink="">
      <xdr:nvSpPr>
        <xdr:cNvPr id="3" name="Rectangle: Single Corner Rounded 2">
          <a:hlinkClick xmlns:r="http://schemas.openxmlformats.org/officeDocument/2006/relationships" r:id="rId6"/>
          <a:extLst>
            <a:ext uri="{FF2B5EF4-FFF2-40B4-BE49-F238E27FC236}">
              <a16:creationId xmlns:a16="http://schemas.microsoft.com/office/drawing/2014/main" id="{B3B33FF7-E2E2-F301-7BCB-6E24BEDBFC0F}"/>
            </a:ext>
          </a:extLst>
        </xdr:cNvPr>
        <xdr:cNvSpPr/>
      </xdr:nvSpPr>
      <xdr:spPr>
        <a:xfrm>
          <a:off x="14012333" y="317500"/>
          <a:ext cx="2190750" cy="391583"/>
        </a:xfrm>
        <a:prstGeom prst="round1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t>Ver Utilidad</a:t>
          </a:r>
          <a:r>
            <a:rPr lang="en-US" sz="1400" b="1" baseline="0"/>
            <a:t> y Margen</a:t>
          </a:r>
          <a:endParaRPr lang="en-US" sz="14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8</xdr:col>
      <xdr:colOff>2</xdr:colOff>
      <xdr:row>13</xdr:row>
      <xdr:rowOff>0</xdr:rowOff>
    </xdr:from>
    <xdr:to>
      <xdr:col>9</xdr:col>
      <xdr:colOff>1</xdr:colOff>
      <xdr:row>33</xdr:row>
      <xdr:rowOff>0</xdr:rowOff>
    </xdr:to>
    <xdr:graphicFrame macro="">
      <xdr:nvGraphicFramePr>
        <xdr:cNvPr id="2" name="Chart 1">
          <a:extLst>
            <a:ext uri="{FF2B5EF4-FFF2-40B4-BE49-F238E27FC236}">
              <a16:creationId xmlns:a16="http://schemas.microsoft.com/office/drawing/2014/main" id="{7FC0EFF5-4C39-7766-99F6-C94A84EF08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197426</xdr:colOff>
      <xdr:row>13</xdr:row>
      <xdr:rowOff>0</xdr:rowOff>
    </xdr:from>
    <xdr:to>
      <xdr:col>10</xdr:col>
      <xdr:colOff>5074226</xdr:colOff>
      <xdr:row>33</xdr:row>
      <xdr:rowOff>0</xdr:rowOff>
    </xdr:to>
    <xdr:graphicFrame macro="">
      <xdr:nvGraphicFramePr>
        <xdr:cNvPr id="3" name="Chart 2">
          <a:extLst>
            <a:ext uri="{FF2B5EF4-FFF2-40B4-BE49-F238E27FC236}">
              <a16:creationId xmlns:a16="http://schemas.microsoft.com/office/drawing/2014/main" id="{9389C084-CCBB-235A-CB14-4315816EFD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17319</xdr:colOff>
      <xdr:row>6</xdr:row>
      <xdr:rowOff>0</xdr:rowOff>
    </xdr:from>
    <xdr:to>
      <xdr:col>7</xdr:col>
      <xdr:colOff>17319</xdr:colOff>
      <xdr:row>12</xdr:row>
      <xdr:rowOff>14007</xdr:rowOff>
    </xdr:to>
    <mc:AlternateContent xmlns:mc="http://schemas.openxmlformats.org/markup-compatibility/2006">
      <mc:Choice xmlns:a14="http://schemas.microsoft.com/office/drawing/2010/main" Requires="a14">
        <xdr:graphicFrame macro="">
          <xdr:nvGraphicFramePr>
            <xdr:cNvPr id="5" name="Tipo Producto">
              <a:extLst>
                <a:ext uri="{FF2B5EF4-FFF2-40B4-BE49-F238E27FC236}">
                  <a16:creationId xmlns:a16="http://schemas.microsoft.com/office/drawing/2014/main" id="{0E40CF54-FDB4-A8FE-233D-ABAF4A816938}"/>
                </a:ext>
              </a:extLst>
            </xdr:cNvPr>
            <xdr:cNvGraphicFramePr/>
          </xdr:nvGraphicFramePr>
          <xdr:xfrm>
            <a:off x="0" y="0"/>
            <a:ext cx="0" cy="0"/>
          </xdr:xfrm>
          <a:graphic>
            <a:graphicData uri="http://schemas.microsoft.com/office/drawing/2010/slicer">
              <sle:slicer xmlns:sle="http://schemas.microsoft.com/office/drawing/2010/slicer" name="Tipo Producto"/>
            </a:graphicData>
          </a:graphic>
        </xdr:graphicFrame>
      </mc:Choice>
      <mc:Fallback>
        <xdr:sp macro="" textlink="">
          <xdr:nvSpPr>
            <xdr:cNvPr id="0" name=""/>
            <xdr:cNvSpPr>
              <a:spLocks noTextEdit="1"/>
            </xdr:cNvSpPr>
          </xdr:nvSpPr>
          <xdr:spPr>
            <a:xfrm>
              <a:off x="225137" y="1143000"/>
              <a:ext cx="5541818" cy="11570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1</xdr:row>
      <xdr:rowOff>34636</xdr:rowOff>
    </xdr:from>
    <xdr:to>
      <xdr:col>11</xdr:col>
      <xdr:colOff>0</xdr:colOff>
      <xdr:row>5</xdr:row>
      <xdr:rowOff>0</xdr:rowOff>
    </xdr:to>
    <xdr:sp macro="" textlink="">
      <xdr:nvSpPr>
        <xdr:cNvPr id="6" name="Rectangle 5">
          <a:extLst>
            <a:ext uri="{FF2B5EF4-FFF2-40B4-BE49-F238E27FC236}">
              <a16:creationId xmlns:a16="http://schemas.microsoft.com/office/drawing/2014/main" id="{427907A9-08E4-4F2B-820F-4F12B50B4DCA}"/>
            </a:ext>
          </a:extLst>
        </xdr:cNvPr>
        <xdr:cNvSpPr/>
      </xdr:nvSpPr>
      <xdr:spPr>
        <a:xfrm>
          <a:off x="207818" y="225136"/>
          <a:ext cx="16105909" cy="727364"/>
        </a:xfrm>
        <a:prstGeom prst="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Reporte Utilida</a:t>
          </a:r>
          <a:r>
            <a:rPr lang="en-US" sz="2400" b="1" baseline="0"/>
            <a:t>d y Margen</a:t>
          </a:r>
          <a:endParaRPr lang="en-US" sz="2400" b="1"/>
        </a:p>
      </xdr:txBody>
    </xdr:sp>
    <xdr:clientData/>
  </xdr:twoCellAnchor>
  <xdr:twoCellAnchor editAs="oneCell">
    <xdr:from>
      <xdr:col>3</xdr:col>
      <xdr:colOff>185056</xdr:colOff>
      <xdr:row>13</xdr:row>
      <xdr:rowOff>1</xdr:rowOff>
    </xdr:from>
    <xdr:to>
      <xdr:col>6</xdr:col>
      <xdr:colOff>2140402</xdr:colOff>
      <xdr:row>19</xdr:row>
      <xdr:rowOff>18289</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6C5CBCCF-5DA2-6FD8-3DF0-8B11CB93DFD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85056" y="2476501"/>
              <a:ext cx="5557528" cy="1161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20</xdr:row>
      <xdr:rowOff>0</xdr:rowOff>
    </xdr:from>
    <xdr:to>
      <xdr:col>6</xdr:col>
      <xdr:colOff>2140403</xdr:colOff>
      <xdr:row>26</xdr:row>
      <xdr:rowOff>18288</xdr:rowOff>
    </xdr:to>
    <mc:AlternateContent xmlns:mc="http://schemas.openxmlformats.org/markup-compatibility/2006">
      <mc:Choice xmlns:a14="http://schemas.microsoft.com/office/drawing/2010/main" Requires="a14">
        <xdr:graphicFrame macro="">
          <xdr:nvGraphicFramePr>
            <xdr:cNvPr id="8" name="Período 1">
              <a:extLst>
                <a:ext uri="{FF2B5EF4-FFF2-40B4-BE49-F238E27FC236}">
                  <a16:creationId xmlns:a16="http://schemas.microsoft.com/office/drawing/2014/main" id="{C4BDB42E-4B4E-3F06-DC81-4282B8377B94}"/>
                </a:ext>
              </a:extLst>
            </xdr:cNvPr>
            <xdr:cNvGraphicFramePr/>
          </xdr:nvGraphicFramePr>
          <xdr:xfrm>
            <a:off x="0" y="0"/>
            <a:ext cx="0" cy="0"/>
          </xdr:xfrm>
          <a:graphic>
            <a:graphicData uri="http://schemas.microsoft.com/office/drawing/2010/slicer">
              <sle:slicer xmlns:sle="http://schemas.microsoft.com/office/drawing/2010/slicer" name="Período 1"/>
            </a:graphicData>
          </a:graphic>
        </xdr:graphicFrame>
      </mc:Choice>
      <mc:Fallback>
        <xdr:sp macro="" textlink="">
          <xdr:nvSpPr>
            <xdr:cNvPr id="0" name=""/>
            <xdr:cNvSpPr>
              <a:spLocks noTextEdit="1"/>
            </xdr:cNvSpPr>
          </xdr:nvSpPr>
          <xdr:spPr>
            <a:xfrm>
              <a:off x="207818" y="3810000"/>
              <a:ext cx="5534767" cy="116128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1974273</xdr:colOff>
      <xdr:row>1</xdr:row>
      <xdr:rowOff>155865</xdr:rowOff>
    </xdr:from>
    <xdr:to>
      <xdr:col>10</xdr:col>
      <xdr:colOff>4797136</xdr:colOff>
      <xdr:row>4</xdr:row>
      <xdr:rowOff>69273</xdr:rowOff>
    </xdr:to>
    <xdr:sp macro="" textlink="">
      <xdr:nvSpPr>
        <xdr:cNvPr id="9" name="Rectangle: Single Corner Rounded 8">
          <a:hlinkClick xmlns:r="http://schemas.openxmlformats.org/officeDocument/2006/relationships" r:id="rId3"/>
          <a:extLst>
            <a:ext uri="{FF2B5EF4-FFF2-40B4-BE49-F238E27FC236}">
              <a16:creationId xmlns:a16="http://schemas.microsoft.com/office/drawing/2014/main" id="{D8E71A88-A9C3-EAE9-1FB6-6FAE5AC8DAEE}"/>
            </a:ext>
          </a:extLst>
        </xdr:cNvPr>
        <xdr:cNvSpPr/>
      </xdr:nvSpPr>
      <xdr:spPr>
        <a:xfrm>
          <a:off x="13213773" y="346365"/>
          <a:ext cx="2822863" cy="484908"/>
        </a:xfrm>
        <a:prstGeom prst="round1Rect">
          <a:avLst/>
        </a:prstGeom>
      </xdr:spPr>
      <xdr:style>
        <a:lnRef idx="2">
          <a:schemeClr val="accent5">
            <a:shade val="15000"/>
          </a:schemeClr>
        </a:lnRef>
        <a:fillRef idx="1">
          <a:schemeClr val="accent5"/>
        </a:fillRef>
        <a:effectRef idx="0">
          <a:schemeClr val="accent5"/>
        </a:effectRef>
        <a:fontRef idx="minor">
          <a:schemeClr val="lt1"/>
        </a:fontRef>
      </xdr:style>
      <xdr:txBody>
        <a:bodyPr vertOverflow="clip" horzOverflow="clip" rtlCol="0" anchor="ctr"/>
        <a:lstStyle/>
        <a:p>
          <a:pPr algn="ctr"/>
          <a:r>
            <a:rPr lang="en-US" sz="1600" b="1"/>
            <a:t>Ver Ingresos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ulio Rodriguez" refreshedDate="46079.442429513889" createdVersion="8" refreshedVersion="8" minRefreshableVersion="3" recordCount="3091" xr:uid="{A11004E5-358C-4392-8D9F-9095983A5186}">
  <cacheSource type="worksheet">
    <worksheetSource name="Registros"/>
  </cacheSource>
  <cacheFields count="10">
    <cacheField name="Producto" numFmtId="0">
      <sharedItems count="344">
        <s v="Lobster - Baby, Boiled"/>
        <s v="Cookies - Assorted"/>
        <s v="Butter - Salted, Micro"/>
        <s v="Flour - Corn, Fine"/>
        <s v="Sprouts - Onion"/>
        <s v="Octopus"/>
        <s v="Veal - Ground"/>
        <s v="Tomatoes - Heirloom"/>
        <s v="Wine - Red, Metus Rose"/>
        <s v="Soup - Campbells, Creamy"/>
        <s v="Juice - V8, Tomato"/>
        <s v="Kippers - Smoked"/>
        <s v="Fresh Portabella - 5lbs"/>
        <s v="Lamb - Leg, Boneless"/>
        <s v="Sugar - Palm"/>
        <s v="Tarragon - Fresh"/>
        <s v="Lobster - Tail 6 Oz"/>
        <s v="Flour - Chickpea"/>
        <s v="Island Oasis - Cappucino Mix"/>
        <s v="Pears - Bartlett"/>
        <s v="Garbage Bag - Clear"/>
        <s v="Hand Towel"/>
        <s v="Bulgar"/>
        <s v="Tomatoes"/>
        <s v="Chinese Foods - Plain Fried Rice"/>
        <s v="Flour - Buckwheat, Dark"/>
        <s v="Fiddlehead - Frozen"/>
        <s v="Mix Pina Colada"/>
        <s v="Kohlrabi"/>
        <s v="Puree - Guava"/>
        <s v="Squash - Sunburst"/>
        <s v="Butter Balls Salted"/>
        <s v="Caviar - Salmon"/>
        <s v="Asparagus - Mexican"/>
        <s v="Pomegranates"/>
        <s v="Bread - Malt"/>
        <s v="Sugar - Icing"/>
        <s v="Evaporated Milk - Skim"/>
        <s v="Wine - Periguita Fonseca"/>
        <s v="Wild Mix 3#/cs"/>
        <s v="Wine - Segura Viudas Aria Brut"/>
        <s v="Hot Chocolate - Individual"/>
        <s v="Yogurt - Peach, 175 Gr"/>
        <s v="Quail - Whole, Bone - In"/>
        <s v="Milk - 2% 250 Ml"/>
        <s v="Beer - Alexander Kieths, Pale Ale"/>
        <s v="Muffin Mix - Lemon Cranberry"/>
        <s v="Soup - Campbells, Lentil"/>
        <s v="Rye Special Old"/>
        <s v="Fresh Cape Gooseberries 12 pp/cs"/>
        <s v="Wine - Fat Bastard Merlot"/>
        <s v="Rum - Mount Gay Eclipes"/>
        <s v="Wine - George Duboeuf Rose"/>
        <s v="Orange Roughy 4/6 Oz"/>
        <s v="Crab - Dungeness, Whole"/>
        <s v="Ecolab - Medallion"/>
        <s v="Cookie - Oatmeal"/>
        <s v="Tomato - Tricolor Cherry"/>
        <s v="Pepper - Jalapeno"/>
        <s v="Thyme - Fresh"/>
        <s v="Sugar - Sweet N Low, Individual"/>
        <s v="Onions - Vidalia"/>
        <s v="Arctic Char - Fresh, Whole"/>
        <s v="Soup - French Can Pea"/>
        <s v="Ice Cream Bar - Hagen Daz"/>
        <s v="Ecolab - Mikroklene 4/4 L"/>
        <s v="Bread Bowl Plain"/>
        <s v="Cinnamon - Ground"/>
        <s v="Cookie Dough - Oatmeal Rasin"/>
        <s v="Mayonnaise - Individual Pkg"/>
        <s v="Cherries - Fresh"/>
        <s v="Sea Bass - Fillets"/>
        <s v="Sage Derby"/>
        <s v="Cheese - Camembert"/>
        <s v="Nut - Walnut, Pieces"/>
        <s v="Trout - Rainbow, Frozen"/>
        <s v="Bread - Raisin Walnut Pull"/>
        <s v="Slt - Individual Portions"/>
        <s v="Cilantro / Coriander - Fresh"/>
        <s v="Marjoram - Dried, Rubbed"/>
        <s v="Lidsoupcont Rp12dn"/>
        <s v="Grand Marnier"/>
        <s v="Puff Pastry - Sheets"/>
        <s v="Corn - Cream, Canned"/>
        <s v="Tomatoes - Grape"/>
        <s v="Sauce - Cranberry"/>
        <s v="Carbonated Water - Wildberry"/>
        <s v="Mcguinness - Blue Curacao"/>
        <s v="Wine - Sawmill Creek Autumn"/>
        <s v="Cheese - Gouda"/>
        <s v="Soup - Base Broth Beef"/>
        <s v="Cranberries - Frozen"/>
        <s v="Tea - Vanilla Chai"/>
        <s v="Soda Water - Club Soda, 355 Ml"/>
        <s v="Muffin Batt - Choc Chk"/>
        <s v="Lemon Grass"/>
        <s v="Tea - Lemon Scented"/>
        <s v="Syrup - Monin - Blue Curacao"/>
        <s v="Trout - Rainbow, Fresh"/>
        <s v="Nougat - Paste / Cream"/>
        <s v="Soupcontfoam16oz 116con"/>
        <s v="Lime Cordial - Roses"/>
        <s v="Icecream Cone - Areo Chocolate"/>
        <s v="Bread Country Roll"/>
        <s v="Juice - Apple Cider"/>
        <s v="Lettuce - Green Leaf"/>
        <s v="Ecolab - Balanced Fusion"/>
        <s v="V8 Splash Strawberry Banana"/>
        <s v="Rice - Jasmine Sented"/>
        <s v="Mackerel Whole Fresh"/>
        <s v="Beer - Creemore"/>
        <s v="Dried Star Anise 1#/pp"/>
        <s v="Tahini Paste"/>
        <s v="Gatorade - Xfactor Berry"/>
        <s v="Muffins - Assorted"/>
        <s v="V8 Pet"/>
        <s v="Plasticknivesblack"/>
        <s v="Vacuum Bags 12x16"/>
        <s v="Mince Meat - Filling"/>
        <s v="Beef Wellington"/>
        <s v="Vinegar - Balsamic, White"/>
        <s v="White (Bianco)Truffle Oil 250 ml"/>
        <s v="Lettuce Romaine Chopped"/>
        <s v="Fresh Mini Cremini 5lbs"/>
        <s v="Cookies - Amaretto"/>
        <s v="Island Oasis - Magarita Mix"/>
        <s v="Chocolate - Milk, Callets"/>
        <s v="Cheese - Woolwich Goat, Log"/>
        <s v="Wine - Bouchard La Vignee Pinot"/>
        <s v="Tomatoes - Diced, Canned"/>
        <s v="Jam - Raspberry"/>
        <s v="Asparagus - White, Canned"/>
        <s v="Lemonade - Pineapple Passion"/>
        <s v="Wine - Trimbach Pinot Blanc"/>
        <s v="Apricots - Dried"/>
        <s v="Sea Urchin"/>
        <s v="Juice - V8 Splash"/>
        <s v="Pepper - Chillies, Crushed"/>
        <s v="Liners - Banana, Paper"/>
        <s v="Cucumber - Pickling Ontario"/>
        <s v="Soup Knorr Chili With Beans"/>
        <s v="Beef - Kindney, Whole"/>
        <s v="Muffin Mix - Oatmeal"/>
        <s v="Wine La Vielle Ferme Cote Du"/>
        <s v="Pork - Chop, Frenched"/>
        <s v="Coriander - Ground"/>
        <s v="Cheese - Swiss"/>
        <s v="Potatoes - Idaho 80 Count"/>
        <s v="Dried Juniper Berries 1#/pp"/>
        <s v="Wine - White, Riesling, Henry Of"/>
        <s v="Wine - Bourgogne 2002, La"/>
        <s v="Cleaner - Comet"/>
        <s v="Wine - Pinot Noir Latour"/>
        <s v="Yokaline"/>
        <s v="Pork Ham Prager"/>
        <s v="Juice - Mango"/>
        <s v="Longos - Lasagna Beef"/>
        <s v="Wine - Cave Springs Dry Riesling"/>
        <s v="Food Colouring - Orange"/>
        <s v="Paper Towel Touchless"/>
        <s v="Lamb - Shoulder"/>
        <s v="Onions - Dried, Chopped"/>
        <s v="Soup - Campbells"/>
        <s v="Coconut - Shredded, Sweet"/>
        <s v="Muffin Orange Individual"/>
        <s v="Sping Loaded Cup Dispenser"/>
        <s v="Lemonade - Kiwi, 591 Ml"/>
        <s v="Lemons"/>
        <s v="Olives - Kalamata"/>
        <s v="Chicken - Base, Ultimate"/>
        <s v="Wine - Cotes Du Rhone"/>
        <s v="Bread - English Muffin"/>
        <s v="Island Oasis - Peach Daiquiri"/>
        <s v="Table Cloth 120 Round White"/>
        <s v="Pants Custom Dry Clean"/>
        <s v="Basil - Thai"/>
        <s v="Sauce - Salsa"/>
        <s v="Bread - Sticks, Thin, Plain"/>
        <s v="Coffee - French Vanilla Frothy"/>
        <s v="Nut - Pistachio, Shelled"/>
        <s v="Arizona - Plum Green Tea"/>
        <s v="Beef - Short Loin"/>
        <s v="Ecolab - Ster Bac"/>
        <s v="Chick Peas - Dried"/>
        <s v="Shrimp - 150 - 250"/>
        <s v="Cake - Mini Cheesecake"/>
        <s v="Pepper - Sorrano"/>
        <s v="Coffee Caramel Biscotti"/>
        <s v="Beef - Bones, Marrow"/>
        <s v="Lamb - Ground"/>
        <s v="Cake - Pancake"/>
        <s v="Wine - Baron De Rothschild"/>
        <s v="Wine - Domaine Boyar Royal"/>
        <s v="Mints - Striped Red"/>
        <s v="Dc - Sakura Fu"/>
        <s v="Filling - Mince Meat"/>
        <s v="Wine - White, Antinore Orvieto"/>
        <s v="Wine - Vineland Estate Semi - Dry"/>
        <s v="Flour - Masa De Harina Mexican"/>
        <s v="Chickhen - Chicken Phyllo"/>
        <s v="Tea - Lemon Green Tea"/>
        <s v="Wine - Muscadet Sur Lie"/>
        <s v="Raspberries - Frozen"/>
        <s v="Lemonade - Natural, 591 Ml"/>
        <s v="Cheese - Goat With Herbs"/>
        <s v="Beans - Wax"/>
        <s v="Mushroom - Morels, Dry"/>
        <s v="Galliano"/>
        <s v="Olives - Nicoise"/>
        <s v="Dried Star Anise 5#/pp"/>
        <s v="Spice - Paprika"/>
        <s v="Jolt Cola - Electric Blue"/>
        <s v="Miso - Soy Bean Paste"/>
        <s v="Cream - 10%"/>
        <s v="Tea - Earl Grey"/>
        <s v="Dried Figs"/>
        <s v="Truffle Shells - White Chocolate"/>
        <s v="Okra"/>
        <s v="Bread - Rolls, Corn"/>
        <s v="Gelatine Powder"/>
        <s v="Lemon Tarts"/>
        <s v="Kahlua"/>
        <s v="Nantucket Orange Juice"/>
        <s v="Dried Peach"/>
        <s v="Flour - Teff"/>
        <s v="Cheese - Mozzarella, Buffalo"/>
        <s v="Pepper - Roasted Red"/>
        <s v="Iced Tea - Lemon, 460 Ml"/>
        <s v="Stock - Beef, White"/>
        <s v="Flavouring - Orange"/>
        <s v="Rum - Light, Captain Morgan"/>
        <s v="Dried Specialty Mix 8oz/pp"/>
        <s v="Hersey Shakes"/>
        <s v="Artichokes - Knobless, White"/>
        <s v="Flour - All Purpose"/>
        <s v="Shopper Bag - S - 4"/>
        <s v="Lemonade - Strawberry, 591 Ml"/>
        <s v="Snapple Lemon Tea"/>
        <s v="Wine - Prem Select Charddonany"/>
        <s v="Juice - Apple, 1.36l"/>
        <s v="Wine - Semi Dry Riesling Vineland"/>
        <s v="Wine - Riesling Alsace Ac 2001"/>
        <s v="Paste - Black Olive"/>
        <s v="Spice - Onion Powder Granulated"/>
        <s v="Wine - Cava Aria Estate Brut"/>
        <s v="Cheese - St. Paulin"/>
        <s v="Chicken - Breast, 5 - 7 Oz"/>
        <s v="Container - Clear 16 Oz"/>
        <s v="Wine - Shiraz South Eastern"/>
        <s v="Juice - Lemon"/>
        <s v="V8 - Vegetable Cocktail"/>
        <s v="Cape Capensis - Fillet"/>
        <s v="Roe - White Fish"/>
        <s v="Wine - Dubouef Macon - Villages"/>
        <s v="White Baguette"/>
        <s v="Chocolate - Milk"/>
        <s v="Cup - 4oz Translucent"/>
        <s v="Ginger - Crystalized"/>
        <s v="Raisin - Dark"/>
        <s v="Cheese - Oka"/>
        <s v="Zucchini - Mini, Green"/>
        <s v="Beef - Baby, Liver"/>
        <s v="Muffin - Mix - Creme Brule 15l"/>
        <s v="Skirt - 29 Foot"/>
        <s v="Blueberries - Frozen"/>
        <s v="Basil - Primerba, Paste"/>
        <s v="Coffee - Espresso"/>
        <s v="Trout - Hot Smkd, Dbl Fillet"/>
        <s v="Wine - Tio Pepe Sherry Fino"/>
        <s v="Ecolab Crystal Fusion"/>
        <s v="Rabbit - Saddles"/>
        <s v="Beef - Bresaola"/>
        <s v="Salsify, Organic"/>
        <s v="Beef - Ground Lean Fresh"/>
        <s v="Muffin Puck Ww Carrot"/>
        <s v="Flour - Bran, Red"/>
        <s v="Artichokes - Jerusalem"/>
        <s v="Cheese - Fontina"/>
        <s v="Chocolate - Feathers"/>
        <s v="Tamarind Paste"/>
        <s v="Wine - Alsace Gewurztraminer"/>
        <s v="Steam Pan - Half Size Deep"/>
        <s v="Pepper - Red Thai"/>
        <s v="Macaroons - Two Bite Choc"/>
        <s v="Calvados - Boulard"/>
        <s v="Soup - Campbells Mac N Cheese"/>
        <s v="Oil - Canola"/>
        <s v="Sausage - Andouille"/>
        <s v="Cheese - Pont Couvert"/>
        <s v="Nescafe - Frothy French Vanilla"/>
        <s v="Crackers - Soda / Saltins"/>
        <s v="Crawfish"/>
        <s v="ORGANIC Shiitake 5lbs/cs (L)"/>
        <s v="Higashimaru Usukuchi Soy"/>
        <s v="Tofu - Soft"/>
        <s v="Strawberries - California"/>
        <s v="Sauce Bbq Smokey"/>
        <s v="Langers - Mango Nectar"/>
        <s v="Chambord Royal"/>
        <s v="Fresh Jumbo Cremini 5#/cs"/>
        <s v="Beans - Kidney, Canned"/>
        <s v="Nantucket Pine Orangebanana"/>
        <s v="Lemon Pepper"/>
        <s v="Wine - Tribal Sauvignon"/>
        <s v="Wine - Wyndham Estate Bin 777"/>
        <s v="Pork - Ground"/>
        <s v="Wine - Kwv Chenin Blanc South"/>
        <s v="Beef - Tenderloin - Aa"/>
        <s v="Pork - Ham, Virginia"/>
        <s v="Longos - Chicken Caeser Salad"/>
        <s v="Lettuce - Treviso"/>
        <s v="Noodles - Steamed Chow Mein"/>
        <s v="Cafe Royale"/>
        <s v="Black Currants"/>
        <s v="Juice - Ocean Spray Cranberry"/>
        <s v="Heavy Duty Dust Pan"/>
        <s v="Pastry - Baked Cinnamon Stick"/>
        <s v="Onions - Red"/>
        <s v="Pectin"/>
        <s v="Yukon Jack"/>
        <s v="Cut Wakame - Hanawakaba"/>
        <s v="Fresh White Medium Mushroom 5lbs/cs"/>
        <s v="Flower - Carnations"/>
        <s v="Squid - Breaded"/>
        <s v="Paper Cocktail Umberlla 80 - 180"/>
        <s v="Alize Red Passion"/>
        <s v="Goldschalger"/>
        <s v="Table Cloth 91x91 Colour"/>
        <s v="Egg - Salad Premix"/>
        <s v="Honey - Liquid"/>
        <s v="Trout - Smoked"/>
        <s v="Beef - Ox Tongue"/>
        <s v="Soup - Campbells, Butternut"/>
        <s v="Creme De Banane - Marie"/>
        <s v="Nestea - Iced Tea"/>
        <s v="Bagel - Sesame Seed Presliced"/>
        <s v="Tomatoes Tear Drop"/>
        <s v="Juice - Apple, 341 Ml"/>
        <s v="Wine - Pinot Noir Pond Haddock"/>
        <s v="Tomatoes - Roma"/>
        <s v="Pie Shells 10"/>
        <s v="Towel Dispenser"/>
        <s v="Bagel - 12 Grain Preslice"/>
        <s v="Pop - Club Soda Can"/>
      </sharedItems>
    </cacheField>
    <cacheField name="Cliente" numFmtId="0">
      <sharedItems count="93">
        <s v="Stanton, Predovic and Larson"/>
        <s v="Predovic, Pollich and Gislason"/>
        <s v="Willms, Predovic and Rippin"/>
        <s v="Zulauf-Wyman"/>
        <s v="Hammes and Sons"/>
        <s v="Boyle Group"/>
        <s v="Conn-Kling"/>
        <s v="Homenick, Frami and Zulauf"/>
        <s v="Breitenberg-Mosciski"/>
        <s v="Haley Inc"/>
        <s v="Monahan-Tromp"/>
        <s v="Emmerich LLC"/>
        <s v="Jones, Hilpert and Dach"/>
        <s v="Jacobs and Sons"/>
        <s v="Hettinger Inc"/>
        <s v="Hauck-Rogahn"/>
        <s v="Shields Inc"/>
        <s v="Rogahn, Jenkins and Wolff"/>
        <s v="Marvin-Mosciski"/>
        <s v="Blick, Hudson and Monahan"/>
        <s v="Keeling-O'Connell"/>
        <s v="Mraz Inc"/>
        <s v="Willms, Gulgowski and Jaskolski"/>
        <s v="Herzog-Gusikowski"/>
        <s v="Bernhard, Gorczany and Prosacco"/>
        <s v="Davis-Roob"/>
        <s v="Jones &amp; Sons"/>
        <s v="Stokes, Lind and Jacobs"/>
        <s v="Glover Inc"/>
        <s v="Gleason-Kiehn"/>
        <s v="Wiegand, Champlin and Wuckert"/>
        <s v="Satterfield LLC"/>
        <s v="Hamill-Steuber"/>
        <s v="Schamberger-Von"/>
        <s v="Leffler-Braun"/>
        <s v="Wolff, Ernser and Lang"/>
        <s v="Ernser-Parker"/>
        <s v="Nicolas and Sons"/>
        <s v="Prohaska-Bayer"/>
        <s v="Anderson, Raynor and Bernier"/>
        <s v="Shields and Sons"/>
        <s v="Wuckert-Nader"/>
        <s v="Boyer-Streich"/>
        <s v="Parisian-Parisian"/>
        <s v="Jakubowski, Altenwerth and Little"/>
        <s v="Bogisich, Lang and Friesen"/>
        <s v="Hirthe Group"/>
        <s v="Schneider, Rice and Wehner"/>
        <s v="Daugherty, Jenkins and Moore"/>
        <s v="Strosin, Rodriguez and Schumm"/>
        <s v="Rowe, Kautzer and Upton"/>
        <s v="Waters and Sons"/>
        <s v="Hudson Group"/>
        <s v="Graham and Sons"/>
        <s v="Howe Inc"/>
        <s v="McLaughlin-Gleichner"/>
        <s v="Torphy Inc"/>
        <s v="Lindgren, Johnson and Mann"/>
        <s v="Wiegand, Moen and Sauer"/>
        <s v="Lubowitz-Stamm"/>
        <s v="Leuschke, Hackett and Gleason"/>
        <s v="Hodkiewicz and Sons"/>
        <s v="Abshire-Price"/>
        <s v="Rath LLC"/>
        <s v="Hayes, Ritchie and Nader"/>
        <s v="Borer Group"/>
        <s v="Leffler, Botsford and Fadel"/>
        <s v="Altenwerth, Considine and Corkery"/>
        <s v="Kertzmann, Johnson and Abshire"/>
        <s v="Williamson-Fritsch"/>
        <s v="Swaniawski, Gleichner and Conn"/>
        <s v="Sipes Inc"/>
        <s v="Hayes, Raynor and Waters"/>
        <s v="Runolfsdottir, O'Connell and Terry"/>
        <s v="Jenkins, Lindgren and Ritchie"/>
        <s v="Predovic-Christiansen"/>
        <s v="Gerlach and Sons"/>
        <s v="Schuppe, Hand and Kutch"/>
        <s v="Kemmer and Sons"/>
        <s v="Cummings-Emmerich"/>
        <s v="O'Hara-DuBuque"/>
        <s v="Bruen, Cassin and Pacocha"/>
        <s v="Powlowski-Friesen"/>
        <s v="Wiza-Towne"/>
        <s v="Turcotte-Zulauf"/>
        <s v="Herman, Ziemann and Luettgen"/>
        <s v="Renner LLC"/>
        <s v="Runolfsson Inc"/>
        <s v="Zulauf LLC"/>
        <s v="Hilll Inc"/>
        <s v="Veum, Grady and Koepp"/>
        <s v="Morar Group"/>
        <s v="Pouros, Ziemann and Braun"/>
      </sharedItems>
    </cacheField>
    <cacheField name="Año" numFmtId="0">
      <sharedItems containsSemiMixedTypes="0" containsString="0" containsNumber="1" containsInteger="1" minValue="2022" maxValue="2022"/>
    </cacheField>
    <cacheField name="Período" numFmtId="3">
      <sharedItems containsSemiMixedTypes="0" containsString="0" containsNumber="1" containsInteger="1" minValue="1" maxValue="6" count="6">
        <n v="2"/>
        <n v="5"/>
        <n v="1"/>
        <n v="4"/>
        <n v="6"/>
        <n v="3"/>
      </sharedItems>
    </cacheField>
    <cacheField name="Ingresos" numFmtId="4">
      <sharedItems containsSemiMixedTypes="0" containsString="0" containsNumber="1" minValue="-23.75" maxValue="36270"/>
    </cacheField>
    <cacheField name="Costos" numFmtId="4">
      <sharedItems containsSemiMixedTypes="0" containsString="0" containsNumber="1" minValue="-1723.2" maxValue="35997.75"/>
    </cacheField>
    <cacheField name="Region" numFmtId="0">
      <sharedItems count="6">
        <s v="Argentina"/>
        <s v="Canada"/>
        <s v="Colombia"/>
        <s v="Peru"/>
        <s v="Chile"/>
        <s v="Mexico"/>
      </sharedItems>
    </cacheField>
    <cacheField name="Tipo Producto" numFmtId="0">
      <sharedItems count="8">
        <s v="GAMBO"/>
        <s v="SALF"/>
        <s v="DONANY"/>
        <s v="LAX"/>
        <s v="DAWNE"/>
        <s v="CHOTUS"/>
        <s v="MOC"/>
        <s v="QUOKAR"/>
      </sharedItems>
    </cacheField>
    <cacheField name="Utilidad" numFmtId="0" formula="Ingresos-Costos" databaseField="0"/>
    <cacheField name="Margen" numFmtId="0" formula="Utilidad/Ingresos" databaseField="0"/>
  </cacheFields>
  <extLst>
    <ext xmlns:x14="http://schemas.microsoft.com/office/spreadsheetml/2009/9/main" uri="{725AE2AE-9491-48be-B2B4-4EB974FC3084}">
      <x14:pivotCacheDefinition pivotCacheId="12871393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91">
  <r>
    <x v="0"/>
    <x v="0"/>
    <n v="2022"/>
    <x v="0"/>
    <n v="16"/>
    <n v="4"/>
    <x v="0"/>
    <x v="0"/>
  </r>
  <r>
    <x v="1"/>
    <x v="0"/>
    <n v="2022"/>
    <x v="1"/>
    <n v="0"/>
    <n v="-7.29"/>
    <x v="0"/>
    <x v="1"/>
  </r>
  <r>
    <x v="2"/>
    <x v="1"/>
    <n v="2022"/>
    <x v="2"/>
    <n v="1980"/>
    <n v="-1112.1099999999999"/>
    <x v="1"/>
    <x v="2"/>
  </r>
  <r>
    <x v="3"/>
    <x v="1"/>
    <n v="2022"/>
    <x v="2"/>
    <n v="3675"/>
    <n v="6316.24"/>
    <x v="1"/>
    <x v="0"/>
  </r>
  <r>
    <x v="4"/>
    <x v="1"/>
    <n v="2022"/>
    <x v="0"/>
    <n v="0"/>
    <n v="0"/>
    <x v="1"/>
    <x v="3"/>
  </r>
  <r>
    <x v="5"/>
    <x v="2"/>
    <n v="2022"/>
    <x v="2"/>
    <n v="37"/>
    <n v="4.1100000000000003"/>
    <x v="2"/>
    <x v="2"/>
  </r>
  <r>
    <x v="6"/>
    <x v="2"/>
    <n v="2022"/>
    <x v="0"/>
    <n v="22.5"/>
    <n v="6.03"/>
    <x v="2"/>
    <x v="4"/>
  </r>
  <r>
    <x v="6"/>
    <x v="2"/>
    <n v="2022"/>
    <x v="3"/>
    <n v="45"/>
    <n v="11.52"/>
    <x v="2"/>
    <x v="4"/>
  </r>
  <r>
    <x v="6"/>
    <x v="2"/>
    <n v="2022"/>
    <x v="1"/>
    <n v="67.5"/>
    <n v="17.489999999999998"/>
    <x v="2"/>
    <x v="4"/>
  </r>
  <r>
    <x v="6"/>
    <x v="2"/>
    <n v="2022"/>
    <x v="4"/>
    <n v="22.5"/>
    <n v="5.91"/>
    <x v="2"/>
    <x v="4"/>
  </r>
  <r>
    <x v="7"/>
    <x v="2"/>
    <n v="2022"/>
    <x v="2"/>
    <n v="36.9"/>
    <n v="8.4700000000000006"/>
    <x v="2"/>
    <x v="4"/>
  </r>
  <r>
    <x v="8"/>
    <x v="2"/>
    <n v="2022"/>
    <x v="0"/>
    <n v="112"/>
    <n v="35.520000000000003"/>
    <x v="2"/>
    <x v="1"/>
  </r>
  <r>
    <x v="8"/>
    <x v="2"/>
    <n v="2022"/>
    <x v="5"/>
    <n v="42"/>
    <n v="13.19"/>
    <x v="2"/>
    <x v="1"/>
  </r>
  <r>
    <x v="8"/>
    <x v="2"/>
    <n v="2022"/>
    <x v="3"/>
    <n v="42"/>
    <n v="13.17"/>
    <x v="2"/>
    <x v="1"/>
  </r>
  <r>
    <x v="8"/>
    <x v="2"/>
    <n v="2022"/>
    <x v="1"/>
    <n v="28"/>
    <n v="15.84"/>
    <x v="2"/>
    <x v="1"/>
  </r>
  <r>
    <x v="8"/>
    <x v="2"/>
    <n v="2022"/>
    <x v="4"/>
    <n v="14"/>
    <n v="4.3499999999999996"/>
    <x v="2"/>
    <x v="1"/>
  </r>
  <r>
    <x v="9"/>
    <x v="2"/>
    <n v="2022"/>
    <x v="2"/>
    <n v="16"/>
    <n v="4.99"/>
    <x v="2"/>
    <x v="2"/>
  </r>
  <r>
    <x v="10"/>
    <x v="2"/>
    <n v="2022"/>
    <x v="0"/>
    <n v="77"/>
    <n v="33"/>
    <x v="2"/>
    <x v="5"/>
  </r>
  <r>
    <x v="10"/>
    <x v="2"/>
    <n v="2022"/>
    <x v="3"/>
    <n v="19.25"/>
    <n v="8.25"/>
    <x v="2"/>
    <x v="5"/>
  </r>
  <r>
    <x v="11"/>
    <x v="2"/>
    <n v="2022"/>
    <x v="2"/>
    <n v="746.5"/>
    <n v="146"/>
    <x v="2"/>
    <x v="3"/>
  </r>
  <r>
    <x v="12"/>
    <x v="2"/>
    <n v="2022"/>
    <x v="0"/>
    <n v="154"/>
    <n v="51.37"/>
    <x v="2"/>
    <x v="0"/>
  </r>
  <r>
    <x v="12"/>
    <x v="2"/>
    <n v="2022"/>
    <x v="5"/>
    <n v="352"/>
    <n v="117.91"/>
    <x v="2"/>
    <x v="0"/>
  </r>
  <r>
    <x v="12"/>
    <x v="2"/>
    <n v="2022"/>
    <x v="3"/>
    <n v="638"/>
    <n v="216.64"/>
    <x v="2"/>
    <x v="0"/>
  </r>
  <r>
    <x v="12"/>
    <x v="2"/>
    <n v="2022"/>
    <x v="1"/>
    <n v="264"/>
    <n v="89.75"/>
    <x v="2"/>
    <x v="0"/>
  </r>
  <r>
    <x v="12"/>
    <x v="2"/>
    <n v="2022"/>
    <x v="4"/>
    <n v="264"/>
    <n v="87.98"/>
    <x v="2"/>
    <x v="0"/>
  </r>
  <r>
    <x v="13"/>
    <x v="2"/>
    <n v="2022"/>
    <x v="5"/>
    <n v="68"/>
    <n v="10.17"/>
    <x v="2"/>
    <x v="0"/>
  </r>
  <r>
    <x v="14"/>
    <x v="2"/>
    <n v="2022"/>
    <x v="2"/>
    <n v="178"/>
    <n v="63.22"/>
    <x v="2"/>
    <x v="5"/>
  </r>
  <r>
    <x v="15"/>
    <x v="2"/>
    <n v="2022"/>
    <x v="0"/>
    <n v="9"/>
    <n v="-8.42"/>
    <x v="2"/>
    <x v="6"/>
  </r>
  <r>
    <x v="15"/>
    <x v="2"/>
    <n v="2022"/>
    <x v="5"/>
    <n v="196"/>
    <n v="70.17"/>
    <x v="2"/>
    <x v="6"/>
  </r>
  <r>
    <x v="15"/>
    <x v="2"/>
    <n v="2022"/>
    <x v="3"/>
    <n v="114"/>
    <n v="40.4"/>
    <x v="2"/>
    <x v="6"/>
  </r>
  <r>
    <x v="15"/>
    <x v="2"/>
    <n v="2022"/>
    <x v="1"/>
    <n v="114"/>
    <n v="39.479999999999997"/>
    <x v="2"/>
    <x v="6"/>
  </r>
  <r>
    <x v="15"/>
    <x v="2"/>
    <n v="2022"/>
    <x v="4"/>
    <n v="28.5"/>
    <n v="9.7899999999999991"/>
    <x v="2"/>
    <x v="6"/>
  </r>
  <r>
    <x v="16"/>
    <x v="2"/>
    <n v="2022"/>
    <x v="0"/>
    <n v="19.75"/>
    <n v="11.52"/>
    <x v="2"/>
    <x v="2"/>
  </r>
  <r>
    <x v="17"/>
    <x v="2"/>
    <n v="2022"/>
    <x v="5"/>
    <n v="19.75"/>
    <n v="11.52"/>
    <x v="2"/>
    <x v="0"/>
  </r>
  <r>
    <x v="17"/>
    <x v="2"/>
    <n v="2022"/>
    <x v="3"/>
    <n v="19.75"/>
    <n v="11.52"/>
    <x v="2"/>
    <x v="0"/>
  </r>
  <r>
    <x v="17"/>
    <x v="2"/>
    <n v="2022"/>
    <x v="4"/>
    <n v="19.75"/>
    <n v="11.52"/>
    <x v="2"/>
    <x v="0"/>
  </r>
  <r>
    <x v="18"/>
    <x v="2"/>
    <n v="2022"/>
    <x v="2"/>
    <n v="15.5"/>
    <n v="6.39"/>
    <x v="2"/>
    <x v="0"/>
  </r>
  <r>
    <x v="19"/>
    <x v="2"/>
    <n v="2022"/>
    <x v="2"/>
    <n v="57"/>
    <n v="27.11"/>
    <x v="2"/>
    <x v="5"/>
  </r>
  <r>
    <x v="20"/>
    <x v="2"/>
    <n v="2022"/>
    <x v="0"/>
    <n v="-9"/>
    <n v="-9"/>
    <x v="2"/>
    <x v="6"/>
  </r>
  <r>
    <x v="20"/>
    <x v="2"/>
    <n v="2022"/>
    <x v="5"/>
    <n v="30.5"/>
    <n v="15.56"/>
    <x v="2"/>
    <x v="6"/>
  </r>
  <r>
    <x v="21"/>
    <x v="2"/>
    <n v="2022"/>
    <x v="2"/>
    <n v="125"/>
    <n v="42.49"/>
    <x v="2"/>
    <x v="1"/>
  </r>
  <r>
    <x v="22"/>
    <x v="2"/>
    <n v="2022"/>
    <x v="0"/>
    <n v="273"/>
    <n v="72.67"/>
    <x v="2"/>
    <x v="3"/>
  </r>
  <r>
    <x v="22"/>
    <x v="2"/>
    <n v="2022"/>
    <x v="5"/>
    <n v="216"/>
    <n v="67.2"/>
    <x v="2"/>
    <x v="3"/>
  </r>
  <r>
    <x v="22"/>
    <x v="2"/>
    <n v="2022"/>
    <x v="3"/>
    <n v="84"/>
    <n v="23.38"/>
    <x v="2"/>
    <x v="3"/>
  </r>
  <r>
    <x v="22"/>
    <x v="2"/>
    <n v="2022"/>
    <x v="1"/>
    <n v="117"/>
    <n v="26.08"/>
    <x v="2"/>
    <x v="3"/>
  </r>
  <r>
    <x v="23"/>
    <x v="2"/>
    <n v="2022"/>
    <x v="2"/>
    <n v="84"/>
    <n v="59.95"/>
    <x v="2"/>
    <x v="5"/>
  </r>
  <r>
    <x v="24"/>
    <x v="2"/>
    <n v="2022"/>
    <x v="4"/>
    <n v="13"/>
    <n v="8.99"/>
    <x v="2"/>
    <x v="5"/>
  </r>
  <r>
    <x v="25"/>
    <x v="2"/>
    <n v="2022"/>
    <x v="2"/>
    <n v="96"/>
    <n v="39.75"/>
    <x v="2"/>
    <x v="0"/>
  </r>
  <r>
    <x v="26"/>
    <x v="2"/>
    <n v="2022"/>
    <x v="0"/>
    <n v="213"/>
    <n v="67.16"/>
    <x v="2"/>
    <x v="0"/>
  </r>
  <r>
    <x v="26"/>
    <x v="2"/>
    <n v="2022"/>
    <x v="5"/>
    <n v="264"/>
    <n v="87.96"/>
    <x v="2"/>
    <x v="0"/>
  </r>
  <r>
    <x v="26"/>
    <x v="2"/>
    <n v="2022"/>
    <x v="3"/>
    <n v="174"/>
    <n v="53.78"/>
    <x v="2"/>
    <x v="0"/>
  </r>
  <r>
    <x v="26"/>
    <x v="2"/>
    <n v="2022"/>
    <x v="1"/>
    <n v="172.1"/>
    <n v="51"/>
    <x v="2"/>
    <x v="0"/>
  </r>
  <r>
    <x v="27"/>
    <x v="2"/>
    <n v="2022"/>
    <x v="4"/>
    <n v="15.25"/>
    <n v="11.37"/>
    <x v="2"/>
    <x v="2"/>
  </r>
  <r>
    <x v="28"/>
    <x v="2"/>
    <n v="2022"/>
    <x v="0"/>
    <n v="14"/>
    <n v="9.8699999999999992"/>
    <x v="2"/>
    <x v="7"/>
  </r>
  <r>
    <x v="29"/>
    <x v="2"/>
    <n v="2022"/>
    <x v="1"/>
    <n v="14"/>
    <n v="9.8699999999999992"/>
    <x v="2"/>
    <x v="2"/>
  </r>
  <r>
    <x v="30"/>
    <x v="2"/>
    <n v="2022"/>
    <x v="0"/>
    <n v="45"/>
    <n v="24.33"/>
    <x v="2"/>
    <x v="3"/>
  </r>
  <r>
    <x v="31"/>
    <x v="2"/>
    <n v="2022"/>
    <x v="0"/>
    <n v="95"/>
    <n v="55.32"/>
    <x v="2"/>
    <x v="4"/>
  </r>
  <r>
    <x v="32"/>
    <x v="2"/>
    <n v="2022"/>
    <x v="2"/>
    <n v="847.25"/>
    <n v="434.8"/>
    <x v="2"/>
    <x v="0"/>
  </r>
  <r>
    <x v="33"/>
    <x v="2"/>
    <n v="2022"/>
    <x v="0"/>
    <n v="210"/>
    <n v="76.239999999999995"/>
    <x v="2"/>
    <x v="6"/>
  </r>
  <r>
    <x v="33"/>
    <x v="2"/>
    <n v="2022"/>
    <x v="5"/>
    <n v="281.25"/>
    <n v="114.02"/>
    <x v="2"/>
    <x v="6"/>
  </r>
  <r>
    <x v="33"/>
    <x v="2"/>
    <n v="2022"/>
    <x v="3"/>
    <n v="412.5"/>
    <n v="170.84"/>
    <x v="2"/>
    <x v="6"/>
  </r>
  <r>
    <x v="33"/>
    <x v="2"/>
    <n v="2022"/>
    <x v="1"/>
    <n v="356.25"/>
    <n v="144.41999999999999"/>
    <x v="2"/>
    <x v="6"/>
  </r>
  <r>
    <x v="33"/>
    <x v="2"/>
    <n v="2022"/>
    <x v="4"/>
    <n v="131.25"/>
    <n v="53.2"/>
    <x v="2"/>
    <x v="6"/>
  </r>
  <r>
    <x v="34"/>
    <x v="2"/>
    <n v="2022"/>
    <x v="1"/>
    <n v="200"/>
    <n v="95.72"/>
    <x v="2"/>
    <x v="4"/>
  </r>
  <r>
    <x v="35"/>
    <x v="2"/>
    <n v="2022"/>
    <x v="4"/>
    <n v="22"/>
    <n v="-4.47"/>
    <x v="2"/>
    <x v="2"/>
  </r>
  <r>
    <x v="1"/>
    <x v="2"/>
    <n v="2022"/>
    <x v="1"/>
    <n v="30"/>
    <n v="17.850000000000001"/>
    <x v="2"/>
    <x v="1"/>
  </r>
  <r>
    <x v="36"/>
    <x v="2"/>
    <n v="2022"/>
    <x v="2"/>
    <n v="484.5"/>
    <n v="317.13"/>
    <x v="2"/>
    <x v="7"/>
  </r>
  <r>
    <x v="37"/>
    <x v="2"/>
    <n v="2022"/>
    <x v="0"/>
    <n v="365"/>
    <n v="245.45"/>
    <x v="2"/>
    <x v="3"/>
  </r>
  <r>
    <x v="37"/>
    <x v="2"/>
    <n v="2022"/>
    <x v="5"/>
    <n v="876"/>
    <n v="589.08000000000004"/>
    <x v="2"/>
    <x v="3"/>
  </r>
  <r>
    <x v="37"/>
    <x v="2"/>
    <n v="2022"/>
    <x v="3"/>
    <n v="803"/>
    <n v="540"/>
    <x v="2"/>
    <x v="3"/>
  </r>
  <r>
    <x v="37"/>
    <x v="2"/>
    <n v="2022"/>
    <x v="1"/>
    <n v="803"/>
    <n v="539.99"/>
    <x v="2"/>
    <x v="3"/>
  </r>
  <r>
    <x v="37"/>
    <x v="2"/>
    <n v="2022"/>
    <x v="4"/>
    <n v="1204.5"/>
    <n v="809.99"/>
    <x v="2"/>
    <x v="3"/>
  </r>
  <r>
    <x v="38"/>
    <x v="2"/>
    <n v="2022"/>
    <x v="2"/>
    <n v="140"/>
    <n v="87.8"/>
    <x v="2"/>
    <x v="0"/>
  </r>
  <r>
    <x v="39"/>
    <x v="2"/>
    <n v="2022"/>
    <x v="0"/>
    <n v="264"/>
    <n v="185.69"/>
    <x v="2"/>
    <x v="5"/>
  </r>
  <r>
    <x v="39"/>
    <x v="2"/>
    <n v="2022"/>
    <x v="1"/>
    <n v="44"/>
    <n v="30.95"/>
    <x v="2"/>
    <x v="5"/>
  </r>
  <r>
    <x v="39"/>
    <x v="2"/>
    <n v="2022"/>
    <x v="4"/>
    <n v="66"/>
    <n v="46.42"/>
    <x v="2"/>
    <x v="5"/>
  </r>
  <r>
    <x v="40"/>
    <x v="2"/>
    <n v="2022"/>
    <x v="3"/>
    <n v="372.5"/>
    <n v="-0.02"/>
    <x v="2"/>
    <x v="6"/>
  </r>
  <r>
    <x v="41"/>
    <x v="2"/>
    <n v="2022"/>
    <x v="3"/>
    <n v="30"/>
    <n v="18.149999999999999"/>
    <x v="2"/>
    <x v="3"/>
  </r>
  <r>
    <x v="42"/>
    <x v="2"/>
    <n v="2022"/>
    <x v="3"/>
    <n v="70"/>
    <n v="7.14"/>
    <x v="2"/>
    <x v="2"/>
  </r>
  <r>
    <x v="43"/>
    <x v="2"/>
    <n v="2022"/>
    <x v="3"/>
    <n v="22.5"/>
    <n v="13.16"/>
    <x v="2"/>
    <x v="5"/>
  </r>
  <r>
    <x v="44"/>
    <x v="2"/>
    <n v="2022"/>
    <x v="0"/>
    <n v="10.75"/>
    <n v="-29.47"/>
    <x v="2"/>
    <x v="1"/>
  </r>
  <r>
    <x v="45"/>
    <x v="2"/>
    <n v="2022"/>
    <x v="5"/>
    <n v="21.5"/>
    <n v="-58.93"/>
    <x v="2"/>
    <x v="1"/>
  </r>
  <r>
    <x v="46"/>
    <x v="2"/>
    <n v="2022"/>
    <x v="3"/>
    <n v="17.25"/>
    <n v="10.76"/>
    <x v="2"/>
    <x v="6"/>
  </r>
  <r>
    <x v="47"/>
    <x v="2"/>
    <n v="2022"/>
    <x v="2"/>
    <n v="17"/>
    <n v="11.58"/>
    <x v="2"/>
    <x v="4"/>
  </r>
  <r>
    <x v="48"/>
    <x v="2"/>
    <n v="2022"/>
    <x v="2"/>
    <n v="74"/>
    <n v="20.49"/>
    <x v="2"/>
    <x v="6"/>
  </r>
  <r>
    <x v="49"/>
    <x v="2"/>
    <n v="2022"/>
    <x v="0"/>
    <n v="58.5"/>
    <n v="17.95"/>
    <x v="2"/>
    <x v="1"/>
  </r>
  <r>
    <x v="49"/>
    <x v="2"/>
    <n v="2022"/>
    <x v="3"/>
    <n v="97.5"/>
    <n v="29.98"/>
    <x v="2"/>
    <x v="1"/>
  </r>
  <r>
    <x v="50"/>
    <x v="3"/>
    <n v="2022"/>
    <x v="3"/>
    <n v="719.6"/>
    <n v="484"/>
    <x v="3"/>
    <x v="4"/>
  </r>
  <r>
    <x v="5"/>
    <x v="4"/>
    <n v="2022"/>
    <x v="5"/>
    <n v="61.5"/>
    <n v="11.16"/>
    <x v="0"/>
    <x v="2"/>
  </r>
  <r>
    <x v="6"/>
    <x v="4"/>
    <n v="2022"/>
    <x v="3"/>
    <n v="184.5"/>
    <n v="34.119999999999997"/>
    <x v="0"/>
    <x v="4"/>
  </r>
  <r>
    <x v="6"/>
    <x v="4"/>
    <n v="2022"/>
    <x v="1"/>
    <n v="164"/>
    <n v="27.05"/>
    <x v="0"/>
    <x v="4"/>
  </r>
  <r>
    <x v="6"/>
    <x v="4"/>
    <n v="2022"/>
    <x v="4"/>
    <n v="164"/>
    <n v="31.2"/>
    <x v="0"/>
    <x v="4"/>
  </r>
  <r>
    <x v="51"/>
    <x v="4"/>
    <n v="2022"/>
    <x v="2"/>
    <n v="3885"/>
    <n v="263.45"/>
    <x v="0"/>
    <x v="1"/>
  </r>
  <r>
    <x v="52"/>
    <x v="4"/>
    <n v="2022"/>
    <x v="0"/>
    <n v="3332.5"/>
    <n v="363.3"/>
    <x v="0"/>
    <x v="3"/>
  </r>
  <r>
    <x v="52"/>
    <x v="4"/>
    <n v="2022"/>
    <x v="5"/>
    <n v="3100"/>
    <n v="437.15"/>
    <x v="0"/>
    <x v="3"/>
  </r>
  <r>
    <x v="52"/>
    <x v="4"/>
    <n v="2022"/>
    <x v="3"/>
    <n v="4040"/>
    <n v="570.14"/>
    <x v="0"/>
    <x v="3"/>
  </r>
  <r>
    <x v="52"/>
    <x v="4"/>
    <n v="2022"/>
    <x v="1"/>
    <n v="4840"/>
    <n v="647.6"/>
    <x v="0"/>
    <x v="3"/>
  </r>
  <r>
    <x v="52"/>
    <x v="4"/>
    <n v="2022"/>
    <x v="4"/>
    <n v="4100"/>
    <n v="555.04999999999995"/>
    <x v="0"/>
    <x v="3"/>
  </r>
  <r>
    <x v="53"/>
    <x v="4"/>
    <n v="2022"/>
    <x v="2"/>
    <n v="0"/>
    <n v="-1"/>
    <x v="0"/>
    <x v="3"/>
  </r>
  <r>
    <x v="54"/>
    <x v="4"/>
    <n v="2022"/>
    <x v="3"/>
    <n v="950"/>
    <n v="185.08"/>
    <x v="0"/>
    <x v="2"/>
  </r>
  <r>
    <x v="54"/>
    <x v="4"/>
    <n v="2022"/>
    <x v="1"/>
    <n v="95"/>
    <n v="18.54"/>
    <x v="0"/>
    <x v="2"/>
  </r>
  <r>
    <x v="7"/>
    <x v="4"/>
    <n v="2022"/>
    <x v="2"/>
    <n v="12.3"/>
    <n v="2.88"/>
    <x v="0"/>
    <x v="4"/>
  </r>
  <r>
    <x v="8"/>
    <x v="4"/>
    <n v="2022"/>
    <x v="3"/>
    <n v="12.3"/>
    <n v="2.69"/>
    <x v="0"/>
    <x v="1"/>
  </r>
  <r>
    <x v="9"/>
    <x v="4"/>
    <n v="2022"/>
    <x v="2"/>
    <n v="157"/>
    <n v="46.89"/>
    <x v="0"/>
    <x v="2"/>
  </r>
  <r>
    <x v="10"/>
    <x v="4"/>
    <n v="2022"/>
    <x v="0"/>
    <n v="131"/>
    <n v="43"/>
    <x v="0"/>
    <x v="5"/>
  </r>
  <r>
    <x v="10"/>
    <x v="4"/>
    <n v="2022"/>
    <x v="5"/>
    <n v="148.5"/>
    <n v="49.5"/>
    <x v="0"/>
    <x v="5"/>
  </r>
  <r>
    <x v="10"/>
    <x v="4"/>
    <n v="2022"/>
    <x v="3"/>
    <n v="198"/>
    <n v="66"/>
    <x v="0"/>
    <x v="5"/>
  </r>
  <r>
    <x v="10"/>
    <x v="4"/>
    <n v="2022"/>
    <x v="1"/>
    <n v="231"/>
    <n v="74.13"/>
    <x v="0"/>
    <x v="5"/>
  </r>
  <r>
    <x v="10"/>
    <x v="4"/>
    <n v="2022"/>
    <x v="4"/>
    <n v="214.5"/>
    <n v="67.989999999999995"/>
    <x v="0"/>
    <x v="5"/>
  </r>
  <r>
    <x v="11"/>
    <x v="4"/>
    <n v="2022"/>
    <x v="2"/>
    <n v="37"/>
    <n v="8"/>
    <x v="0"/>
    <x v="3"/>
  </r>
  <r>
    <x v="12"/>
    <x v="4"/>
    <n v="2022"/>
    <x v="1"/>
    <n v="74"/>
    <n v="14.96"/>
    <x v="0"/>
    <x v="0"/>
  </r>
  <r>
    <x v="55"/>
    <x v="4"/>
    <n v="2022"/>
    <x v="2"/>
    <n v="389.5"/>
    <n v="66.19"/>
    <x v="0"/>
    <x v="3"/>
  </r>
  <r>
    <x v="56"/>
    <x v="4"/>
    <n v="2022"/>
    <x v="0"/>
    <n v="327.5"/>
    <n v="89.27"/>
    <x v="0"/>
    <x v="3"/>
  </r>
  <r>
    <x v="56"/>
    <x v="4"/>
    <n v="2022"/>
    <x v="5"/>
    <n v="450"/>
    <n v="143.69"/>
    <x v="0"/>
    <x v="3"/>
  </r>
  <r>
    <x v="56"/>
    <x v="4"/>
    <n v="2022"/>
    <x v="3"/>
    <n v="350"/>
    <n v="111.74"/>
    <x v="0"/>
    <x v="3"/>
  </r>
  <r>
    <x v="56"/>
    <x v="4"/>
    <n v="2022"/>
    <x v="1"/>
    <n v="300"/>
    <n v="95.8"/>
    <x v="0"/>
    <x v="3"/>
  </r>
  <r>
    <x v="56"/>
    <x v="4"/>
    <n v="2022"/>
    <x v="4"/>
    <n v="25"/>
    <n v="7.98"/>
    <x v="0"/>
    <x v="3"/>
  </r>
  <r>
    <x v="18"/>
    <x v="4"/>
    <n v="2022"/>
    <x v="2"/>
    <n v="103.25"/>
    <n v="28.2"/>
    <x v="0"/>
    <x v="0"/>
  </r>
  <r>
    <x v="57"/>
    <x v="4"/>
    <n v="2022"/>
    <x v="0"/>
    <n v="75.75"/>
    <n v="30.18"/>
    <x v="0"/>
    <x v="6"/>
  </r>
  <r>
    <x v="57"/>
    <x v="4"/>
    <n v="2022"/>
    <x v="5"/>
    <n v="94.5"/>
    <n v="39.840000000000003"/>
    <x v="0"/>
    <x v="6"/>
  </r>
  <r>
    <x v="57"/>
    <x v="4"/>
    <n v="2022"/>
    <x v="3"/>
    <n v="80.75"/>
    <n v="35.200000000000003"/>
    <x v="0"/>
    <x v="6"/>
  </r>
  <r>
    <x v="57"/>
    <x v="4"/>
    <n v="2022"/>
    <x v="1"/>
    <n v="99"/>
    <n v="44.34"/>
    <x v="0"/>
    <x v="6"/>
  </r>
  <r>
    <x v="57"/>
    <x v="4"/>
    <n v="2022"/>
    <x v="4"/>
    <n v="66"/>
    <n v="29.55"/>
    <x v="0"/>
    <x v="6"/>
  </r>
  <r>
    <x v="38"/>
    <x v="4"/>
    <n v="2022"/>
    <x v="5"/>
    <n v="22"/>
    <n v="15.47"/>
    <x v="0"/>
    <x v="0"/>
  </r>
  <r>
    <x v="58"/>
    <x v="4"/>
    <n v="2022"/>
    <x v="2"/>
    <n v="61.5"/>
    <n v="9.59"/>
    <x v="0"/>
    <x v="5"/>
  </r>
  <r>
    <x v="59"/>
    <x v="4"/>
    <n v="2022"/>
    <x v="0"/>
    <n v="32.5"/>
    <n v="9.3000000000000007"/>
    <x v="0"/>
    <x v="2"/>
  </r>
  <r>
    <x v="59"/>
    <x v="4"/>
    <n v="2022"/>
    <x v="5"/>
    <n v="42.5"/>
    <n v="13.5"/>
    <x v="0"/>
    <x v="2"/>
  </r>
  <r>
    <x v="48"/>
    <x v="4"/>
    <n v="2022"/>
    <x v="0"/>
    <n v="18.5"/>
    <n v="4.9400000000000004"/>
    <x v="0"/>
    <x v="6"/>
  </r>
  <r>
    <x v="49"/>
    <x v="4"/>
    <n v="2022"/>
    <x v="5"/>
    <n v="23"/>
    <n v="0"/>
    <x v="0"/>
    <x v="1"/>
  </r>
  <r>
    <x v="49"/>
    <x v="4"/>
    <n v="2022"/>
    <x v="3"/>
    <n v="23"/>
    <n v="9.5"/>
    <x v="0"/>
    <x v="1"/>
  </r>
  <r>
    <x v="49"/>
    <x v="4"/>
    <n v="2022"/>
    <x v="1"/>
    <n v="19.5"/>
    <n v="6.1"/>
    <x v="0"/>
    <x v="1"/>
  </r>
  <r>
    <x v="60"/>
    <x v="5"/>
    <n v="2022"/>
    <x v="2"/>
    <n v="6900"/>
    <n v="3936.67"/>
    <x v="4"/>
    <x v="3"/>
  </r>
  <r>
    <x v="61"/>
    <x v="5"/>
    <n v="2022"/>
    <x v="5"/>
    <n v="3450"/>
    <n v="1968.33"/>
    <x v="4"/>
    <x v="6"/>
  </r>
  <r>
    <x v="61"/>
    <x v="5"/>
    <n v="2022"/>
    <x v="4"/>
    <n v="1150"/>
    <n v="656.11"/>
    <x v="4"/>
    <x v="6"/>
  </r>
  <r>
    <x v="62"/>
    <x v="5"/>
    <n v="2022"/>
    <x v="4"/>
    <n v="675"/>
    <n v="398.17"/>
    <x v="4"/>
    <x v="1"/>
  </r>
  <r>
    <x v="63"/>
    <x v="5"/>
    <n v="2022"/>
    <x v="2"/>
    <n v="4300"/>
    <n v="1505"/>
    <x v="4"/>
    <x v="7"/>
  </r>
  <r>
    <x v="64"/>
    <x v="5"/>
    <n v="2022"/>
    <x v="0"/>
    <n v="1075"/>
    <n v="376.25"/>
    <x v="4"/>
    <x v="3"/>
  </r>
  <r>
    <x v="64"/>
    <x v="5"/>
    <n v="2022"/>
    <x v="5"/>
    <n v="3225"/>
    <n v="1128.75"/>
    <x v="4"/>
    <x v="3"/>
  </r>
  <r>
    <x v="64"/>
    <x v="5"/>
    <n v="2022"/>
    <x v="4"/>
    <n v="1075"/>
    <n v="376.25"/>
    <x v="4"/>
    <x v="3"/>
  </r>
  <r>
    <x v="65"/>
    <x v="5"/>
    <n v="2022"/>
    <x v="4"/>
    <n v="562.5"/>
    <n v="370.84"/>
    <x v="4"/>
    <x v="7"/>
  </r>
  <r>
    <x v="66"/>
    <x v="6"/>
    <n v="2022"/>
    <x v="5"/>
    <n v="50"/>
    <n v="23.37"/>
    <x v="1"/>
    <x v="0"/>
  </r>
  <r>
    <x v="67"/>
    <x v="6"/>
    <n v="2022"/>
    <x v="3"/>
    <n v="50"/>
    <n v="23.37"/>
    <x v="1"/>
    <x v="2"/>
  </r>
  <r>
    <x v="67"/>
    <x v="6"/>
    <n v="2022"/>
    <x v="4"/>
    <n v="50"/>
    <n v="23.47"/>
    <x v="1"/>
    <x v="2"/>
  </r>
  <r>
    <x v="68"/>
    <x v="6"/>
    <n v="2022"/>
    <x v="3"/>
    <n v="78"/>
    <n v="58.38"/>
    <x v="1"/>
    <x v="4"/>
  </r>
  <r>
    <x v="69"/>
    <x v="6"/>
    <n v="2022"/>
    <x v="4"/>
    <n v="48.75"/>
    <n v="36.49"/>
    <x v="1"/>
    <x v="7"/>
  </r>
  <r>
    <x v="70"/>
    <x v="6"/>
    <n v="2022"/>
    <x v="5"/>
    <n v="165"/>
    <n v="118.26"/>
    <x v="1"/>
    <x v="5"/>
  </r>
  <r>
    <x v="71"/>
    <x v="6"/>
    <n v="2022"/>
    <x v="3"/>
    <n v="55"/>
    <n v="39.42"/>
    <x v="1"/>
    <x v="0"/>
  </r>
  <r>
    <x v="71"/>
    <x v="6"/>
    <n v="2022"/>
    <x v="4"/>
    <n v="55"/>
    <n v="39.42"/>
    <x v="1"/>
    <x v="0"/>
  </r>
  <r>
    <x v="60"/>
    <x v="6"/>
    <n v="2022"/>
    <x v="5"/>
    <n v="460"/>
    <n v="262.44"/>
    <x v="1"/>
    <x v="3"/>
  </r>
  <r>
    <x v="61"/>
    <x v="6"/>
    <n v="2022"/>
    <x v="3"/>
    <n v="230"/>
    <n v="131.22"/>
    <x v="1"/>
    <x v="6"/>
  </r>
  <r>
    <x v="61"/>
    <x v="6"/>
    <n v="2022"/>
    <x v="4"/>
    <n v="230"/>
    <n v="131.22"/>
    <x v="1"/>
    <x v="6"/>
  </r>
  <r>
    <x v="72"/>
    <x v="6"/>
    <n v="2022"/>
    <x v="5"/>
    <n v="250"/>
    <n v="62.67"/>
    <x v="1"/>
    <x v="6"/>
  </r>
  <r>
    <x v="73"/>
    <x v="6"/>
    <n v="2022"/>
    <x v="4"/>
    <n v="200"/>
    <n v="50.13"/>
    <x v="1"/>
    <x v="0"/>
  </r>
  <r>
    <x v="63"/>
    <x v="6"/>
    <n v="2022"/>
    <x v="5"/>
    <n v="136"/>
    <n v="24.2"/>
    <x v="1"/>
    <x v="7"/>
  </r>
  <r>
    <x v="64"/>
    <x v="6"/>
    <n v="2022"/>
    <x v="4"/>
    <n v="170"/>
    <n v="30.25"/>
    <x v="1"/>
    <x v="3"/>
  </r>
  <r>
    <x v="74"/>
    <x v="7"/>
    <n v="2022"/>
    <x v="3"/>
    <n v="960"/>
    <n v="400"/>
    <x v="0"/>
    <x v="5"/>
  </r>
  <r>
    <x v="5"/>
    <x v="8"/>
    <n v="2022"/>
    <x v="2"/>
    <n v="2415"/>
    <n v="28.63"/>
    <x v="1"/>
    <x v="2"/>
  </r>
  <r>
    <x v="6"/>
    <x v="8"/>
    <n v="2022"/>
    <x v="0"/>
    <n v="1844"/>
    <n v="147.88"/>
    <x v="1"/>
    <x v="4"/>
  </r>
  <r>
    <x v="6"/>
    <x v="8"/>
    <n v="2022"/>
    <x v="5"/>
    <n v="1530"/>
    <n v="109.27"/>
    <x v="1"/>
    <x v="4"/>
  </r>
  <r>
    <x v="6"/>
    <x v="8"/>
    <n v="2022"/>
    <x v="3"/>
    <n v="1746"/>
    <n v="124.59"/>
    <x v="1"/>
    <x v="4"/>
  </r>
  <r>
    <x v="6"/>
    <x v="8"/>
    <n v="2022"/>
    <x v="1"/>
    <n v="1620"/>
    <n v="122.29"/>
    <x v="1"/>
    <x v="4"/>
  </r>
  <r>
    <x v="6"/>
    <x v="8"/>
    <n v="2022"/>
    <x v="4"/>
    <n v="2700"/>
    <n v="209.35"/>
    <x v="1"/>
    <x v="4"/>
  </r>
  <r>
    <x v="51"/>
    <x v="8"/>
    <n v="2022"/>
    <x v="3"/>
    <n v="144"/>
    <n v="5.41"/>
    <x v="1"/>
    <x v="1"/>
  </r>
  <r>
    <x v="7"/>
    <x v="8"/>
    <n v="2022"/>
    <x v="2"/>
    <n v="862.5"/>
    <n v="149.18"/>
    <x v="1"/>
    <x v="4"/>
  </r>
  <r>
    <x v="8"/>
    <x v="8"/>
    <n v="2022"/>
    <x v="0"/>
    <n v="720"/>
    <n v="144.96"/>
    <x v="1"/>
    <x v="1"/>
  </r>
  <r>
    <x v="8"/>
    <x v="8"/>
    <n v="2022"/>
    <x v="5"/>
    <n v="551.25"/>
    <n v="119.9"/>
    <x v="1"/>
    <x v="1"/>
  </r>
  <r>
    <x v="8"/>
    <x v="8"/>
    <n v="2022"/>
    <x v="3"/>
    <n v="122.5"/>
    <n v="26.43"/>
    <x v="1"/>
    <x v="1"/>
  </r>
  <r>
    <x v="8"/>
    <x v="8"/>
    <n v="2022"/>
    <x v="1"/>
    <n v="24.5"/>
    <n v="5.13"/>
    <x v="1"/>
    <x v="1"/>
  </r>
  <r>
    <x v="75"/>
    <x v="8"/>
    <n v="2022"/>
    <x v="3"/>
    <n v="191.25"/>
    <n v="44.05"/>
    <x v="1"/>
    <x v="6"/>
  </r>
  <r>
    <x v="76"/>
    <x v="8"/>
    <n v="2022"/>
    <x v="2"/>
    <n v="392.5"/>
    <n v="126.05"/>
    <x v="1"/>
    <x v="0"/>
  </r>
  <r>
    <x v="77"/>
    <x v="8"/>
    <n v="2022"/>
    <x v="0"/>
    <n v="302.8"/>
    <n v="89.64"/>
    <x v="1"/>
    <x v="6"/>
  </r>
  <r>
    <x v="77"/>
    <x v="8"/>
    <n v="2022"/>
    <x v="3"/>
    <n v="283.5"/>
    <n v="91.65"/>
    <x v="1"/>
    <x v="6"/>
  </r>
  <r>
    <x v="77"/>
    <x v="8"/>
    <n v="2022"/>
    <x v="1"/>
    <n v="94.5"/>
    <n v="30.54"/>
    <x v="1"/>
    <x v="6"/>
  </r>
  <r>
    <x v="77"/>
    <x v="8"/>
    <n v="2022"/>
    <x v="4"/>
    <n v="63"/>
    <n v="20.36"/>
    <x v="1"/>
    <x v="6"/>
  </r>
  <r>
    <x v="9"/>
    <x v="8"/>
    <n v="2022"/>
    <x v="2"/>
    <n v="1087.5"/>
    <n v="261.79000000000002"/>
    <x v="1"/>
    <x v="2"/>
  </r>
  <r>
    <x v="10"/>
    <x v="8"/>
    <n v="2022"/>
    <x v="0"/>
    <n v="747.5"/>
    <n v="197.47"/>
    <x v="1"/>
    <x v="5"/>
  </r>
  <r>
    <x v="10"/>
    <x v="8"/>
    <n v="2022"/>
    <x v="5"/>
    <n v="1425"/>
    <n v="379.97"/>
    <x v="1"/>
    <x v="5"/>
  </r>
  <r>
    <x v="10"/>
    <x v="8"/>
    <n v="2022"/>
    <x v="3"/>
    <n v="1125"/>
    <n v="280.02999999999997"/>
    <x v="1"/>
    <x v="5"/>
  </r>
  <r>
    <x v="10"/>
    <x v="8"/>
    <n v="2022"/>
    <x v="1"/>
    <n v="1125"/>
    <n v="292.98"/>
    <x v="1"/>
    <x v="5"/>
  </r>
  <r>
    <x v="10"/>
    <x v="8"/>
    <n v="2022"/>
    <x v="4"/>
    <n v="1425"/>
    <n v="353.97"/>
    <x v="1"/>
    <x v="5"/>
  </r>
  <r>
    <x v="11"/>
    <x v="8"/>
    <n v="2022"/>
    <x v="2"/>
    <n v="205"/>
    <n v="35"/>
    <x v="1"/>
    <x v="3"/>
  </r>
  <r>
    <x v="12"/>
    <x v="8"/>
    <n v="2022"/>
    <x v="0"/>
    <n v="270"/>
    <n v="47.09"/>
    <x v="1"/>
    <x v="0"/>
  </r>
  <r>
    <x v="12"/>
    <x v="8"/>
    <n v="2022"/>
    <x v="5"/>
    <n v="1512"/>
    <n v="280.52"/>
    <x v="1"/>
    <x v="0"/>
  </r>
  <r>
    <x v="12"/>
    <x v="8"/>
    <n v="2022"/>
    <x v="1"/>
    <n v="900"/>
    <n v="164.51"/>
    <x v="1"/>
    <x v="0"/>
  </r>
  <r>
    <x v="12"/>
    <x v="8"/>
    <n v="2022"/>
    <x v="4"/>
    <n v="270"/>
    <n v="50.79"/>
    <x v="1"/>
    <x v="0"/>
  </r>
  <r>
    <x v="78"/>
    <x v="8"/>
    <n v="2022"/>
    <x v="2"/>
    <n v="3198"/>
    <n v="642.35"/>
    <x v="1"/>
    <x v="4"/>
  </r>
  <r>
    <x v="79"/>
    <x v="8"/>
    <n v="2022"/>
    <x v="0"/>
    <n v="2255.75"/>
    <n v="587"/>
    <x v="1"/>
    <x v="1"/>
  </r>
  <r>
    <x v="79"/>
    <x v="8"/>
    <n v="2022"/>
    <x v="5"/>
    <n v="2540"/>
    <n v="698.75"/>
    <x v="1"/>
    <x v="1"/>
  </r>
  <r>
    <x v="79"/>
    <x v="8"/>
    <n v="2022"/>
    <x v="3"/>
    <n v="2010"/>
    <n v="432"/>
    <x v="1"/>
    <x v="1"/>
  </r>
  <r>
    <x v="79"/>
    <x v="8"/>
    <n v="2022"/>
    <x v="1"/>
    <n v="418.75"/>
    <n v="79"/>
    <x v="1"/>
    <x v="1"/>
  </r>
  <r>
    <x v="79"/>
    <x v="8"/>
    <n v="2022"/>
    <x v="4"/>
    <n v="1480"/>
    <n v="197.5"/>
    <x v="1"/>
    <x v="1"/>
  </r>
  <r>
    <x v="16"/>
    <x v="8"/>
    <n v="2022"/>
    <x v="2"/>
    <n v="1140"/>
    <n v="576.79"/>
    <x v="1"/>
    <x v="2"/>
  </r>
  <r>
    <x v="17"/>
    <x v="8"/>
    <n v="2022"/>
    <x v="0"/>
    <n v="1080"/>
    <n v="586.20000000000005"/>
    <x v="1"/>
    <x v="0"/>
  </r>
  <r>
    <x v="17"/>
    <x v="8"/>
    <n v="2022"/>
    <x v="5"/>
    <n v="1890"/>
    <n v="1025.8499999999999"/>
    <x v="1"/>
    <x v="0"/>
  </r>
  <r>
    <x v="17"/>
    <x v="8"/>
    <n v="2022"/>
    <x v="3"/>
    <n v="810"/>
    <n v="439.65"/>
    <x v="1"/>
    <x v="0"/>
  </r>
  <r>
    <x v="17"/>
    <x v="8"/>
    <n v="2022"/>
    <x v="1"/>
    <n v="180"/>
    <n v="97.7"/>
    <x v="1"/>
    <x v="0"/>
  </r>
  <r>
    <x v="17"/>
    <x v="8"/>
    <n v="2022"/>
    <x v="4"/>
    <n v="90"/>
    <n v="48.85"/>
    <x v="1"/>
    <x v="0"/>
  </r>
  <r>
    <x v="18"/>
    <x v="8"/>
    <n v="2022"/>
    <x v="5"/>
    <n v="663.75"/>
    <n v="253.58"/>
    <x v="1"/>
    <x v="0"/>
  </r>
  <r>
    <x v="21"/>
    <x v="8"/>
    <n v="2022"/>
    <x v="3"/>
    <n v="780"/>
    <n v="172.71"/>
    <x v="1"/>
    <x v="1"/>
  </r>
  <r>
    <x v="22"/>
    <x v="8"/>
    <n v="2022"/>
    <x v="1"/>
    <n v="0"/>
    <n v="-2.71"/>
    <x v="1"/>
    <x v="3"/>
  </r>
  <r>
    <x v="23"/>
    <x v="8"/>
    <n v="2022"/>
    <x v="2"/>
    <n v="1445"/>
    <n v="639.53"/>
    <x v="1"/>
    <x v="5"/>
  </r>
  <r>
    <x v="24"/>
    <x v="8"/>
    <n v="2022"/>
    <x v="0"/>
    <n v="765"/>
    <n v="395.21"/>
    <x v="1"/>
    <x v="5"/>
  </r>
  <r>
    <x v="24"/>
    <x v="8"/>
    <n v="2022"/>
    <x v="5"/>
    <n v="1020"/>
    <n v="538.91999999999996"/>
    <x v="1"/>
    <x v="5"/>
  </r>
  <r>
    <x v="24"/>
    <x v="8"/>
    <n v="2022"/>
    <x v="3"/>
    <n v="1062.5"/>
    <n v="517.39"/>
    <x v="1"/>
    <x v="5"/>
  </r>
  <r>
    <x v="24"/>
    <x v="8"/>
    <n v="2022"/>
    <x v="1"/>
    <n v="935"/>
    <n v="494.01"/>
    <x v="1"/>
    <x v="5"/>
  </r>
  <r>
    <x v="24"/>
    <x v="8"/>
    <n v="2022"/>
    <x v="4"/>
    <n v="1445"/>
    <n v="763.46"/>
    <x v="1"/>
    <x v="5"/>
  </r>
  <r>
    <x v="25"/>
    <x v="8"/>
    <n v="2022"/>
    <x v="3"/>
    <n v="870"/>
    <n v="267.64999999999998"/>
    <x v="1"/>
    <x v="0"/>
  </r>
  <r>
    <x v="26"/>
    <x v="8"/>
    <n v="2022"/>
    <x v="1"/>
    <n v="0"/>
    <n v="-97.65"/>
    <x v="1"/>
    <x v="0"/>
  </r>
  <r>
    <x v="27"/>
    <x v="8"/>
    <n v="2022"/>
    <x v="2"/>
    <n v="1882.5"/>
    <n v="840.51"/>
    <x v="1"/>
    <x v="2"/>
  </r>
  <r>
    <x v="80"/>
    <x v="8"/>
    <n v="2022"/>
    <x v="0"/>
    <n v="850"/>
    <n v="462.5"/>
    <x v="1"/>
    <x v="6"/>
  </r>
  <r>
    <x v="80"/>
    <x v="8"/>
    <n v="2022"/>
    <x v="5"/>
    <n v="1275"/>
    <n v="693.75"/>
    <x v="1"/>
    <x v="6"/>
  </r>
  <r>
    <x v="80"/>
    <x v="8"/>
    <n v="2022"/>
    <x v="3"/>
    <n v="1105"/>
    <n v="557.38"/>
    <x v="1"/>
    <x v="6"/>
  </r>
  <r>
    <x v="80"/>
    <x v="8"/>
    <n v="2022"/>
    <x v="1"/>
    <n v="1105"/>
    <n v="601.25"/>
    <x v="1"/>
    <x v="6"/>
  </r>
  <r>
    <x v="80"/>
    <x v="8"/>
    <n v="2022"/>
    <x v="4"/>
    <n v="1487.5"/>
    <n v="809.37"/>
    <x v="1"/>
    <x v="6"/>
  </r>
  <r>
    <x v="81"/>
    <x v="8"/>
    <n v="2022"/>
    <x v="2"/>
    <n v="8492.5"/>
    <n v="925"/>
    <x v="1"/>
    <x v="2"/>
  </r>
  <r>
    <x v="82"/>
    <x v="8"/>
    <n v="2022"/>
    <x v="0"/>
    <n v="7213.75"/>
    <n v="1439.8"/>
    <x v="1"/>
    <x v="4"/>
  </r>
  <r>
    <x v="82"/>
    <x v="8"/>
    <n v="2022"/>
    <x v="5"/>
    <n v="8379"/>
    <n v="1764"/>
    <x v="1"/>
    <x v="4"/>
  </r>
  <r>
    <x v="82"/>
    <x v="8"/>
    <n v="2022"/>
    <x v="3"/>
    <n v="6483.75"/>
    <n v="1365"/>
    <x v="1"/>
    <x v="4"/>
  </r>
  <r>
    <x v="82"/>
    <x v="8"/>
    <n v="2022"/>
    <x v="1"/>
    <n v="5885.25"/>
    <n v="1239"/>
    <x v="1"/>
    <x v="4"/>
  </r>
  <r>
    <x v="82"/>
    <x v="8"/>
    <n v="2022"/>
    <x v="4"/>
    <n v="4987.5"/>
    <n v="1050"/>
    <x v="1"/>
    <x v="4"/>
  </r>
  <r>
    <x v="83"/>
    <x v="8"/>
    <n v="2022"/>
    <x v="1"/>
    <n v="55.5"/>
    <n v="31.34"/>
    <x v="1"/>
    <x v="6"/>
  </r>
  <r>
    <x v="84"/>
    <x v="8"/>
    <n v="2022"/>
    <x v="3"/>
    <n v="107.5"/>
    <n v="0"/>
    <x v="1"/>
    <x v="3"/>
  </r>
  <r>
    <x v="32"/>
    <x v="8"/>
    <n v="2022"/>
    <x v="2"/>
    <n v="989"/>
    <n v="509.66"/>
    <x v="1"/>
    <x v="0"/>
  </r>
  <r>
    <x v="33"/>
    <x v="8"/>
    <n v="2022"/>
    <x v="0"/>
    <n v="940.5"/>
    <n v="505.72"/>
    <x v="1"/>
    <x v="6"/>
  </r>
  <r>
    <x v="33"/>
    <x v="8"/>
    <n v="2022"/>
    <x v="5"/>
    <n v="1102.5"/>
    <n v="600.86"/>
    <x v="1"/>
    <x v="6"/>
  </r>
  <r>
    <x v="33"/>
    <x v="8"/>
    <n v="2022"/>
    <x v="3"/>
    <n v="661.5"/>
    <n v="360.51"/>
    <x v="1"/>
    <x v="6"/>
  </r>
  <r>
    <x v="33"/>
    <x v="8"/>
    <n v="2022"/>
    <x v="1"/>
    <n v="493"/>
    <n v="247.76"/>
    <x v="1"/>
    <x v="6"/>
  </r>
  <r>
    <x v="33"/>
    <x v="8"/>
    <n v="2022"/>
    <x v="4"/>
    <n v="269.5"/>
    <n v="146.86000000000001"/>
    <x v="1"/>
    <x v="6"/>
  </r>
  <r>
    <x v="85"/>
    <x v="8"/>
    <n v="2022"/>
    <x v="2"/>
    <n v="5705"/>
    <n v="1838.17"/>
    <x v="1"/>
    <x v="2"/>
  </r>
  <r>
    <x v="86"/>
    <x v="8"/>
    <n v="2022"/>
    <x v="0"/>
    <n v="4916.25"/>
    <n v="1712.79"/>
    <x v="1"/>
    <x v="7"/>
  </r>
  <r>
    <x v="86"/>
    <x v="8"/>
    <n v="2022"/>
    <x v="5"/>
    <n v="3825"/>
    <n v="1360.8"/>
    <x v="1"/>
    <x v="7"/>
  </r>
  <r>
    <x v="86"/>
    <x v="8"/>
    <n v="2022"/>
    <x v="3"/>
    <n v="4972.5"/>
    <n v="1769.04"/>
    <x v="1"/>
    <x v="7"/>
  </r>
  <r>
    <x v="86"/>
    <x v="8"/>
    <n v="2022"/>
    <x v="1"/>
    <n v="5992.5"/>
    <n v="2131.92"/>
    <x v="1"/>
    <x v="7"/>
  </r>
  <r>
    <x v="86"/>
    <x v="8"/>
    <n v="2022"/>
    <x v="4"/>
    <n v="5355"/>
    <n v="1905.12"/>
    <x v="1"/>
    <x v="7"/>
  </r>
  <r>
    <x v="36"/>
    <x v="8"/>
    <n v="2022"/>
    <x v="2"/>
    <n v="1465"/>
    <n v="913.32"/>
    <x v="1"/>
    <x v="7"/>
  </r>
  <r>
    <x v="37"/>
    <x v="8"/>
    <n v="2022"/>
    <x v="0"/>
    <n v="1516"/>
    <n v="967.47"/>
    <x v="1"/>
    <x v="3"/>
  </r>
  <r>
    <x v="37"/>
    <x v="8"/>
    <n v="2022"/>
    <x v="5"/>
    <n v="1242"/>
    <n v="811.66"/>
    <x v="1"/>
    <x v="3"/>
  </r>
  <r>
    <x v="37"/>
    <x v="8"/>
    <n v="2022"/>
    <x v="3"/>
    <n v="872.5"/>
    <n v="573.65"/>
    <x v="1"/>
    <x v="3"/>
  </r>
  <r>
    <x v="37"/>
    <x v="8"/>
    <n v="2022"/>
    <x v="1"/>
    <n v="448.5"/>
    <n v="293.10000000000002"/>
    <x v="1"/>
    <x v="3"/>
  </r>
  <r>
    <x v="37"/>
    <x v="8"/>
    <n v="2022"/>
    <x v="4"/>
    <n v="448.5"/>
    <n v="293.13"/>
    <x v="1"/>
    <x v="3"/>
  </r>
  <r>
    <x v="38"/>
    <x v="8"/>
    <n v="2022"/>
    <x v="2"/>
    <n v="2745"/>
    <n v="1589.83"/>
    <x v="1"/>
    <x v="0"/>
  </r>
  <r>
    <x v="39"/>
    <x v="8"/>
    <n v="2022"/>
    <x v="0"/>
    <n v="2276.25"/>
    <n v="1427.97"/>
    <x v="1"/>
    <x v="5"/>
  </r>
  <r>
    <x v="39"/>
    <x v="8"/>
    <n v="2022"/>
    <x v="5"/>
    <n v="2485"/>
    <n v="1571.46"/>
    <x v="1"/>
    <x v="5"/>
  </r>
  <r>
    <x v="39"/>
    <x v="8"/>
    <n v="2022"/>
    <x v="3"/>
    <n v="2840"/>
    <n v="1763.81"/>
    <x v="1"/>
    <x v="5"/>
  </r>
  <r>
    <x v="39"/>
    <x v="8"/>
    <n v="2022"/>
    <x v="1"/>
    <n v="2840"/>
    <n v="1795.97"/>
    <x v="1"/>
    <x v="5"/>
  </r>
  <r>
    <x v="39"/>
    <x v="8"/>
    <n v="2022"/>
    <x v="4"/>
    <n v="3195"/>
    <n v="2020.45"/>
    <x v="1"/>
    <x v="5"/>
  </r>
  <r>
    <x v="87"/>
    <x v="8"/>
    <n v="2022"/>
    <x v="5"/>
    <n v="34.25"/>
    <n v="8.64"/>
    <x v="1"/>
    <x v="2"/>
  </r>
  <r>
    <x v="88"/>
    <x v="8"/>
    <n v="2022"/>
    <x v="5"/>
    <n v="20"/>
    <n v="9.9600000000000009"/>
    <x v="1"/>
    <x v="4"/>
  </r>
  <r>
    <x v="89"/>
    <x v="8"/>
    <n v="2022"/>
    <x v="5"/>
    <n v="21.25"/>
    <n v="6.33"/>
    <x v="1"/>
    <x v="7"/>
  </r>
  <r>
    <x v="90"/>
    <x v="8"/>
    <n v="2022"/>
    <x v="3"/>
    <n v="1428"/>
    <n v="1036.03"/>
    <x v="1"/>
    <x v="0"/>
  </r>
  <r>
    <x v="91"/>
    <x v="8"/>
    <n v="2022"/>
    <x v="4"/>
    <n v="45"/>
    <n v="25.83"/>
    <x v="1"/>
    <x v="3"/>
  </r>
  <r>
    <x v="46"/>
    <x v="8"/>
    <n v="2022"/>
    <x v="4"/>
    <n v="18"/>
    <n v="11.51"/>
    <x v="1"/>
    <x v="6"/>
  </r>
  <r>
    <x v="92"/>
    <x v="8"/>
    <n v="2022"/>
    <x v="3"/>
    <n v="255"/>
    <n v="748.84"/>
    <x v="1"/>
    <x v="1"/>
  </r>
  <r>
    <x v="93"/>
    <x v="8"/>
    <n v="2022"/>
    <x v="2"/>
    <n v="17446"/>
    <n v="11973.5"/>
    <x v="1"/>
    <x v="4"/>
  </r>
  <r>
    <x v="94"/>
    <x v="8"/>
    <n v="2022"/>
    <x v="0"/>
    <n v="14832"/>
    <n v="10872.99"/>
    <x v="1"/>
    <x v="7"/>
  </r>
  <r>
    <x v="94"/>
    <x v="8"/>
    <n v="2022"/>
    <x v="5"/>
    <n v="12784"/>
    <n v="9385.4"/>
    <x v="1"/>
    <x v="7"/>
  </r>
  <r>
    <x v="94"/>
    <x v="8"/>
    <n v="2022"/>
    <x v="3"/>
    <n v="13124"/>
    <n v="9635.02"/>
    <x v="1"/>
    <x v="7"/>
  </r>
  <r>
    <x v="94"/>
    <x v="8"/>
    <n v="2022"/>
    <x v="1"/>
    <n v="15436"/>
    <n v="11332.37"/>
    <x v="1"/>
    <x v="7"/>
  </r>
  <r>
    <x v="94"/>
    <x v="8"/>
    <n v="2022"/>
    <x v="4"/>
    <n v="16388"/>
    <n v="11979.04"/>
    <x v="1"/>
    <x v="7"/>
  </r>
  <r>
    <x v="58"/>
    <x v="8"/>
    <n v="2022"/>
    <x v="2"/>
    <n v="2607.5"/>
    <n v="237.28"/>
    <x v="1"/>
    <x v="5"/>
  </r>
  <r>
    <x v="59"/>
    <x v="8"/>
    <n v="2022"/>
    <x v="0"/>
    <n v="1350"/>
    <n v="631.67999999999995"/>
    <x v="1"/>
    <x v="2"/>
  </r>
  <r>
    <x v="59"/>
    <x v="8"/>
    <n v="2022"/>
    <x v="5"/>
    <n v="2100"/>
    <n v="460.64"/>
    <x v="1"/>
    <x v="2"/>
  </r>
  <r>
    <x v="59"/>
    <x v="8"/>
    <n v="2022"/>
    <x v="3"/>
    <n v="3000"/>
    <n v="936.95"/>
    <x v="1"/>
    <x v="2"/>
  </r>
  <r>
    <x v="59"/>
    <x v="8"/>
    <n v="2022"/>
    <x v="1"/>
    <n v="3075"/>
    <n v="786.25"/>
    <x v="1"/>
    <x v="2"/>
  </r>
  <r>
    <x v="59"/>
    <x v="8"/>
    <n v="2022"/>
    <x v="4"/>
    <n v="2587.5"/>
    <n v="719"/>
    <x v="1"/>
    <x v="2"/>
  </r>
  <r>
    <x v="48"/>
    <x v="8"/>
    <n v="2022"/>
    <x v="2"/>
    <n v="1322.5"/>
    <n v="243.2"/>
    <x v="1"/>
    <x v="6"/>
  </r>
  <r>
    <x v="49"/>
    <x v="8"/>
    <n v="2022"/>
    <x v="0"/>
    <n v="175"/>
    <n v="39.94"/>
    <x v="1"/>
    <x v="1"/>
  </r>
  <r>
    <x v="49"/>
    <x v="8"/>
    <n v="2022"/>
    <x v="5"/>
    <n v="437.5"/>
    <n v="99.86"/>
    <x v="1"/>
    <x v="1"/>
  </r>
  <r>
    <x v="49"/>
    <x v="8"/>
    <n v="2022"/>
    <x v="3"/>
    <n v="175"/>
    <n v="-9.51"/>
    <x v="1"/>
    <x v="1"/>
  </r>
  <r>
    <x v="49"/>
    <x v="8"/>
    <n v="2022"/>
    <x v="1"/>
    <n v="437.5"/>
    <n v="233.66"/>
    <x v="1"/>
    <x v="1"/>
  </r>
  <r>
    <x v="49"/>
    <x v="8"/>
    <n v="2022"/>
    <x v="4"/>
    <n v="87.5"/>
    <n v="22.79"/>
    <x v="1"/>
    <x v="1"/>
  </r>
  <r>
    <x v="95"/>
    <x v="8"/>
    <n v="2022"/>
    <x v="1"/>
    <n v="262.5"/>
    <n v="128.52000000000001"/>
    <x v="1"/>
    <x v="4"/>
  </r>
  <r>
    <x v="96"/>
    <x v="8"/>
    <n v="2022"/>
    <x v="2"/>
    <n v="12.5"/>
    <n v="3.99"/>
    <x v="1"/>
    <x v="5"/>
  </r>
  <r>
    <x v="97"/>
    <x v="8"/>
    <n v="2022"/>
    <x v="0"/>
    <n v="84"/>
    <n v="49.96"/>
    <x v="1"/>
    <x v="0"/>
  </r>
  <r>
    <x v="97"/>
    <x v="8"/>
    <n v="2022"/>
    <x v="5"/>
    <n v="45"/>
    <n v="19.47"/>
    <x v="1"/>
    <x v="0"/>
  </r>
  <r>
    <x v="97"/>
    <x v="8"/>
    <n v="2022"/>
    <x v="1"/>
    <n v="84"/>
    <n v="49"/>
    <x v="1"/>
    <x v="0"/>
  </r>
  <r>
    <x v="97"/>
    <x v="8"/>
    <n v="2022"/>
    <x v="4"/>
    <n v="63"/>
    <n v="0"/>
    <x v="1"/>
    <x v="0"/>
  </r>
  <r>
    <x v="98"/>
    <x v="8"/>
    <n v="2022"/>
    <x v="2"/>
    <n v="60"/>
    <n v="0"/>
    <x v="1"/>
    <x v="4"/>
  </r>
  <r>
    <x v="99"/>
    <x v="8"/>
    <n v="2022"/>
    <x v="0"/>
    <n v="84.5"/>
    <n v="1.32"/>
    <x v="1"/>
    <x v="3"/>
  </r>
  <r>
    <x v="100"/>
    <x v="9"/>
    <n v="2022"/>
    <x v="1"/>
    <n v="27.5"/>
    <n v="10.039999999999999"/>
    <x v="2"/>
    <x v="7"/>
  </r>
  <r>
    <x v="101"/>
    <x v="9"/>
    <n v="2022"/>
    <x v="4"/>
    <n v="165"/>
    <n v="60.25"/>
    <x v="2"/>
    <x v="7"/>
  </r>
  <r>
    <x v="19"/>
    <x v="9"/>
    <n v="2022"/>
    <x v="4"/>
    <n v="312"/>
    <n v="132.69"/>
    <x v="2"/>
    <x v="5"/>
  </r>
  <r>
    <x v="23"/>
    <x v="9"/>
    <n v="2022"/>
    <x v="4"/>
    <n v="65"/>
    <n v="44.95"/>
    <x v="2"/>
    <x v="5"/>
  </r>
  <r>
    <x v="25"/>
    <x v="9"/>
    <n v="2022"/>
    <x v="5"/>
    <n v="261"/>
    <n v="84.95"/>
    <x v="2"/>
    <x v="0"/>
  </r>
  <r>
    <x v="27"/>
    <x v="9"/>
    <n v="2022"/>
    <x v="4"/>
    <n v="76.25"/>
    <n v="56.87"/>
    <x v="2"/>
    <x v="2"/>
  </r>
  <r>
    <x v="102"/>
    <x v="9"/>
    <n v="2022"/>
    <x v="2"/>
    <n v="358.8"/>
    <n v="224"/>
    <x v="2"/>
    <x v="0"/>
  </r>
  <r>
    <x v="73"/>
    <x v="9"/>
    <n v="2022"/>
    <x v="0"/>
    <n v="268.8"/>
    <n v="160.96"/>
    <x v="2"/>
    <x v="0"/>
  </r>
  <r>
    <x v="73"/>
    <x v="9"/>
    <n v="2022"/>
    <x v="5"/>
    <n v="285.60000000000002"/>
    <n v="171.02"/>
    <x v="2"/>
    <x v="0"/>
  </r>
  <r>
    <x v="73"/>
    <x v="9"/>
    <n v="2022"/>
    <x v="3"/>
    <n v="337.8"/>
    <n v="209.74"/>
    <x v="2"/>
    <x v="0"/>
  </r>
  <r>
    <x v="73"/>
    <x v="9"/>
    <n v="2022"/>
    <x v="1"/>
    <n v="252"/>
    <n v="150.9"/>
    <x v="2"/>
    <x v="0"/>
  </r>
  <r>
    <x v="73"/>
    <x v="9"/>
    <n v="2022"/>
    <x v="4"/>
    <n v="168"/>
    <n v="100.6"/>
    <x v="2"/>
    <x v="0"/>
  </r>
  <r>
    <x v="103"/>
    <x v="9"/>
    <n v="2022"/>
    <x v="2"/>
    <n v="64.900000000000006"/>
    <n v="27.52"/>
    <x v="2"/>
    <x v="5"/>
  </r>
  <r>
    <x v="104"/>
    <x v="9"/>
    <n v="2022"/>
    <x v="0"/>
    <n v="30.4"/>
    <n v="5.47"/>
    <x v="2"/>
    <x v="7"/>
  </r>
  <r>
    <x v="104"/>
    <x v="9"/>
    <n v="2022"/>
    <x v="3"/>
    <n v="15.2"/>
    <n v="2.74"/>
    <x v="2"/>
    <x v="7"/>
  </r>
  <r>
    <x v="104"/>
    <x v="9"/>
    <n v="2022"/>
    <x v="4"/>
    <n v="15.2"/>
    <n v="2.74"/>
    <x v="2"/>
    <x v="7"/>
  </r>
  <r>
    <x v="105"/>
    <x v="9"/>
    <n v="2022"/>
    <x v="0"/>
    <n v="56"/>
    <n v="33.61"/>
    <x v="2"/>
    <x v="1"/>
  </r>
  <r>
    <x v="106"/>
    <x v="9"/>
    <n v="2022"/>
    <x v="5"/>
    <n v="56"/>
    <n v="34.04"/>
    <x v="2"/>
    <x v="6"/>
  </r>
  <r>
    <x v="106"/>
    <x v="9"/>
    <n v="2022"/>
    <x v="1"/>
    <n v="168"/>
    <n v="102.81"/>
    <x v="2"/>
    <x v="6"/>
  </r>
  <r>
    <x v="107"/>
    <x v="9"/>
    <n v="2022"/>
    <x v="2"/>
    <n v="35"/>
    <n v="18.670000000000002"/>
    <x v="2"/>
    <x v="4"/>
  </r>
  <r>
    <x v="108"/>
    <x v="9"/>
    <n v="2022"/>
    <x v="2"/>
    <n v="1380"/>
    <n v="1077.29"/>
    <x v="2"/>
    <x v="1"/>
  </r>
  <r>
    <x v="109"/>
    <x v="9"/>
    <n v="2022"/>
    <x v="0"/>
    <n v="990"/>
    <n v="772.82"/>
    <x v="2"/>
    <x v="2"/>
  </r>
  <r>
    <x v="109"/>
    <x v="9"/>
    <n v="2022"/>
    <x v="5"/>
    <n v="600"/>
    <n v="468.38"/>
    <x v="2"/>
    <x v="2"/>
  </r>
  <r>
    <x v="109"/>
    <x v="9"/>
    <n v="2022"/>
    <x v="3"/>
    <n v="960"/>
    <n v="749.39"/>
    <x v="2"/>
    <x v="2"/>
  </r>
  <r>
    <x v="109"/>
    <x v="9"/>
    <n v="2022"/>
    <x v="1"/>
    <n v="1320"/>
    <n v="1030.43"/>
    <x v="2"/>
    <x v="2"/>
  </r>
  <r>
    <x v="109"/>
    <x v="9"/>
    <n v="2022"/>
    <x v="4"/>
    <n v="1890"/>
    <n v="1475.37"/>
    <x v="2"/>
    <x v="2"/>
  </r>
  <r>
    <x v="110"/>
    <x v="9"/>
    <n v="2022"/>
    <x v="0"/>
    <n v="25"/>
    <n v="15.32"/>
    <x v="2"/>
    <x v="4"/>
  </r>
  <r>
    <x v="111"/>
    <x v="9"/>
    <n v="2022"/>
    <x v="1"/>
    <n v="10.4"/>
    <n v="5.56"/>
    <x v="2"/>
    <x v="4"/>
  </r>
  <r>
    <x v="50"/>
    <x v="9"/>
    <n v="2022"/>
    <x v="0"/>
    <n v="18.75"/>
    <n v="12.86"/>
    <x v="2"/>
    <x v="4"/>
  </r>
  <r>
    <x v="112"/>
    <x v="9"/>
    <n v="2022"/>
    <x v="1"/>
    <n v="206.25"/>
    <n v="141.46"/>
    <x v="2"/>
    <x v="3"/>
  </r>
  <r>
    <x v="97"/>
    <x v="9"/>
    <n v="2022"/>
    <x v="4"/>
    <n v="440"/>
    <n v="120"/>
    <x v="2"/>
    <x v="0"/>
  </r>
  <r>
    <x v="113"/>
    <x v="9"/>
    <n v="2022"/>
    <x v="3"/>
    <n v="1446.25"/>
    <n v="699.99"/>
    <x v="2"/>
    <x v="4"/>
  </r>
  <r>
    <x v="114"/>
    <x v="9"/>
    <n v="2022"/>
    <x v="1"/>
    <n v="91.5"/>
    <n v="43.37"/>
    <x v="2"/>
    <x v="2"/>
  </r>
  <r>
    <x v="91"/>
    <x v="9"/>
    <n v="2022"/>
    <x v="2"/>
    <n v="387"/>
    <n v="229.63"/>
    <x v="2"/>
    <x v="3"/>
  </r>
  <r>
    <x v="115"/>
    <x v="9"/>
    <n v="2022"/>
    <x v="0"/>
    <n v="462"/>
    <n v="258.32"/>
    <x v="2"/>
    <x v="3"/>
  </r>
  <r>
    <x v="115"/>
    <x v="9"/>
    <n v="2022"/>
    <x v="5"/>
    <n v="105"/>
    <n v="44.48"/>
    <x v="2"/>
    <x v="3"/>
  </r>
  <r>
    <x v="115"/>
    <x v="9"/>
    <n v="2022"/>
    <x v="3"/>
    <n v="462"/>
    <n v="212.13"/>
    <x v="2"/>
    <x v="3"/>
  </r>
  <r>
    <x v="115"/>
    <x v="9"/>
    <n v="2022"/>
    <x v="1"/>
    <n v="231"/>
    <n v="124.31"/>
    <x v="2"/>
    <x v="3"/>
  </r>
  <r>
    <x v="115"/>
    <x v="9"/>
    <n v="2022"/>
    <x v="4"/>
    <n v="378"/>
    <n v="206.76"/>
    <x v="2"/>
    <x v="3"/>
  </r>
  <r>
    <x v="46"/>
    <x v="9"/>
    <n v="2022"/>
    <x v="2"/>
    <n v="67.5"/>
    <n v="35.07"/>
    <x v="2"/>
    <x v="6"/>
  </r>
  <r>
    <x v="116"/>
    <x v="9"/>
    <n v="2022"/>
    <x v="3"/>
    <n v="27"/>
    <n v="14.03"/>
    <x v="2"/>
    <x v="7"/>
  </r>
  <r>
    <x v="116"/>
    <x v="9"/>
    <n v="2022"/>
    <x v="1"/>
    <n v="189"/>
    <n v="98.21"/>
    <x v="2"/>
    <x v="7"/>
  </r>
  <r>
    <x v="58"/>
    <x v="9"/>
    <n v="2022"/>
    <x v="2"/>
    <n v="522.5"/>
    <n v="24.37"/>
    <x v="2"/>
    <x v="5"/>
  </r>
  <r>
    <x v="59"/>
    <x v="9"/>
    <n v="2022"/>
    <x v="0"/>
    <n v="757.5"/>
    <n v="198.57"/>
    <x v="2"/>
    <x v="2"/>
  </r>
  <r>
    <x v="59"/>
    <x v="9"/>
    <n v="2022"/>
    <x v="5"/>
    <n v="225"/>
    <n v="51"/>
    <x v="2"/>
    <x v="2"/>
  </r>
  <r>
    <x v="59"/>
    <x v="9"/>
    <n v="2022"/>
    <x v="3"/>
    <n v="382.5"/>
    <n v="118.66"/>
    <x v="2"/>
    <x v="2"/>
  </r>
  <r>
    <x v="59"/>
    <x v="9"/>
    <n v="2022"/>
    <x v="1"/>
    <n v="997.5"/>
    <n v="282.60000000000002"/>
    <x v="2"/>
    <x v="2"/>
  </r>
  <r>
    <x v="59"/>
    <x v="9"/>
    <n v="2022"/>
    <x v="4"/>
    <n v="982.5"/>
    <n v="288.2"/>
    <x v="2"/>
    <x v="2"/>
  </r>
  <r>
    <x v="48"/>
    <x v="9"/>
    <n v="2022"/>
    <x v="2"/>
    <n v="4360"/>
    <n v="1124.02"/>
    <x v="2"/>
    <x v="6"/>
  </r>
  <r>
    <x v="49"/>
    <x v="9"/>
    <n v="2022"/>
    <x v="0"/>
    <n v="2497.5"/>
    <n v="645.45000000000005"/>
    <x v="2"/>
    <x v="1"/>
  </r>
  <r>
    <x v="49"/>
    <x v="9"/>
    <n v="2022"/>
    <x v="5"/>
    <n v="2625"/>
    <n v="599.16"/>
    <x v="2"/>
    <x v="1"/>
  </r>
  <r>
    <x v="49"/>
    <x v="9"/>
    <n v="2022"/>
    <x v="3"/>
    <n v="3500"/>
    <n v="799.13"/>
    <x v="2"/>
    <x v="1"/>
  </r>
  <r>
    <x v="49"/>
    <x v="9"/>
    <n v="2022"/>
    <x v="1"/>
    <n v="4260"/>
    <n v="1297.42"/>
    <x v="2"/>
    <x v="1"/>
  </r>
  <r>
    <x v="49"/>
    <x v="9"/>
    <n v="2022"/>
    <x v="4"/>
    <n v="4470"/>
    <n v="1396.91"/>
    <x v="2"/>
    <x v="1"/>
  </r>
  <r>
    <x v="117"/>
    <x v="9"/>
    <n v="2022"/>
    <x v="4"/>
    <n v="2160"/>
    <n v="630.73"/>
    <x v="2"/>
    <x v="7"/>
  </r>
  <r>
    <x v="118"/>
    <x v="9"/>
    <n v="2022"/>
    <x v="2"/>
    <n v="70"/>
    <n v="30.12"/>
    <x v="2"/>
    <x v="7"/>
  </r>
  <r>
    <x v="119"/>
    <x v="9"/>
    <n v="2022"/>
    <x v="0"/>
    <n v="280"/>
    <n v="103.61"/>
    <x v="2"/>
    <x v="6"/>
  </r>
  <r>
    <x v="119"/>
    <x v="9"/>
    <n v="2022"/>
    <x v="5"/>
    <n v="70"/>
    <n v="25.9"/>
    <x v="2"/>
    <x v="6"/>
  </r>
  <r>
    <x v="119"/>
    <x v="9"/>
    <n v="2022"/>
    <x v="3"/>
    <n v="444"/>
    <n v="195.78"/>
    <x v="2"/>
    <x v="6"/>
  </r>
  <r>
    <x v="119"/>
    <x v="9"/>
    <n v="2022"/>
    <x v="1"/>
    <n v="370"/>
    <n v="163.15"/>
    <x v="2"/>
    <x v="6"/>
  </r>
  <r>
    <x v="119"/>
    <x v="9"/>
    <n v="2022"/>
    <x v="4"/>
    <n v="444"/>
    <n v="197.05"/>
    <x v="2"/>
    <x v="6"/>
  </r>
  <r>
    <x v="120"/>
    <x v="9"/>
    <n v="2022"/>
    <x v="3"/>
    <n v="740"/>
    <n v="227.61"/>
    <x v="2"/>
    <x v="6"/>
  </r>
  <r>
    <x v="121"/>
    <x v="9"/>
    <n v="2022"/>
    <x v="1"/>
    <n v="1480"/>
    <n v="455.22"/>
    <x v="2"/>
    <x v="5"/>
  </r>
  <r>
    <x v="121"/>
    <x v="9"/>
    <n v="2022"/>
    <x v="4"/>
    <n v="1110"/>
    <n v="311.94"/>
    <x v="2"/>
    <x v="5"/>
  </r>
  <r>
    <x v="122"/>
    <x v="10"/>
    <n v="2022"/>
    <x v="2"/>
    <n v="540"/>
    <n v="233.21"/>
    <x v="3"/>
    <x v="4"/>
  </r>
  <r>
    <x v="123"/>
    <x v="10"/>
    <n v="2022"/>
    <x v="4"/>
    <n v="13.5"/>
    <n v="5.93"/>
    <x v="3"/>
    <x v="5"/>
  </r>
  <r>
    <x v="124"/>
    <x v="10"/>
    <n v="2022"/>
    <x v="2"/>
    <n v="2576.25"/>
    <n v="1710.95"/>
    <x v="3"/>
    <x v="1"/>
  </r>
  <r>
    <x v="125"/>
    <x v="10"/>
    <n v="2022"/>
    <x v="0"/>
    <n v="1917.5"/>
    <n v="1255.8"/>
    <x v="3"/>
    <x v="7"/>
  </r>
  <r>
    <x v="125"/>
    <x v="10"/>
    <n v="2022"/>
    <x v="5"/>
    <n v="2507.5"/>
    <n v="1642.2"/>
    <x v="3"/>
    <x v="7"/>
  </r>
  <r>
    <x v="125"/>
    <x v="10"/>
    <n v="2022"/>
    <x v="3"/>
    <n v="2245"/>
    <n v="1532.4"/>
    <x v="3"/>
    <x v="7"/>
  </r>
  <r>
    <x v="125"/>
    <x v="10"/>
    <n v="2022"/>
    <x v="1"/>
    <n v="3852.5"/>
    <n v="2681.8"/>
    <x v="3"/>
    <x v="7"/>
  </r>
  <r>
    <x v="125"/>
    <x v="10"/>
    <n v="2022"/>
    <x v="4"/>
    <n v="3601.25"/>
    <n v="2506.9"/>
    <x v="3"/>
    <x v="7"/>
  </r>
  <r>
    <x v="18"/>
    <x v="10"/>
    <n v="2022"/>
    <x v="2"/>
    <n v="5050.08"/>
    <n v="2753.1"/>
    <x v="3"/>
    <x v="0"/>
  </r>
  <r>
    <x v="57"/>
    <x v="10"/>
    <n v="2022"/>
    <x v="0"/>
    <n v="4208.3999999999996"/>
    <n v="2294.25"/>
    <x v="3"/>
    <x v="6"/>
  </r>
  <r>
    <x v="57"/>
    <x v="10"/>
    <n v="2022"/>
    <x v="5"/>
    <n v="4809.6000000000004"/>
    <n v="2622"/>
    <x v="3"/>
    <x v="6"/>
  </r>
  <r>
    <x v="57"/>
    <x v="10"/>
    <n v="2022"/>
    <x v="3"/>
    <n v="5050.08"/>
    <n v="2753.1"/>
    <x v="3"/>
    <x v="6"/>
  </r>
  <r>
    <x v="57"/>
    <x v="10"/>
    <n v="2022"/>
    <x v="1"/>
    <n v="5771.52"/>
    <n v="3146.4"/>
    <x v="3"/>
    <x v="6"/>
  </r>
  <r>
    <x v="57"/>
    <x v="10"/>
    <n v="2022"/>
    <x v="4"/>
    <n v="5531.04"/>
    <n v="3015.3"/>
    <x v="3"/>
    <x v="6"/>
  </r>
  <r>
    <x v="23"/>
    <x v="10"/>
    <n v="2022"/>
    <x v="2"/>
    <n v="1131.74"/>
    <n v="867.14"/>
    <x v="3"/>
    <x v="5"/>
  </r>
  <r>
    <x v="24"/>
    <x v="10"/>
    <n v="2022"/>
    <x v="0"/>
    <n v="837.5"/>
    <n v="637.04999999999995"/>
    <x v="3"/>
    <x v="5"/>
  </r>
  <r>
    <x v="24"/>
    <x v="10"/>
    <n v="2022"/>
    <x v="5"/>
    <n v="871"/>
    <n v="662.54"/>
    <x v="3"/>
    <x v="5"/>
  </r>
  <r>
    <x v="24"/>
    <x v="10"/>
    <n v="2022"/>
    <x v="3"/>
    <n v="1360.9"/>
    <n v="1064.25"/>
    <x v="3"/>
    <x v="5"/>
  </r>
  <r>
    <x v="24"/>
    <x v="10"/>
    <n v="2022"/>
    <x v="1"/>
    <n v="1578.5"/>
    <n v="1249.77"/>
    <x v="3"/>
    <x v="5"/>
  </r>
  <r>
    <x v="24"/>
    <x v="10"/>
    <n v="2022"/>
    <x v="4"/>
    <n v="1886.5"/>
    <n v="1493.62"/>
    <x v="3"/>
    <x v="5"/>
  </r>
  <r>
    <x v="27"/>
    <x v="10"/>
    <n v="2022"/>
    <x v="2"/>
    <n v="135.16999999999999"/>
    <n v="104.15"/>
    <x v="3"/>
    <x v="2"/>
  </r>
  <r>
    <x v="80"/>
    <x v="10"/>
    <n v="2022"/>
    <x v="0"/>
    <n v="64"/>
    <n v="48.49"/>
    <x v="3"/>
    <x v="6"/>
  </r>
  <r>
    <x v="80"/>
    <x v="10"/>
    <n v="2022"/>
    <x v="5"/>
    <n v="112"/>
    <n v="84.86"/>
    <x v="3"/>
    <x v="6"/>
  </r>
  <r>
    <x v="80"/>
    <x v="10"/>
    <n v="2022"/>
    <x v="3"/>
    <n v="123.85"/>
    <n v="96.71"/>
    <x v="3"/>
    <x v="6"/>
  </r>
  <r>
    <x v="80"/>
    <x v="10"/>
    <n v="2022"/>
    <x v="1"/>
    <n v="139.65"/>
    <n v="112.51"/>
    <x v="3"/>
    <x v="6"/>
  </r>
  <r>
    <x v="80"/>
    <x v="10"/>
    <n v="2022"/>
    <x v="4"/>
    <n v="199.5"/>
    <n v="160.74"/>
    <x v="3"/>
    <x v="6"/>
  </r>
  <r>
    <x v="126"/>
    <x v="10"/>
    <n v="2022"/>
    <x v="5"/>
    <n v="42"/>
    <n v="13.5"/>
    <x v="3"/>
    <x v="0"/>
  </r>
  <r>
    <x v="32"/>
    <x v="10"/>
    <n v="2022"/>
    <x v="0"/>
    <n v="147"/>
    <n v="80.11"/>
    <x v="3"/>
    <x v="0"/>
  </r>
  <r>
    <x v="33"/>
    <x v="10"/>
    <n v="2022"/>
    <x v="5"/>
    <n v="245"/>
    <n v="133.51"/>
    <x v="3"/>
    <x v="6"/>
  </r>
  <r>
    <x v="33"/>
    <x v="10"/>
    <n v="2022"/>
    <x v="3"/>
    <n v="73.5"/>
    <n v="40.049999999999997"/>
    <x v="3"/>
    <x v="6"/>
  </r>
  <r>
    <x v="33"/>
    <x v="10"/>
    <n v="2022"/>
    <x v="1"/>
    <n v="98"/>
    <n v="53.4"/>
    <x v="3"/>
    <x v="6"/>
  </r>
  <r>
    <x v="33"/>
    <x v="10"/>
    <n v="2022"/>
    <x v="4"/>
    <n v="23.75"/>
    <n v="12.6"/>
    <x v="3"/>
    <x v="6"/>
  </r>
  <r>
    <x v="127"/>
    <x v="10"/>
    <n v="2022"/>
    <x v="3"/>
    <n v="963.5"/>
    <n v="464"/>
    <x v="3"/>
    <x v="4"/>
  </r>
  <r>
    <x v="128"/>
    <x v="10"/>
    <n v="2022"/>
    <x v="1"/>
    <n v="1927"/>
    <n v="928"/>
    <x v="3"/>
    <x v="7"/>
  </r>
  <r>
    <x v="128"/>
    <x v="10"/>
    <n v="2022"/>
    <x v="4"/>
    <n v="1734.3"/>
    <n v="835.2"/>
    <x v="3"/>
    <x v="7"/>
  </r>
  <r>
    <x v="129"/>
    <x v="10"/>
    <n v="2022"/>
    <x v="2"/>
    <n v="1734.3"/>
    <n v="1155.8699999999999"/>
    <x v="3"/>
    <x v="3"/>
  </r>
  <r>
    <x v="130"/>
    <x v="10"/>
    <n v="2022"/>
    <x v="0"/>
    <n v="1464.52"/>
    <n v="976.07"/>
    <x v="3"/>
    <x v="7"/>
  </r>
  <r>
    <x v="130"/>
    <x v="10"/>
    <n v="2022"/>
    <x v="5"/>
    <n v="1348.9"/>
    <n v="899.01"/>
    <x v="3"/>
    <x v="7"/>
  </r>
  <r>
    <x v="130"/>
    <x v="10"/>
    <n v="2022"/>
    <x v="3"/>
    <n v="385.4"/>
    <n v="256.86"/>
    <x v="3"/>
    <x v="7"/>
  </r>
  <r>
    <x v="36"/>
    <x v="10"/>
    <n v="2022"/>
    <x v="2"/>
    <n v="13026.64"/>
    <n v="8627.36"/>
    <x v="3"/>
    <x v="7"/>
  </r>
  <r>
    <x v="37"/>
    <x v="10"/>
    <n v="2022"/>
    <x v="0"/>
    <n v="9240"/>
    <n v="6083.99"/>
    <x v="3"/>
    <x v="3"/>
  </r>
  <r>
    <x v="37"/>
    <x v="10"/>
    <n v="2022"/>
    <x v="5"/>
    <n v="13720"/>
    <n v="9033.81"/>
    <x v="3"/>
    <x v="3"/>
  </r>
  <r>
    <x v="37"/>
    <x v="10"/>
    <n v="2022"/>
    <x v="3"/>
    <n v="14840"/>
    <n v="9771.26"/>
    <x v="3"/>
    <x v="3"/>
  </r>
  <r>
    <x v="37"/>
    <x v="10"/>
    <n v="2022"/>
    <x v="1"/>
    <n v="15400"/>
    <n v="10140"/>
    <x v="3"/>
    <x v="3"/>
  </r>
  <r>
    <x v="37"/>
    <x v="10"/>
    <n v="2022"/>
    <x v="4"/>
    <n v="16800"/>
    <n v="11061.81"/>
    <x v="3"/>
    <x v="3"/>
  </r>
  <r>
    <x v="38"/>
    <x v="10"/>
    <n v="2022"/>
    <x v="2"/>
    <n v="5620.2"/>
    <n v="3819.3"/>
    <x v="3"/>
    <x v="0"/>
  </r>
  <r>
    <x v="39"/>
    <x v="10"/>
    <n v="2022"/>
    <x v="0"/>
    <n v="4059"/>
    <n v="2767.05"/>
    <x v="3"/>
    <x v="5"/>
  </r>
  <r>
    <x v="39"/>
    <x v="10"/>
    <n v="2022"/>
    <x v="5"/>
    <n v="4428"/>
    <n v="3018.6"/>
    <x v="3"/>
    <x v="5"/>
  </r>
  <r>
    <x v="39"/>
    <x v="10"/>
    <n v="2022"/>
    <x v="3"/>
    <n v="5178.75"/>
    <n v="3527.92"/>
    <x v="3"/>
    <x v="5"/>
  </r>
  <r>
    <x v="39"/>
    <x v="10"/>
    <n v="2022"/>
    <x v="1"/>
    <n v="5658"/>
    <n v="3857.1"/>
    <x v="3"/>
    <x v="5"/>
  </r>
  <r>
    <x v="39"/>
    <x v="10"/>
    <n v="2022"/>
    <x v="4"/>
    <n v="6642"/>
    <n v="4527.8900000000003"/>
    <x v="3"/>
    <x v="5"/>
  </r>
  <r>
    <x v="103"/>
    <x v="10"/>
    <n v="2022"/>
    <x v="3"/>
    <n v="192.7"/>
    <n v="68.069999999999993"/>
    <x v="3"/>
    <x v="5"/>
  </r>
  <r>
    <x v="131"/>
    <x v="10"/>
    <n v="2022"/>
    <x v="3"/>
    <n v="-23.75"/>
    <n v="-23.75"/>
    <x v="3"/>
    <x v="6"/>
  </r>
  <r>
    <x v="132"/>
    <x v="10"/>
    <n v="2022"/>
    <x v="5"/>
    <n v="98.75"/>
    <n v="55.85"/>
    <x v="3"/>
    <x v="6"/>
  </r>
  <r>
    <x v="133"/>
    <x v="10"/>
    <n v="2022"/>
    <x v="5"/>
    <n v="75"/>
    <n v="32.93"/>
    <x v="3"/>
    <x v="2"/>
  </r>
  <r>
    <x v="134"/>
    <x v="10"/>
    <n v="2022"/>
    <x v="3"/>
    <n v="225"/>
    <n v="98.79"/>
    <x v="3"/>
    <x v="7"/>
  </r>
  <r>
    <x v="135"/>
    <x v="10"/>
    <n v="2022"/>
    <x v="1"/>
    <n v="77"/>
    <n v="47.35"/>
    <x v="3"/>
    <x v="4"/>
  </r>
  <r>
    <x v="136"/>
    <x v="10"/>
    <n v="2022"/>
    <x v="4"/>
    <n v="22"/>
    <n v="13.53"/>
    <x v="3"/>
    <x v="4"/>
  </r>
  <r>
    <x v="137"/>
    <x v="10"/>
    <n v="2022"/>
    <x v="0"/>
    <n v="443.75"/>
    <n v="189.78"/>
    <x v="3"/>
    <x v="4"/>
  </r>
  <r>
    <x v="138"/>
    <x v="10"/>
    <n v="2022"/>
    <x v="5"/>
    <n v="150"/>
    <n v="65.34"/>
    <x v="3"/>
    <x v="5"/>
  </r>
  <r>
    <x v="41"/>
    <x v="10"/>
    <n v="2022"/>
    <x v="2"/>
    <n v="58"/>
    <n v="34.299999999999997"/>
    <x v="3"/>
    <x v="3"/>
  </r>
  <r>
    <x v="139"/>
    <x v="10"/>
    <n v="2022"/>
    <x v="0"/>
    <n v="29"/>
    <n v="17.149999999999999"/>
    <x v="3"/>
    <x v="4"/>
  </r>
  <r>
    <x v="139"/>
    <x v="10"/>
    <n v="2022"/>
    <x v="5"/>
    <n v="87"/>
    <n v="51.44"/>
    <x v="3"/>
    <x v="4"/>
  </r>
  <r>
    <x v="139"/>
    <x v="10"/>
    <n v="2022"/>
    <x v="3"/>
    <n v="58"/>
    <n v="34.299999999999997"/>
    <x v="3"/>
    <x v="4"/>
  </r>
  <r>
    <x v="107"/>
    <x v="10"/>
    <n v="2022"/>
    <x v="2"/>
    <n v="29"/>
    <n v="13.21"/>
    <x v="3"/>
    <x v="4"/>
  </r>
  <r>
    <x v="140"/>
    <x v="10"/>
    <n v="2022"/>
    <x v="5"/>
    <n v="45"/>
    <n v="25.89"/>
    <x v="3"/>
    <x v="7"/>
  </r>
  <r>
    <x v="140"/>
    <x v="10"/>
    <n v="2022"/>
    <x v="4"/>
    <n v="45"/>
    <n v="26.58"/>
    <x v="3"/>
    <x v="7"/>
  </r>
  <r>
    <x v="141"/>
    <x v="10"/>
    <n v="2022"/>
    <x v="2"/>
    <n v="28.46"/>
    <n v="14.26"/>
    <x v="3"/>
    <x v="6"/>
  </r>
  <r>
    <x v="87"/>
    <x v="10"/>
    <n v="2022"/>
    <x v="0"/>
    <n v="67.5"/>
    <n v="16.28"/>
    <x v="3"/>
    <x v="2"/>
  </r>
  <r>
    <x v="142"/>
    <x v="10"/>
    <n v="2022"/>
    <x v="5"/>
    <n v="135"/>
    <n v="32.56"/>
    <x v="3"/>
    <x v="5"/>
  </r>
  <r>
    <x v="143"/>
    <x v="10"/>
    <n v="2022"/>
    <x v="1"/>
    <n v="96"/>
    <n v="-11.53"/>
    <x v="3"/>
    <x v="1"/>
  </r>
  <r>
    <x v="144"/>
    <x v="10"/>
    <n v="2022"/>
    <x v="1"/>
    <n v="96"/>
    <n v="-3.01"/>
    <x v="3"/>
    <x v="6"/>
  </r>
  <r>
    <x v="145"/>
    <x v="10"/>
    <n v="2022"/>
    <x v="4"/>
    <n v="24.48"/>
    <n v="-98.01"/>
    <x v="3"/>
    <x v="0"/>
  </r>
  <r>
    <x v="146"/>
    <x v="10"/>
    <n v="2022"/>
    <x v="5"/>
    <n v="101"/>
    <n v="69.650000000000006"/>
    <x v="3"/>
    <x v="5"/>
  </r>
  <r>
    <x v="147"/>
    <x v="10"/>
    <n v="2022"/>
    <x v="3"/>
    <n v="25.25"/>
    <n v="17.41"/>
    <x v="3"/>
    <x v="1"/>
  </r>
  <r>
    <x v="147"/>
    <x v="10"/>
    <n v="2022"/>
    <x v="1"/>
    <n v="75.75"/>
    <n v="52.24"/>
    <x v="3"/>
    <x v="1"/>
  </r>
  <r>
    <x v="88"/>
    <x v="10"/>
    <n v="2022"/>
    <x v="2"/>
    <n v="91"/>
    <n v="50.84"/>
    <x v="3"/>
    <x v="4"/>
  </r>
  <r>
    <x v="148"/>
    <x v="10"/>
    <n v="2022"/>
    <x v="0"/>
    <n v="75"/>
    <n v="44.88"/>
    <x v="3"/>
    <x v="0"/>
  </r>
  <r>
    <x v="148"/>
    <x v="10"/>
    <n v="2022"/>
    <x v="5"/>
    <n v="100"/>
    <n v="56.79"/>
    <x v="3"/>
    <x v="0"/>
  </r>
  <r>
    <x v="148"/>
    <x v="10"/>
    <n v="2022"/>
    <x v="3"/>
    <n v="75"/>
    <n v="41.83"/>
    <x v="3"/>
    <x v="0"/>
  </r>
  <r>
    <x v="148"/>
    <x v="10"/>
    <n v="2022"/>
    <x v="1"/>
    <n v="325"/>
    <n v="181.28"/>
    <x v="3"/>
    <x v="0"/>
  </r>
  <r>
    <x v="89"/>
    <x v="10"/>
    <n v="2022"/>
    <x v="2"/>
    <n v="21"/>
    <n v="6.08"/>
    <x v="3"/>
    <x v="7"/>
  </r>
  <r>
    <x v="149"/>
    <x v="10"/>
    <n v="2022"/>
    <x v="5"/>
    <n v="24.5"/>
    <n v="9.58"/>
    <x v="3"/>
    <x v="5"/>
  </r>
  <r>
    <x v="149"/>
    <x v="10"/>
    <n v="2022"/>
    <x v="4"/>
    <n v="24.5"/>
    <n v="9.58"/>
    <x v="3"/>
    <x v="5"/>
  </r>
  <r>
    <x v="150"/>
    <x v="10"/>
    <n v="2022"/>
    <x v="5"/>
    <n v="35.75"/>
    <n v="0"/>
    <x v="3"/>
    <x v="0"/>
  </r>
  <r>
    <x v="50"/>
    <x v="10"/>
    <n v="2022"/>
    <x v="2"/>
    <n v="111.6"/>
    <n v="76.260000000000005"/>
    <x v="3"/>
    <x v="4"/>
  </r>
  <r>
    <x v="112"/>
    <x v="10"/>
    <n v="2022"/>
    <x v="0"/>
    <n v="93"/>
    <n v="63.55"/>
    <x v="3"/>
    <x v="3"/>
  </r>
  <r>
    <x v="112"/>
    <x v="10"/>
    <n v="2022"/>
    <x v="5"/>
    <n v="74.400000000000006"/>
    <n v="50.84"/>
    <x v="3"/>
    <x v="3"/>
  </r>
  <r>
    <x v="112"/>
    <x v="10"/>
    <n v="2022"/>
    <x v="3"/>
    <n v="55.8"/>
    <n v="38.130000000000003"/>
    <x v="3"/>
    <x v="3"/>
  </r>
  <r>
    <x v="112"/>
    <x v="10"/>
    <n v="2022"/>
    <x v="1"/>
    <n v="74.400000000000006"/>
    <n v="50.84"/>
    <x v="3"/>
    <x v="3"/>
  </r>
  <r>
    <x v="112"/>
    <x v="10"/>
    <n v="2022"/>
    <x v="4"/>
    <n v="148.80000000000001"/>
    <n v="91.38"/>
    <x v="3"/>
    <x v="3"/>
  </r>
  <r>
    <x v="151"/>
    <x v="10"/>
    <n v="2022"/>
    <x v="3"/>
    <n v="90"/>
    <n v="52.66"/>
    <x v="3"/>
    <x v="4"/>
  </r>
  <r>
    <x v="152"/>
    <x v="10"/>
    <n v="2022"/>
    <x v="4"/>
    <n v="135"/>
    <n v="78.989999999999995"/>
    <x v="3"/>
    <x v="5"/>
  </r>
  <r>
    <x v="42"/>
    <x v="10"/>
    <n v="2022"/>
    <x v="0"/>
    <n v="30"/>
    <n v="10.62"/>
    <x v="3"/>
    <x v="2"/>
  </r>
  <r>
    <x v="153"/>
    <x v="10"/>
    <n v="2022"/>
    <x v="1"/>
    <n v="9"/>
    <n v="5.9"/>
    <x v="3"/>
    <x v="7"/>
  </r>
  <r>
    <x v="154"/>
    <x v="10"/>
    <n v="2022"/>
    <x v="4"/>
    <n v="18.75"/>
    <n v="9.07"/>
    <x v="3"/>
    <x v="7"/>
  </r>
  <r>
    <x v="155"/>
    <x v="10"/>
    <n v="2022"/>
    <x v="2"/>
    <n v="870"/>
    <n v="618.21"/>
    <x v="3"/>
    <x v="6"/>
  </r>
  <r>
    <x v="156"/>
    <x v="10"/>
    <n v="2022"/>
    <x v="0"/>
    <n v="1080"/>
    <n v="749.37"/>
    <x v="3"/>
    <x v="2"/>
  </r>
  <r>
    <x v="156"/>
    <x v="10"/>
    <n v="2022"/>
    <x v="5"/>
    <n v="1350"/>
    <n v="916.39"/>
    <x v="3"/>
    <x v="2"/>
  </r>
  <r>
    <x v="156"/>
    <x v="10"/>
    <n v="2022"/>
    <x v="3"/>
    <n v="1350"/>
    <n v="884.35"/>
    <x v="3"/>
    <x v="2"/>
  </r>
  <r>
    <x v="156"/>
    <x v="10"/>
    <n v="2022"/>
    <x v="1"/>
    <n v="1458.6"/>
    <n v="932.51"/>
    <x v="3"/>
    <x v="2"/>
  </r>
  <r>
    <x v="156"/>
    <x v="10"/>
    <n v="2022"/>
    <x v="4"/>
    <n v="1440"/>
    <n v="905.76"/>
    <x v="3"/>
    <x v="2"/>
  </r>
  <r>
    <x v="91"/>
    <x v="10"/>
    <n v="2022"/>
    <x v="2"/>
    <n v="163.5"/>
    <n v="98.71"/>
    <x v="3"/>
    <x v="3"/>
  </r>
  <r>
    <x v="115"/>
    <x v="10"/>
    <n v="2022"/>
    <x v="5"/>
    <n v="102"/>
    <n v="53.5"/>
    <x v="3"/>
    <x v="3"/>
  </r>
  <r>
    <x v="115"/>
    <x v="10"/>
    <n v="2022"/>
    <x v="1"/>
    <n v="55"/>
    <n v="35.590000000000003"/>
    <x v="3"/>
    <x v="3"/>
  </r>
  <r>
    <x v="115"/>
    <x v="10"/>
    <n v="2022"/>
    <x v="4"/>
    <n v="110"/>
    <n v="72.31"/>
    <x v="3"/>
    <x v="3"/>
  </r>
  <r>
    <x v="58"/>
    <x v="10"/>
    <n v="2022"/>
    <x v="2"/>
    <n v="3465"/>
    <n v="698.36"/>
    <x v="3"/>
    <x v="5"/>
  </r>
  <r>
    <x v="59"/>
    <x v="10"/>
    <n v="2022"/>
    <x v="0"/>
    <n v="2520"/>
    <n v="988.62"/>
    <x v="3"/>
    <x v="2"/>
  </r>
  <r>
    <x v="59"/>
    <x v="10"/>
    <n v="2022"/>
    <x v="5"/>
    <n v="3240"/>
    <n v="1168.01"/>
    <x v="3"/>
    <x v="2"/>
  </r>
  <r>
    <x v="59"/>
    <x v="10"/>
    <n v="2022"/>
    <x v="3"/>
    <n v="3960"/>
    <n v="1514.51"/>
    <x v="3"/>
    <x v="2"/>
  </r>
  <r>
    <x v="59"/>
    <x v="10"/>
    <n v="2022"/>
    <x v="1"/>
    <n v="3960"/>
    <n v="1684.34"/>
    <x v="3"/>
    <x v="2"/>
  </r>
  <r>
    <x v="59"/>
    <x v="10"/>
    <n v="2022"/>
    <x v="4"/>
    <n v="4410"/>
    <n v="1743"/>
    <x v="3"/>
    <x v="2"/>
  </r>
  <r>
    <x v="141"/>
    <x v="10"/>
    <n v="2022"/>
    <x v="4"/>
    <n v="10"/>
    <n v="-2.21"/>
    <x v="3"/>
    <x v="6"/>
  </r>
  <r>
    <x v="64"/>
    <x v="10"/>
    <n v="2022"/>
    <x v="3"/>
    <n v="160"/>
    <n v="57.43"/>
    <x v="3"/>
    <x v="3"/>
  </r>
  <r>
    <x v="98"/>
    <x v="10"/>
    <n v="2022"/>
    <x v="4"/>
    <n v="420"/>
    <n v="207.25"/>
    <x v="3"/>
    <x v="4"/>
  </r>
  <r>
    <x v="157"/>
    <x v="10"/>
    <n v="2022"/>
    <x v="2"/>
    <n v="68"/>
    <n v="37"/>
    <x v="3"/>
    <x v="1"/>
  </r>
  <r>
    <x v="158"/>
    <x v="10"/>
    <n v="2022"/>
    <x v="2"/>
    <n v="225"/>
    <n v="147.5"/>
    <x v="3"/>
    <x v="1"/>
  </r>
  <r>
    <x v="159"/>
    <x v="10"/>
    <n v="2022"/>
    <x v="0"/>
    <n v="300"/>
    <n v="196.67"/>
    <x v="3"/>
    <x v="3"/>
  </r>
  <r>
    <x v="159"/>
    <x v="10"/>
    <n v="2022"/>
    <x v="5"/>
    <n v="300"/>
    <n v="196.67"/>
    <x v="3"/>
    <x v="3"/>
  </r>
  <r>
    <x v="159"/>
    <x v="10"/>
    <n v="2022"/>
    <x v="1"/>
    <n v="150"/>
    <n v="98.34"/>
    <x v="3"/>
    <x v="3"/>
  </r>
  <r>
    <x v="160"/>
    <x v="10"/>
    <n v="2022"/>
    <x v="5"/>
    <n v="65"/>
    <n v="24.59"/>
    <x v="3"/>
    <x v="4"/>
  </r>
  <r>
    <x v="161"/>
    <x v="10"/>
    <n v="2022"/>
    <x v="3"/>
    <n v="260"/>
    <n v="98.35"/>
    <x v="3"/>
    <x v="4"/>
  </r>
  <r>
    <x v="161"/>
    <x v="10"/>
    <n v="2022"/>
    <x v="1"/>
    <n v="130"/>
    <n v="49.17"/>
    <x v="3"/>
    <x v="4"/>
  </r>
  <r>
    <x v="120"/>
    <x v="10"/>
    <n v="2022"/>
    <x v="5"/>
    <n v="40.5"/>
    <n v="14.88"/>
    <x v="3"/>
    <x v="6"/>
  </r>
  <r>
    <x v="162"/>
    <x v="10"/>
    <n v="2022"/>
    <x v="3"/>
    <n v="2376.5"/>
    <n v="1675.61"/>
    <x v="3"/>
    <x v="1"/>
  </r>
  <r>
    <x v="124"/>
    <x v="11"/>
    <n v="2022"/>
    <x v="2"/>
    <n v="468.95"/>
    <n v="311.16000000000003"/>
    <x v="5"/>
    <x v="1"/>
  </r>
  <r>
    <x v="125"/>
    <x v="11"/>
    <n v="2022"/>
    <x v="0"/>
    <n v="295"/>
    <n v="193.2"/>
    <x v="5"/>
    <x v="7"/>
  </r>
  <r>
    <x v="125"/>
    <x v="11"/>
    <n v="2022"/>
    <x v="5"/>
    <n v="442.5"/>
    <n v="289.8"/>
    <x v="5"/>
    <x v="7"/>
  </r>
  <r>
    <x v="125"/>
    <x v="11"/>
    <n v="2022"/>
    <x v="3"/>
    <n v="122"/>
    <n v="81.28"/>
    <x v="5"/>
    <x v="7"/>
  </r>
  <r>
    <x v="125"/>
    <x v="11"/>
    <n v="2022"/>
    <x v="1"/>
    <n v="16.75"/>
    <n v="11.66"/>
    <x v="5"/>
    <x v="7"/>
  </r>
  <r>
    <x v="125"/>
    <x v="11"/>
    <n v="2022"/>
    <x v="4"/>
    <n v="67"/>
    <n v="46.64"/>
    <x v="5"/>
    <x v="7"/>
  </r>
  <r>
    <x v="18"/>
    <x v="11"/>
    <n v="2022"/>
    <x v="2"/>
    <n v="3457"/>
    <n v="2109.13"/>
    <x v="5"/>
    <x v="0"/>
  </r>
  <r>
    <x v="57"/>
    <x v="11"/>
    <n v="2022"/>
    <x v="0"/>
    <n v="1621.5"/>
    <n v="992.58"/>
    <x v="5"/>
    <x v="6"/>
  </r>
  <r>
    <x v="57"/>
    <x v="11"/>
    <n v="2022"/>
    <x v="5"/>
    <n v="1621.5"/>
    <n v="992.59"/>
    <x v="5"/>
    <x v="6"/>
  </r>
  <r>
    <x v="57"/>
    <x v="11"/>
    <n v="2022"/>
    <x v="3"/>
    <n v="1316"/>
    <n v="805.57"/>
    <x v="5"/>
    <x v="6"/>
  </r>
  <r>
    <x v="57"/>
    <x v="11"/>
    <n v="2022"/>
    <x v="1"/>
    <n v="1692"/>
    <n v="1035.74"/>
    <x v="5"/>
    <x v="6"/>
  </r>
  <r>
    <x v="57"/>
    <x v="11"/>
    <n v="2022"/>
    <x v="4"/>
    <n v="1527.5"/>
    <n v="935.05"/>
    <x v="5"/>
    <x v="6"/>
  </r>
  <r>
    <x v="23"/>
    <x v="11"/>
    <n v="2022"/>
    <x v="2"/>
    <n v="67.2"/>
    <n v="51.16"/>
    <x v="5"/>
    <x v="5"/>
  </r>
  <r>
    <x v="24"/>
    <x v="11"/>
    <n v="2022"/>
    <x v="0"/>
    <n v="33.5"/>
    <n v="25.48"/>
    <x v="5"/>
    <x v="5"/>
  </r>
  <r>
    <x v="24"/>
    <x v="11"/>
    <n v="2022"/>
    <x v="5"/>
    <n v="50.25"/>
    <n v="38.22"/>
    <x v="5"/>
    <x v="5"/>
  </r>
  <r>
    <x v="24"/>
    <x v="11"/>
    <n v="2022"/>
    <x v="4"/>
    <n v="55.17"/>
    <n v="43.14"/>
    <x v="5"/>
    <x v="5"/>
  </r>
  <r>
    <x v="27"/>
    <x v="11"/>
    <n v="2022"/>
    <x v="4"/>
    <n v="110.34"/>
    <n v="87.07"/>
    <x v="5"/>
    <x v="2"/>
  </r>
  <r>
    <x v="28"/>
    <x v="11"/>
    <n v="2022"/>
    <x v="0"/>
    <n v="37.65"/>
    <n v="25.25"/>
    <x v="5"/>
    <x v="7"/>
  </r>
  <r>
    <x v="29"/>
    <x v="11"/>
    <n v="2022"/>
    <x v="4"/>
    <n v="12.55"/>
    <n v="8.42"/>
    <x v="5"/>
    <x v="2"/>
  </r>
  <r>
    <x v="126"/>
    <x v="11"/>
    <n v="2022"/>
    <x v="2"/>
    <n v="2793"/>
    <n v="1128.76"/>
    <x v="5"/>
    <x v="0"/>
  </r>
  <r>
    <x v="163"/>
    <x v="11"/>
    <n v="2022"/>
    <x v="0"/>
    <n v="1197"/>
    <n v="485.1"/>
    <x v="5"/>
    <x v="2"/>
  </r>
  <r>
    <x v="163"/>
    <x v="11"/>
    <n v="2022"/>
    <x v="5"/>
    <n v="2024.45"/>
    <n v="810.8"/>
    <x v="5"/>
    <x v="2"/>
  </r>
  <r>
    <x v="163"/>
    <x v="11"/>
    <n v="2022"/>
    <x v="3"/>
    <n v="1551.05"/>
    <n v="698.6"/>
    <x v="5"/>
    <x v="2"/>
  </r>
  <r>
    <x v="163"/>
    <x v="11"/>
    <n v="2022"/>
    <x v="1"/>
    <n v="2361.3000000000002"/>
    <n v="1001.85"/>
    <x v="5"/>
    <x v="2"/>
  </r>
  <r>
    <x v="163"/>
    <x v="11"/>
    <n v="2022"/>
    <x v="4"/>
    <n v="2152.9499999999998"/>
    <n v="959.7"/>
    <x v="5"/>
    <x v="2"/>
  </r>
  <r>
    <x v="32"/>
    <x v="11"/>
    <n v="2022"/>
    <x v="2"/>
    <n v="24.5"/>
    <n v="13.35"/>
    <x v="5"/>
    <x v="0"/>
  </r>
  <r>
    <x v="33"/>
    <x v="11"/>
    <n v="2022"/>
    <x v="0"/>
    <n v="24.5"/>
    <n v="13.35"/>
    <x v="5"/>
    <x v="6"/>
  </r>
  <r>
    <x v="33"/>
    <x v="11"/>
    <n v="2022"/>
    <x v="5"/>
    <n v="98"/>
    <n v="53.4"/>
    <x v="5"/>
    <x v="6"/>
  </r>
  <r>
    <x v="33"/>
    <x v="11"/>
    <n v="2022"/>
    <x v="3"/>
    <n v="49"/>
    <n v="26.7"/>
    <x v="5"/>
    <x v="6"/>
  </r>
  <r>
    <x v="33"/>
    <x v="11"/>
    <n v="2022"/>
    <x v="1"/>
    <n v="147"/>
    <n v="80.099999999999994"/>
    <x v="5"/>
    <x v="6"/>
  </r>
  <r>
    <x v="33"/>
    <x v="11"/>
    <n v="2022"/>
    <x v="4"/>
    <n v="73.5"/>
    <n v="40.049999999999997"/>
    <x v="5"/>
    <x v="6"/>
  </r>
  <r>
    <x v="164"/>
    <x v="11"/>
    <n v="2022"/>
    <x v="5"/>
    <n v="135"/>
    <n v="135"/>
    <x v="5"/>
    <x v="3"/>
  </r>
  <r>
    <x v="38"/>
    <x v="11"/>
    <n v="2022"/>
    <x v="2"/>
    <n v="7421.61"/>
    <n v="4726.74"/>
    <x v="5"/>
    <x v="0"/>
  </r>
  <r>
    <x v="39"/>
    <x v="11"/>
    <n v="2022"/>
    <x v="0"/>
    <n v="4115.13"/>
    <n v="2620.9"/>
    <x v="5"/>
    <x v="5"/>
  </r>
  <r>
    <x v="39"/>
    <x v="11"/>
    <n v="2022"/>
    <x v="5"/>
    <n v="6055.89"/>
    <n v="3856.95"/>
    <x v="5"/>
    <x v="5"/>
  </r>
  <r>
    <x v="39"/>
    <x v="11"/>
    <n v="2022"/>
    <x v="3"/>
    <n v="4079.19"/>
    <n v="2598.0100000000002"/>
    <x v="5"/>
    <x v="5"/>
  </r>
  <r>
    <x v="39"/>
    <x v="11"/>
    <n v="2022"/>
    <x v="1"/>
    <n v="6001.98"/>
    <n v="3822.62"/>
    <x v="5"/>
    <x v="5"/>
  </r>
  <r>
    <x v="39"/>
    <x v="11"/>
    <n v="2022"/>
    <x v="4"/>
    <n v="5391"/>
    <n v="3433.48"/>
    <x v="5"/>
    <x v="5"/>
  </r>
  <r>
    <x v="165"/>
    <x v="11"/>
    <n v="2022"/>
    <x v="5"/>
    <n v="269.55"/>
    <n v="97.19"/>
    <x v="5"/>
    <x v="2"/>
  </r>
  <r>
    <x v="105"/>
    <x v="11"/>
    <n v="2022"/>
    <x v="1"/>
    <n v="117.5"/>
    <n v="74.17"/>
    <x v="5"/>
    <x v="1"/>
  </r>
  <r>
    <x v="107"/>
    <x v="11"/>
    <n v="2022"/>
    <x v="2"/>
    <n v="70"/>
    <n v="38.42"/>
    <x v="5"/>
    <x v="4"/>
  </r>
  <r>
    <x v="140"/>
    <x v="11"/>
    <n v="2022"/>
    <x v="0"/>
    <n v="105"/>
    <n v="57.63"/>
    <x v="5"/>
    <x v="7"/>
  </r>
  <r>
    <x v="140"/>
    <x v="11"/>
    <n v="2022"/>
    <x v="5"/>
    <n v="105"/>
    <n v="48.01"/>
    <x v="5"/>
    <x v="7"/>
  </r>
  <r>
    <x v="140"/>
    <x v="11"/>
    <n v="2022"/>
    <x v="3"/>
    <n v="35"/>
    <n v="16.23"/>
    <x v="5"/>
    <x v="7"/>
  </r>
  <r>
    <x v="140"/>
    <x v="11"/>
    <n v="2022"/>
    <x v="1"/>
    <n v="70"/>
    <n v="32.46"/>
    <x v="5"/>
    <x v="7"/>
  </r>
  <r>
    <x v="140"/>
    <x v="11"/>
    <n v="2022"/>
    <x v="4"/>
    <n v="70"/>
    <n v="33.159999999999997"/>
    <x v="5"/>
    <x v="7"/>
  </r>
  <r>
    <x v="166"/>
    <x v="11"/>
    <n v="2022"/>
    <x v="2"/>
    <n v="65.5"/>
    <n v="16.72"/>
    <x v="5"/>
    <x v="5"/>
  </r>
  <r>
    <x v="167"/>
    <x v="11"/>
    <n v="2022"/>
    <x v="0"/>
    <n v="131"/>
    <n v="33.43"/>
    <x v="5"/>
    <x v="3"/>
  </r>
  <r>
    <x v="167"/>
    <x v="11"/>
    <n v="2022"/>
    <x v="4"/>
    <n v="65.5"/>
    <n v="23.23"/>
    <x v="5"/>
    <x v="3"/>
  </r>
  <r>
    <x v="143"/>
    <x v="11"/>
    <n v="2022"/>
    <x v="2"/>
    <n v="424"/>
    <n v="208.94"/>
    <x v="5"/>
    <x v="1"/>
  </r>
  <r>
    <x v="168"/>
    <x v="11"/>
    <n v="2022"/>
    <x v="4"/>
    <n v="212"/>
    <n v="104.47"/>
    <x v="5"/>
    <x v="4"/>
  </r>
  <r>
    <x v="19"/>
    <x v="11"/>
    <n v="2022"/>
    <x v="2"/>
    <n v="2213.25"/>
    <n v="1147.71"/>
    <x v="5"/>
    <x v="5"/>
  </r>
  <r>
    <x v="158"/>
    <x v="11"/>
    <n v="2022"/>
    <x v="0"/>
    <n v="1163.25"/>
    <n v="546.48"/>
    <x v="5"/>
    <x v="1"/>
  </r>
  <r>
    <x v="158"/>
    <x v="11"/>
    <n v="2022"/>
    <x v="5"/>
    <n v="1360.5"/>
    <n v="706.35"/>
    <x v="5"/>
    <x v="1"/>
  </r>
  <r>
    <x v="158"/>
    <x v="11"/>
    <n v="2022"/>
    <x v="3"/>
    <n v="1890"/>
    <n v="1105.02"/>
    <x v="5"/>
    <x v="1"/>
  </r>
  <r>
    <x v="158"/>
    <x v="11"/>
    <n v="2022"/>
    <x v="1"/>
    <n v="945"/>
    <n v="552.51"/>
    <x v="5"/>
    <x v="1"/>
  </r>
  <r>
    <x v="158"/>
    <x v="11"/>
    <n v="2022"/>
    <x v="4"/>
    <n v="1485"/>
    <n v="868.23"/>
    <x v="5"/>
    <x v="1"/>
  </r>
  <r>
    <x v="88"/>
    <x v="11"/>
    <n v="2022"/>
    <x v="2"/>
    <n v="45.75"/>
    <n v="15.63"/>
    <x v="5"/>
    <x v="4"/>
  </r>
  <r>
    <x v="148"/>
    <x v="11"/>
    <n v="2022"/>
    <x v="5"/>
    <n v="15.25"/>
    <n v="4.1900000000000004"/>
    <x v="5"/>
    <x v="0"/>
  </r>
  <r>
    <x v="148"/>
    <x v="11"/>
    <n v="2022"/>
    <x v="3"/>
    <n v="15.25"/>
    <n v="4.1900000000000004"/>
    <x v="5"/>
    <x v="0"/>
  </r>
  <r>
    <x v="148"/>
    <x v="11"/>
    <n v="2022"/>
    <x v="1"/>
    <n v="15.25"/>
    <n v="4.1900000000000004"/>
    <x v="5"/>
    <x v="0"/>
  </r>
  <r>
    <x v="148"/>
    <x v="11"/>
    <n v="2022"/>
    <x v="4"/>
    <n v="45.75"/>
    <n v="12.58"/>
    <x v="5"/>
    <x v="0"/>
  </r>
  <r>
    <x v="50"/>
    <x v="11"/>
    <n v="2022"/>
    <x v="2"/>
    <n v="54.2"/>
    <n v="36.53"/>
    <x v="5"/>
    <x v="4"/>
  </r>
  <r>
    <x v="112"/>
    <x v="11"/>
    <n v="2022"/>
    <x v="5"/>
    <n v="93"/>
    <n v="63.55"/>
    <x v="5"/>
    <x v="3"/>
  </r>
  <r>
    <x v="112"/>
    <x v="11"/>
    <n v="2022"/>
    <x v="3"/>
    <n v="37.200000000000003"/>
    <n v="25.42"/>
    <x v="5"/>
    <x v="3"/>
  </r>
  <r>
    <x v="112"/>
    <x v="11"/>
    <n v="2022"/>
    <x v="1"/>
    <n v="18.600000000000001"/>
    <n v="12.71"/>
    <x v="5"/>
    <x v="3"/>
  </r>
  <r>
    <x v="112"/>
    <x v="11"/>
    <n v="2022"/>
    <x v="4"/>
    <n v="74.400000000000006"/>
    <n v="50.84"/>
    <x v="5"/>
    <x v="3"/>
  </r>
  <r>
    <x v="155"/>
    <x v="11"/>
    <n v="2022"/>
    <x v="2"/>
    <n v="213"/>
    <n v="147.82"/>
    <x v="5"/>
    <x v="6"/>
  </r>
  <r>
    <x v="156"/>
    <x v="11"/>
    <n v="2022"/>
    <x v="0"/>
    <n v="162"/>
    <n v="112.82"/>
    <x v="5"/>
    <x v="2"/>
  </r>
  <r>
    <x v="156"/>
    <x v="11"/>
    <n v="2022"/>
    <x v="5"/>
    <n v="72"/>
    <n v="49.14"/>
    <x v="5"/>
    <x v="2"/>
  </r>
  <r>
    <x v="43"/>
    <x v="11"/>
    <n v="2022"/>
    <x v="1"/>
    <n v="50.75"/>
    <n v="27.9"/>
    <x v="5"/>
    <x v="5"/>
  </r>
  <r>
    <x v="91"/>
    <x v="11"/>
    <n v="2022"/>
    <x v="0"/>
    <n v="51"/>
    <n v="32.479999999999997"/>
    <x v="5"/>
    <x v="3"/>
  </r>
  <r>
    <x v="115"/>
    <x v="11"/>
    <n v="2022"/>
    <x v="5"/>
    <n v="25.5"/>
    <n v="13.31"/>
    <x v="5"/>
    <x v="3"/>
  </r>
  <r>
    <x v="115"/>
    <x v="11"/>
    <n v="2022"/>
    <x v="3"/>
    <n v="178.5"/>
    <n v="109.64"/>
    <x v="5"/>
    <x v="3"/>
  </r>
  <r>
    <x v="115"/>
    <x v="11"/>
    <n v="2022"/>
    <x v="1"/>
    <n v="192.5"/>
    <n v="123.67"/>
    <x v="5"/>
    <x v="3"/>
  </r>
  <r>
    <x v="115"/>
    <x v="11"/>
    <n v="2022"/>
    <x v="4"/>
    <n v="27.5"/>
    <n v="17.91"/>
    <x v="5"/>
    <x v="3"/>
  </r>
  <r>
    <x v="92"/>
    <x v="11"/>
    <n v="2022"/>
    <x v="2"/>
    <n v="292.39999999999998"/>
    <n v="206.52"/>
    <x v="5"/>
    <x v="1"/>
  </r>
  <r>
    <x v="169"/>
    <x v="11"/>
    <n v="2022"/>
    <x v="0"/>
    <n v="465"/>
    <n v="329.41"/>
    <x v="5"/>
    <x v="0"/>
  </r>
  <r>
    <x v="169"/>
    <x v="11"/>
    <n v="2022"/>
    <x v="5"/>
    <n v="511.5"/>
    <n v="362.34"/>
    <x v="5"/>
    <x v="0"/>
  </r>
  <r>
    <x v="169"/>
    <x v="11"/>
    <n v="2022"/>
    <x v="3"/>
    <n v="403"/>
    <n v="285.49"/>
    <x v="5"/>
    <x v="0"/>
  </r>
  <r>
    <x v="169"/>
    <x v="11"/>
    <n v="2022"/>
    <x v="1"/>
    <n v="496"/>
    <n v="351.36"/>
    <x v="5"/>
    <x v="0"/>
  </r>
  <r>
    <x v="169"/>
    <x v="11"/>
    <n v="2022"/>
    <x v="4"/>
    <n v="666.5"/>
    <n v="472.15"/>
    <x v="5"/>
    <x v="0"/>
  </r>
  <r>
    <x v="47"/>
    <x v="11"/>
    <n v="2022"/>
    <x v="5"/>
    <n v="77.5"/>
    <n v="50.38"/>
    <x v="5"/>
    <x v="4"/>
  </r>
  <r>
    <x v="58"/>
    <x v="11"/>
    <n v="2022"/>
    <x v="2"/>
    <n v="4435.5"/>
    <n v="1124.05"/>
    <x v="5"/>
    <x v="5"/>
  </r>
  <r>
    <x v="59"/>
    <x v="11"/>
    <n v="2022"/>
    <x v="0"/>
    <n v="3150"/>
    <n v="1183.46"/>
    <x v="5"/>
    <x v="2"/>
  </r>
  <r>
    <x v="59"/>
    <x v="11"/>
    <n v="2022"/>
    <x v="5"/>
    <n v="4374"/>
    <n v="1555.2"/>
    <x v="5"/>
    <x v="2"/>
  </r>
  <r>
    <x v="59"/>
    <x v="11"/>
    <n v="2022"/>
    <x v="3"/>
    <n v="3645"/>
    <n v="1482.41"/>
    <x v="5"/>
    <x v="2"/>
  </r>
  <r>
    <x v="59"/>
    <x v="11"/>
    <n v="2022"/>
    <x v="1"/>
    <n v="5400"/>
    <n v="2208.5700000000002"/>
    <x v="5"/>
    <x v="2"/>
  </r>
  <r>
    <x v="59"/>
    <x v="11"/>
    <n v="2022"/>
    <x v="4"/>
    <n v="5085"/>
    <n v="1980.5"/>
    <x v="5"/>
    <x v="2"/>
  </r>
  <r>
    <x v="170"/>
    <x v="11"/>
    <n v="2022"/>
    <x v="2"/>
    <n v="450"/>
    <n v="160"/>
    <x v="5"/>
    <x v="6"/>
  </r>
  <r>
    <x v="64"/>
    <x v="11"/>
    <n v="2022"/>
    <x v="1"/>
    <n v="2632.5"/>
    <n v="1278.28"/>
    <x v="5"/>
    <x v="3"/>
  </r>
  <r>
    <x v="157"/>
    <x v="11"/>
    <n v="2022"/>
    <x v="3"/>
    <n v="17"/>
    <n v="9.25"/>
    <x v="5"/>
    <x v="1"/>
  </r>
  <r>
    <x v="124"/>
    <x v="12"/>
    <n v="2022"/>
    <x v="5"/>
    <n v="29.5"/>
    <n v="19.32"/>
    <x v="3"/>
    <x v="1"/>
  </r>
  <r>
    <x v="125"/>
    <x v="12"/>
    <n v="2022"/>
    <x v="3"/>
    <n v="29.5"/>
    <n v="19.32"/>
    <x v="3"/>
    <x v="7"/>
  </r>
  <r>
    <x v="125"/>
    <x v="12"/>
    <n v="2022"/>
    <x v="4"/>
    <n v="29.5"/>
    <n v="19.32"/>
    <x v="3"/>
    <x v="7"/>
  </r>
  <r>
    <x v="18"/>
    <x v="12"/>
    <n v="2022"/>
    <x v="2"/>
    <n v="936"/>
    <n v="580.53"/>
    <x v="3"/>
    <x v="0"/>
  </r>
  <r>
    <x v="57"/>
    <x v="12"/>
    <n v="2022"/>
    <x v="0"/>
    <n v="648"/>
    <n v="401.91"/>
    <x v="3"/>
    <x v="6"/>
  </r>
  <r>
    <x v="57"/>
    <x v="12"/>
    <n v="2022"/>
    <x v="5"/>
    <n v="1104"/>
    <n v="684.73"/>
    <x v="3"/>
    <x v="6"/>
  </r>
  <r>
    <x v="57"/>
    <x v="12"/>
    <n v="2022"/>
    <x v="3"/>
    <n v="744"/>
    <n v="461.45"/>
    <x v="3"/>
    <x v="6"/>
  </r>
  <r>
    <x v="57"/>
    <x v="12"/>
    <n v="2022"/>
    <x v="1"/>
    <n v="1224"/>
    <n v="759.15"/>
    <x v="3"/>
    <x v="6"/>
  </r>
  <r>
    <x v="57"/>
    <x v="12"/>
    <n v="2022"/>
    <x v="4"/>
    <n v="1176"/>
    <n v="729.4"/>
    <x v="3"/>
    <x v="6"/>
  </r>
  <r>
    <x v="23"/>
    <x v="12"/>
    <n v="2022"/>
    <x v="2"/>
    <n v="16.75"/>
    <n v="12.74"/>
    <x v="3"/>
    <x v="5"/>
  </r>
  <r>
    <x v="24"/>
    <x v="12"/>
    <n v="2022"/>
    <x v="5"/>
    <n v="16.75"/>
    <n v="12.74"/>
    <x v="3"/>
    <x v="5"/>
  </r>
  <r>
    <x v="126"/>
    <x v="12"/>
    <n v="2022"/>
    <x v="2"/>
    <n v="1591"/>
    <n v="666.25"/>
    <x v="3"/>
    <x v="0"/>
  </r>
  <r>
    <x v="163"/>
    <x v="12"/>
    <n v="2022"/>
    <x v="0"/>
    <n v="1376"/>
    <n v="578.75"/>
    <x v="3"/>
    <x v="2"/>
  </r>
  <r>
    <x v="163"/>
    <x v="12"/>
    <n v="2022"/>
    <x v="5"/>
    <n v="1675.25"/>
    <n v="676.4"/>
    <x v="3"/>
    <x v="2"/>
  </r>
  <r>
    <x v="163"/>
    <x v="12"/>
    <n v="2022"/>
    <x v="3"/>
    <n v="1458.45"/>
    <n v="636.6"/>
    <x v="3"/>
    <x v="2"/>
  </r>
  <r>
    <x v="163"/>
    <x v="12"/>
    <n v="2022"/>
    <x v="1"/>
    <n v="2083.5"/>
    <n v="870.3"/>
    <x v="3"/>
    <x v="2"/>
  </r>
  <r>
    <x v="163"/>
    <x v="12"/>
    <n v="2022"/>
    <x v="4"/>
    <n v="2523.35"/>
    <n v="1120.25"/>
    <x v="3"/>
    <x v="2"/>
  </r>
  <r>
    <x v="38"/>
    <x v="12"/>
    <n v="2022"/>
    <x v="2"/>
    <n v="1473.54"/>
    <n v="938.49"/>
    <x v="3"/>
    <x v="0"/>
  </r>
  <r>
    <x v="39"/>
    <x v="12"/>
    <n v="2022"/>
    <x v="0"/>
    <n v="1473.54"/>
    <n v="938.49"/>
    <x v="3"/>
    <x v="5"/>
  </r>
  <r>
    <x v="39"/>
    <x v="12"/>
    <n v="2022"/>
    <x v="5"/>
    <n v="754.74"/>
    <n v="480.69"/>
    <x v="3"/>
    <x v="5"/>
  </r>
  <r>
    <x v="39"/>
    <x v="12"/>
    <n v="2022"/>
    <x v="3"/>
    <n v="1114.1400000000001"/>
    <n v="709.59"/>
    <x v="3"/>
    <x v="5"/>
  </r>
  <r>
    <x v="39"/>
    <x v="12"/>
    <n v="2022"/>
    <x v="1"/>
    <n v="1221.96"/>
    <n v="778.26"/>
    <x v="3"/>
    <x v="5"/>
  </r>
  <r>
    <x v="39"/>
    <x v="12"/>
    <n v="2022"/>
    <x v="4"/>
    <n v="1114.1400000000001"/>
    <n v="709.59"/>
    <x v="3"/>
    <x v="5"/>
  </r>
  <r>
    <x v="135"/>
    <x v="12"/>
    <n v="2022"/>
    <x v="2"/>
    <n v="10"/>
    <n v="5.76"/>
    <x v="3"/>
    <x v="4"/>
  </r>
  <r>
    <x v="136"/>
    <x v="12"/>
    <n v="2022"/>
    <x v="1"/>
    <n v="10"/>
    <n v="5.76"/>
    <x v="3"/>
    <x v="4"/>
  </r>
  <r>
    <x v="136"/>
    <x v="12"/>
    <n v="2022"/>
    <x v="4"/>
    <n v="60"/>
    <n v="34.590000000000003"/>
    <x v="3"/>
    <x v="4"/>
  </r>
  <r>
    <x v="107"/>
    <x v="12"/>
    <n v="2022"/>
    <x v="5"/>
    <n v="182.5"/>
    <n v="103.57"/>
    <x v="3"/>
    <x v="4"/>
  </r>
  <r>
    <x v="19"/>
    <x v="12"/>
    <n v="2022"/>
    <x v="2"/>
    <n v="211.5"/>
    <n v="99.35"/>
    <x v="3"/>
    <x v="5"/>
  </r>
  <r>
    <x v="158"/>
    <x v="12"/>
    <n v="2022"/>
    <x v="0"/>
    <n v="141"/>
    <n v="43.16"/>
    <x v="3"/>
    <x v="1"/>
  </r>
  <r>
    <x v="158"/>
    <x v="12"/>
    <n v="2022"/>
    <x v="5"/>
    <n v="141"/>
    <n v="66.239999999999995"/>
    <x v="3"/>
    <x v="1"/>
  </r>
  <r>
    <x v="158"/>
    <x v="12"/>
    <n v="2022"/>
    <x v="3"/>
    <n v="405"/>
    <n v="236.79"/>
    <x v="3"/>
    <x v="1"/>
  </r>
  <r>
    <x v="158"/>
    <x v="12"/>
    <n v="2022"/>
    <x v="1"/>
    <n v="675"/>
    <n v="394.65"/>
    <x v="3"/>
    <x v="1"/>
  </r>
  <r>
    <x v="158"/>
    <x v="12"/>
    <n v="2022"/>
    <x v="4"/>
    <n v="180"/>
    <n v="105.24"/>
    <x v="3"/>
    <x v="1"/>
  </r>
  <r>
    <x v="146"/>
    <x v="12"/>
    <n v="2022"/>
    <x v="2"/>
    <n v="45.9"/>
    <n v="22.39"/>
    <x v="3"/>
    <x v="5"/>
  </r>
  <r>
    <x v="147"/>
    <x v="12"/>
    <n v="2022"/>
    <x v="5"/>
    <n v="45.9"/>
    <n v="22.39"/>
    <x v="3"/>
    <x v="1"/>
  </r>
  <r>
    <x v="147"/>
    <x v="12"/>
    <n v="2022"/>
    <x v="4"/>
    <n v="30.6"/>
    <n v="14.18"/>
    <x v="3"/>
    <x v="1"/>
  </r>
  <r>
    <x v="88"/>
    <x v="12"/>
    <n v="2022"/>
    <x v="0"/>
    <n v="49"/>
    <n v="28.92"/>
    <x v="3"/>
    <x v="4"/>
  </r>
  <r>
    <x v="171"/>
    <x v="12"/>
    <n v="2022"/>
    <x v="2"/>
    <n v="30.75"/>
    <n v="3.64"/>
    <x v="3"/>
    <x v="7"/>
  </r>
  <r>
    <x v="91"/>
    <x v="12"/>
    <n v="2022"/>
    <x v="2"/>
    <n v="357"/>
    <n v="199.68"/>
    <x v="3"/>
    <x v="3"/>
  </r>
  <r>
    <x v="115"/>
    <x v="12"/>
    <n v="2022"/>
    <x v="0"/>
    <n v="306"/>
    <n v="194.91"/>
    <x v="3"/>
    <x v="3"/>
  </r>
  <r>
    <x v="115"/>
    <x v="12"/>
    <n v="2022"/>
    <x v="5"/>
    <n v="357"/>
    <n v="213.68"/>
    <x v="3"/>
    <x v="3"/>
  </r>
  <r>
    <x v="115"/>
    <x v="12"/>
    <n v="2022"/>
    <x v="3"/>
    <n v="306"/>
    <n v="187.96"/>
    <x v="3"/>
    <x v="3"/>
  </r>
  <r>
    <x v="115"/>
    <x v="12"/>
    <n v="2022"/>
    <x v="1"/>
    <n v="385"/>
    <n v="247.82"/>
    <x v="3"/>
    <x v="3"/>
  </r>
  <r>
    <x v="115"/>
    <x v="12"/>
    <n v="2022"/>
    <x v="4"/>
    <n v="440"/>
    <n v="290.55"/>
    <x v="3"/>
    <x v="3"/>
  </r>
  <r>
    <x v="58"/>
    <x v="12"/>
    <n v="2022"/>
    <x v="2"/>
    <n v="1552.5"/>
    <n v="277.3"/>
    <x v="3"/>
    <x v="5"/>
  </r>
  <r>
    <x v="59"/>
    <x v="12"/>
    <n v="2022"/>
    <x v="0"/>
    <n v="1107"/>
    <n v="393.6"/>
    <x v="3"/>
    <x v="2"/>
  </r>
  <r>
    <x v="59"/>
    <x v="12"/>
    <n v="2022"/>
    <x v="5"/>
    <n v="1413"/>
    <n v="502.4"/>
    <x v="3"/>
    <x v="2"/>
  </r>
  <r>
    <x v="59"/>
    <x v="12"/>
    <n v="2022"/>
    <x v="3"/>
    <n v="1368"/>
    <n v="523.1"/>
    <x v="3"/>
    <x v="2"/>
  </r>
  <r>
    <x v="59"/>
    <x v="12"/>
    <n v="2022"/>
    <x v="1"/>
    <n v="2241"/>
    <n v="866.8"/>
    <x v="3"/>
    <x v="2"/>
  </r>
  <r>
    <x v="59"/>
    <x v="12"/>
    <n v="2022"/>
    <x v="4"/>
    <n v="1683"/>
    <n v="659.9"/>
    <x v="3"/>
    <x v="2"/>
  </r>
  <r>
    <x v="170"/>
    <x v="12"/>
    <n v="2022"/>
    <x v="0"/>
    <n v="243"/>
    <n v="86.4"/>
    <x v="3"/>
    <x v="6"/>
  </r>
  <r>
    <x v="95"/>
    <x v="12"/>
    <n v="2022"/>
    <x v="2"/>
    <n v="637.86"/>
    <n v="334.17"/>
    <x v="3"/>
    <x v="4"/>
  </r>
  <r>
    <x v="172"/>
    <x v="12"/>
    <n v="2022"/>
    <x v="0"/>
    <n v="356.25"/>
    <n v="186.55"/>
    <x v="3"/>
    <x v="1"/>
  </r>
  <r>
    <x v="172"/>
    <x v="12"/>
    <n v="2022"/>
    <x v="5"/>
    <n v="881.25"/>
    <n v="461.44"/>
    <x v="3"/>
    <x v="1"/>
  </r>
  <r>
    <x v="172"/>
    <x v="12"/>
    <n v="2022"/>
    <x v="3"/>
    <n v="993.75"/>
    <n v="520.35"/>
    <x v="3"/>
    <x v="1"/>
  </r>
  <r>
    <x v="172"/>
    <x v="12"/>
    <n v="2022"/>
    <x v="1"/>
    <n v="562.5"/>
    <n v="294.52999999999997"/>
    <x v="3"/>
    <x v="1"/>
  </r>
  <r>
    <x v="172"/>
    <x v="12"/>
    <n v="2022"/>
    <x v="4"/>
    <n v="1106.25"/>
    <n v="579.27"/>
    <x v="3"/>
    <x v="1"/>
  </r>
  <r>
    <x v="91"/>
    <x v="13"/>
    <n v="2022"/>
    <x v="2"/>
    <n v="2820"/>
    <n v="1709.14"/>
    <x v="0"/>
    <x v="3"/>
  </r>
  <r>
    <x v="115"/>
    <x v="13"/>
    <n v="2022"/>
    <x v="5"/>
    <n v="13220"/>
    <n v="6711.79"/>
    <x v="0"/>
    <x v="3"/>
  </r>
  <r>
    <x v="74"/>
    <x v="14"/>
    <n v="2022"/>
    <x v="5"/>
    <n v="1080"/>
    <n v="324"/>
    <x v="4"/>
    <x v="5"/>
  </r>
  <r>
    <x v="173"/>
    <x v="14"/>
    <n v="2022"/>
    <x v="3"/>
    <n v="2000"/>
    <n v="228.02"/>
    <x v="4"/>
    <x v="2"/>
  </r>
  <r>
    <x v="91"/>
    <x v="14"/>
    <n v="2022"/>
    <x v="5"/>
    <n v="6240"/>
    <n v="3334.9"/>
    <x v="4"/>
    <x v="3"/>
  </r>
  <r>
    <x v="7"/>
    <x v="15"/>
    <n v="2022"/>
    <x v="2"/>
    <n v="123"/>
    <n v="28.87"/>
    <x v="4"/>
    <x v="4"/>
  </r>
  <r>
    <x v="11"/>
    <x v="15"/>
    <n v="2022"/>
    <x v="2"/>
    <n v="76"/>
    <n v="18"/>
    <x v="4"/>
    <x v="3"/>
  </r>
  <r>
    <x v="25"/>
    <x v="15"/>
    <n v="2022"/>
    <x v="2"/>
    <n v="48"/>
    <n v="20.62"/>
    <x v="4"/>
    <x v="0"/>
  </r>
  <r>
    <x v="174"/>
    <x v="16"/>
    <n v="2022"/>
    <x v="0"/>
    <n v="162.5"/>
    <n v="87.4"/>
    <x v="3"/>
    <x v="4"/>
  </r>
  <r>
    <x v="175"/>
    <x v="16"/>
    <n v="2022"/>
    <x v="5"/>
    <n v="97.5"/>
    <n v="52.44"/>
    <x v="3"/>
    <x v="2"/>
  </r>
  <r>
    <x v="176"/>
    <x v="16"/>
    <n v="2022"/>
    <x v="0"/>
    <n v="119"/>
    <n v="93.2"/>
    <x v="3"/>
    <x v="1"/>
  </r>
  <r>
    <x v="164"/>
    <x v="16"/>
    <n v="2022"/>
    <x v="5"/>
    <n v="89.25"/>
    <n v="69.900000000000006"/>
    <x v="3"/>
    <x v="3"/>
  </r>
  <r>
    <x v="177"/>
    <x v="16"/>
    <n v="2022"/>
    <x v="2"/>
    <n v="207"/>
    <n v="160.01"/>
    <x v="3"/>
    <x v="3"/>
  </r>
  <r>
    <x v="178"/>
    <x v="16"/>
    <n v="2022"/>
    <x v="5"/>
    <n v="172.5"/>
    <n v="133.34"/>
    <x v="3"/>
    <x v="4"/>
  </r>
  <r>
    <x v="178"/>
    <x v="16"/>
    <n v="2022"/>
    <x v="1"/>
    <n v="276"/>
    <n v="213.35"/>
    <x v="3"/>
    <x v="4"/>
  </r>
  <r>
    <x v="179"/>
    <x v="16"/>
    <n v="2022"/>
    <x v="2"/>
    <n v="144"/>
    <n v="40.85"/>
    <x v="3"/>
    <x v="5"/>
  </r>
  <r>
    <x v="180"/>
    <x v="16"/>
    <n v="2022"/>
    <x v="0"/>
    <n v="216"/>
    <n v="61.27"/>
    <x v="3"/>
    <x v="7"/>
  </r>
  <r>
    <x v="180"/>
    <x v="16"/>
    <n v="2022"/>
    <x v="5"/>
    <n v="141"/>
    <n v="37.85"/>
    <x v="3"/>
    <x v="7"/>
  </r>
  <r>
    <x v="180"/>
    <x v="16"/>
    <n v="2022"/>
    <x v="1"/>
    <n v="144"/>
    <n v="40.85"/>
    <x v="3"/>
    <x v="7"/>
  </r>
  <r>
    <x v="62"/>
    <x v="16"/>
    <n v="2022"/>
    <x v="2"/>
    <n v="405"/>
    <n v="238.9"/>
    <x v="3"/>
    <x v="1"/>
  </r>
  <r>
    <x v="174"/>
    <x v="16"/>
    <n v="2022"/>
    <x v="0"/>
    <n v="405"/>
    <n v="238.9"/>
    <x v="3"/>
    <x v="4"/>
  </r>
  <r>
    <x v="174"/>
    <x v="16"/>
    <n v="2022"/>
    <x v="5"/>
    <n v="472.5"/>
    <n v="278.72000000000003"/>
    <x v="3"/>
    <x v="4"/>
  </r>
  <r>
    <x v="181"/>
    <x v="16"/>
    <n v="2022"/>
    <x v="0"/>
    <n v="259"/>
    <n v="-101.85"/>
    <x v="3"/>
    <x v="3"/>
  </r>
  <r>
    <x v="182"/>
    <x v="16"/>
    <n v="2022"/>
    <x v="1"/>
    <n v="148"/>
    <n v="-58.2"/>
    <x v="3"/>
    <x v="4"/>
  </r>
  <r>
    <x v="183"/>
    <x v="16"/>
    <n v="2022"/>
    <x v="1"/>
    <n v="1371"/>
    <n v="742.96"/>
    <x v="3"/>
    <x v="3"/>
  </r>
  <r>
    <x v="65"/>
    <x v="16"/>
    <n v="2022"/>
    <x v="2"/>
    <n v="252.5"/>
    <n v="156.66999999999999"/>
    <x v="3"/>
    <x v="7"/>
  </r>
  <r>
    <x v="184"/>
    <x v="16"/>
    <n v="2022"/>
    <x v="0"/>
    <n v="303"/>
    <n v="188.01"/>
    <x v="3"/>
    <x v="2"/>
  </r>
  <r>
    <x v="184"/>
    <x v="16"/>
    <n v="2022"/>
    <x v="5"/>
    <n v="151.5"/>
    <n v="94"/>
    <x v="3"/>
    <x v="2"/>
  </r>
  <r>
    <x v="184"/>
    <x v="16"/>
    <n v="2022"/>
    <x v="1"/>
    <n v="353.5"/>
    <n v="219.34"/>
    <x v="3"/>
    <x v="2"/>
  </r>
  <r>
    <x v="174"/>
    <x v="17"/>
    <n v="2022"/>
    <x v="2"/>
    <n v="156"/>
    <n v="83.9"/>
    <x v="2"/>
    <x v="4"/>
  </r>
  <r>
    <x v="175"/>
    <x v="17"/>
    <n v="2022"/>
    <x v="0"/>
    <n v="82.2"/>
    <n v="184.6"/>
    <x v="2"/>
    <x v="2"/>
  </r>
  <r>
    <x v="175"/>
    <x v="17"/>
    <n v="2022"/>
    <x v="5"/>
    <n v="78"/>
    <n v="41.95"/>
    <x v="2"/>
    <x v="2"/>
  </r>
  <r>
    <x v="175"/>
    <x v="17"/>
    <n v="2022"/>
    <x v="3"/>
    <n v="78"/>
    <n v="41.95"/>
    <x v="2"/>
    <x v="2"/>
  </r>
  <r>
    <x v="175"/>
    <x v="17"/>
    <n v="2022"/>
    <x v="1"/>
    <n v="156"/>
    <n v="83.9"/>
    <x v="2"/>
    <x v="2"/>
  </r>
  <r>
    <x v="176"/>
    <x v="17"/>
    <n v="2022"/>
    <x v="2"/>
    <n v="285.60000000000002"/>
    <n v="223.68"/>
    <x v="2"/>
    <x v="1"/>
  </r>
  <r>
    <x v="164"/>
    <x v="17"/>
    <n v="2022"/>
    <x v="0"/>
    <n v="66"/>
    <n v="50.52"/>
    <x v="2"/>
    <x v="3"/>
  </r>
  <r>
    <x v="164"/>
    <x v="17"/>
    <n v="2022"/>
    <x v="5"/>
    <n v="285.60000000000002"/>
    <n v="223.68"/>
    <x v="2"/>
    <x v="3"/>
  </r>
  <r>
    <x v="164"/>
    <x v="17"/>
    <n v="2022"/>
    <x v="3"/>
    <n v="71.400000000000006"/>
    <n v="55.92"/>
    <x v="2"/>
    <x v="3"/>
  </r>
  <r>
    <x v="164"/>
    <x v="17"/>
    <n v="2022"/>
    <x v="1"/>
    <n v="142.80000000000001"/>
    <n v="111.84"/>
    <x v="2"/>
    <x v="3"/>
  </r>
  <r>
    <x v="177"/>
    <x v="17"/>
    <n v="2022"/>
    <x v="2"/>
    <n v="993.6"/>
    <n v="767.74"/>
    <x v="2"/>
    <x v="3"/>
  </r>
  <r>
    <x v="178"/>
    <x v="17"/>
    <n v="2022"/>
    <x v="0"/>
    <n v="600"/>
    <n v="449.64"/>
    <x v="2"/>
    <x v="4"/>
  </r>
  <r>
    <x v="178"/>
    <x v="17"/>
    <n v="2022"/>
    <x v="5"/>
    <n v="993.6"/>
    <n v="768.06"/>
    <x v="2"/>
    <x v="4"/>
  </r>
  <r>
    <x v="178"/>
    <x v="17"/>
    <n v="2022"/>
    <x v="1"/>
    <n v="828"/>
    <n v="640.04999999999995"/>
    <x v="2"/>
    <x v="4"/>
  </r>
  <r>
    <x v="179"/>
    <x v="17"/>
    <n v="2022"/>
    <x v="2"/>
    <n v="691.2"/>
    <n v="196.08"/>
    <x v="2"/>
    <x v="5"/>
  </r>
  <r>
    <x v="180"/>
    <x v="17"/>
    <n v="2022"/>
    <x v="5"/>
    <n v="172.8"/>
    <n v="49.02"/>
    <x v="2"/>
    <x v="7"/>
  </r>
  <r>
    <x v="180"/>
    <x v="17"/>
    <n v="2022"/>
    <x v="3"/>
    <n v="172.8"/>
    <n v="49.02"/>
    <x v="2"/>
    <x v="7"/>
  </r>
  <r>
    <x v="180"/>
    <x v="17"/>
    <n v="2022"/>
    <x v="1"/>
    <n v="518.4"/>
    <n v="147.06"/>
    <x v="2"/>
    <x v="7"/>
  </r>
  <r>
    <x v="62"/>
    <x v="17"/>
    <n v="2022"/>
    <x v="2"/>
    <n v="2592"/>
    <n v="1528.96"/>
    <x v="2"/>
    <x v="1"/>
  </r>
  <r>
    <x v="174"/>
    <x v="17"/>
    <n v="2022"/>
    <x v="0"/>
    <n v="648"/>
    <n v="382.24"/>
    <x v="2"/>
    <x v="4"/>
  </r>
  <r>
    <x v="174"/>
    <x v="17"/>
    <n v="2022"/>
    <x v="5"/>
    <n v="1620"/>
    <n v="955.6"/>
    <x v="2"/>
    <x v="4"/>
  </r>
  <r>
    <x v="174"/>
    <x v="17"/>
    <n v="2022"/>
    <x v="3"/>
    <n v="648"/>
    <n v="382.24"/>
    <x v="2"/>
    <x v="4"/>
  </r>
  <r>
    <x v="174"/>
    <x v="17"/>
    <n v="2022"/>
    <x v="1"/>
    <n v="972"/>
    <n v="573.36"/>
    <x v="2"/>
    <x v="4"/>
  </r>
  <r>
    <x v="181"/>
    <x v="17"/>
    <n v="2022"/>
    <x v="2"/>
    <n v="384.8"/>
    <n v="-151.32"/>
    <x v="2"/>
    <x v="3"/>
  </r>
  <r>
    <x v="182"/>
    <x v="17"/>
    <n v="2022"/>
    <x v="5"/>
    <n v="88.8"/>
    <n v="-34.92"/>
    <x v="2"/>
    <x v="4"/>
  </r>
  <r>
    <x v="182"/>
    <x v="17"/>
    <n v="2022"/>
    <x v="3"/>
    <n v="177.6"/>
    <n v="-69.84"/>
    <x v="2"/>
    <x v="4"/>
  </r>
  <r>
    <x v="182"/>
    <x v="17"/>
    <n v="2022"/>
    <x v="1"/>
    <n v="489.6"/>
    <n v="-5.28"/>
    <x v="2"/>
    <x v="4"/>
  </r>
  <r>
    <x v="183"/>
    <x v="17"/>
    <n v="2022"/>
    <x v="2"/>
    <n v="2193.6"/>
    <n v="1188.74"/>
    <x v="2"/>
    <x v="3"/>
  </r>
  <r>
    <x v="185"/>
    <x v="17"/>
    <n v="2022"/>
    <x v="5"/>
    <n v="548.4"/>
    <n v="297.19"/>
    <x v="2"/>
    <x v="2"/>
  </r>
  <r>
    <x v="185"/>
    <x v="17"/>
    <n v="2022"/>
    <x v="3"/>
    <n v="1096.8"/>
    <n v="594.37"/>
    <x v="2"/>
    <x v="2"/>
  </r>
  <r>
    <x v="185"/>
    <x v="17"/>
    <n v="2022"/>
    <x v="1"/>
    <n v="2193.6"/>
    <n v="1188.74"/>
    <x v="2"/>
    <x v="2"/>
  </r>
  <r>
    <x v="65"/>
    <x v="17"/>
    <n v="2022"/>
    <x v="2"/>
    <n v="727.2"/>
    <n v="451.21"/>
    <x v="2"/>
    <x v="7"/>
  </r>
  <r>
    <x v="184"/>
    <x v="17"/>
    <n v="2022"/>
    <x v="5"/>
    <n v="363.6"/>
    <n v="225.61"/>
    <x v="2"/>
    <x v="2"/>
  </r>
  <r>
    <x v="184"/>
    <x v="17"/>
    <n v="2022"/>
    <x v="3"/>
    <n v="121.2"/>
    <n v="75.2"/>
    <x v="2"/>
    <x v="2"/>
  </r>
  <r>
    <x v="184"/>
    <x v="17"/>
    <n v="2022"/>
    <x v="1"/>
    <n v="606"/>
    <n v="376.01"/>
    <x v="2"/>
    <x v="2"/>
  </r>
  <r>
    <x v="162"/>
    <x v="18"/>
    <n v="2022"/>
    <x v="3"/>
    <n v="420"/>
    <n v="279.82"/>
    <x v="1"/>
    <x v="1"/>
  </r>
  <r>
    <x v="51"/>
    <x v="19"/>
    <n v="2022"/>
    <x v="1"/>
    <n v="40"/>
    <n v="5.28"/>
    <x v="4"/>
    <x v="1"/>
  </r>
  <r>
    <x v="7"/>
    <x v="19"/>
    <n v="2022"/>
    <x v="2"/>
    <n v="1414"/>
    <n v="230.2"/>
    <x v="4"/>
    <x v="4"/>
  </r>
  <r>
    <x v="8"/>
    <x v="19"/>
    <n v="2022"/>
    <x v="0"/>
    <n v="1286.25"/>
    <n v="281.43"/>
    <x v="4"/>
    <x v="1"/>
  </r>
  <r>
    <x v="8"/>
    <x v="19"/>
    <n v="2022"/>
    <x v="5"/>
    <n v="1770"/>
    <n v="377.94"/>
    <x v="4"/>
    <x v="1"/>
  </r>
  <r>
    <x v="8"/>
    <x v="19"/>
    <n v="2022"/>
    <x v="3"/>
    <n v="1542.5"/>
    <n v="292.2"/>
    <x v="4"/>
    <x v="1"/>
  </r>
  <r>
    <x v="8"/>
    <x v="19"/>
    <n v="2022"/>
    <x v="1"/>
    <n v="1715"/>
    <n v="345.46"/>
    <x v="4"/>
    <x v="1"/>
  </r>
  <r>
    <x v="8"/>
    <x v="19"/>
    <n v="2022"/>
    <x v="4"/>
    <n v="1653.75"/>
    <n v="350"/>
    <x v="4"/>
    <x v="1"/>
  </r>
  <r>
    <x v="11"/>
    <x v="19"/>
    <n v="2022"/>
    <x v="2"/>
    <n v="2287.5"/>
    <n v="620"/>
    <x v="4"/>
    <x v="3"/>
  </r>
  <r>
    <x v="12"/>
    <x v="19"/>
    <n v="2022"/>
    <x v="0"/>
    <n v="2082.5"/>
    <n v="392.25"/>
    <x v="4"/>
    <x v="0"/>
  </r>
  <r>
    <x v="12"/>
    <x v="19"/>
    <n v="2022"/>
    <x v="5"/>
    <n v="2545"/>
    <n v="496.99"/>
    <x v="4"/>
    <x v="0"/>
  </r>
  <r>
    <x v="12"/>
    <x v="19"/>
    <n v="2022"/>
    <x v="3"/>
    <n v="2391.5"/>
    <n v="531.4"/>
    <x v="4"/>
    <x v="0"/>
  </r>
  <r>
    <x v="12"/>
    <x v="19"/>
    <n v="2022"/>
    <x v="1"/>
    <n v="1908"/>
    <n v="354.51"/>
    <x v="4"/>
    <x v="0"/>
  </r>
  <r>
    <x v="12"/>
    <x v="19"/>
    <n v="2022"/>
    <x v="4"/>
    <n v="1745"/>
    <n v="280.22000000000003"/>
    <x v="4"/>
    <x v="0"/>
  </r>
  <r>
    <x v="14"/>
    <x v="19"/>
    <n v="2022"/>
    <x v="0"/>
    <n v="75"/>
    <n v="23.37"/>
    <x v="4"/>
    <x v="5"/>
  </r>
  <r>
    <x v="16"/>
    <x v="19"/>
    <n v="2022"/>
    <x v="2"/>
    <n v="458.25"/>
    <n v="244.27"/>
    <x v="4"/>
    <x v="2"/>
  </r>
  <r>
    <x v="17"/>
    <x v="19"/>
    <n v="2022"/>
    <x v="0"/>
    <n v="378"/>
    <n v="205.17"/>
    <x v="4"/>
    <x v="0"/>
  </r>
  <r>
    <x v="17"/>
    <x v="19"/>
    <n v="2022"/>
    <x v="5"/>
    <n v="774"/>
    <n v="420.11"/>
    <x v="4"/>
    <x v="0"/>
  </r>
  <r>
    <x v="17"/>
    <x v="19"/>
    <n v="2022"/>
    <x v="3"/>
    <n v="518"/>
    <n v="279.33"/>
    <x v="4"/>
    <x v="0"/>
  </r>
  <r>
    <x v="17"/>
    <x v="19"/>
    <n v="2022"/>
    <x v="1"/>
    <n v="630"/>
    <n v="341.95"/>
    <x v="4"/>
    <x v="0"/>
  </r>
  <r>
    <x v="17"/>
    <x v="19"/>
    <n v="2022"/>
    <x v="4"/>
    <n v="573.5"/>
    <n v="310.14"/>
    <x v="4"/>
    <x v="0"/>
  </r>
  <r>
    <x v="21"/>
    <x v="19"/>
    <n v="2022"/>
    <x v="0"/>
    <n v="117"/>
    <n v="34.590000000000003"/>
    <x v="4"/>
    <x v="1"/>
  </r>
  <r>
    <x v="25"/>
    <x v="19"/>
    <n v="2022"/>
    <x v="0"/>
    <n v="43.5"/>
    <n v="14.56"/>
    <x v="4"/>
    <x v="0"/>
  </r>
  <r>
    <x v="38"/>
    <x v="19"/>
    <n v="2022"/>
    <x v="2"/>
    <n v="316.5"/>
    <n v="205.56"/>
    <x v="4"/>
    <x v="0"/>
  </r>
  <r>
    <x v="39"/>
    <x v="19"/>
    <n v="2022"/>
    <x v="0"/>
    <n v="334.75"/>
    <n v="210.77"/>
    <x v="4"/>
    <x v="5"/>
  </r>
  <r>
    <x v="39"/>
    <x v="19"/>
    <n v="2022"/>
    <x v="5"/>
    <n v="459"/>
    <n v="289.35000000000002"/>
    <x v="4"/>
    <x v="5"/>
  </r>
  <r>
    <x v="39"/>
    <x v="19"/>
    <n v="2022"/>
    <x v="3"/>
    <n v="764.75"/>
    <n v="477.64"/>
    <x v="4"/>
    <x v="5"/>
  </r>
  <r>
    <x v="39"/>
    <x v="19"/>
    <n v="2022"/>
    <x v="1"/>
    <n v="319.5"/>
    <n v="202.04"/>
    <x v="4"/>
    <x v="5"/>
  </r>
  <r>
    <x v="39"/>
    <x v="19"/>
    <n v="2022"/>
    <x v="4"/>
    <n v="337.25"/>
    <n v="213.27"/>
    <x v="4"/>
    <x v="5"/>
  </r>
  <r>
    <x v="186"/>
    <x v="19"/>
    <n v="2022"/>
    <x v="2"/>
    <n v="75"/>
    <n v="46.96"/>
    <x v="4"/>
    <x v="0"/>
  </r>
  <r>
    <x v="187"/>
    <x v="19"/>
    <n v="2022"/>
    <x v="0"/>
    <n v="75"/>
    <n v="46.96"/>
    <x v="4"/>
    <x v="2"/>
  </r>
  <r>
    <x v="88"/>
    <x v="19"/>
    <n v="2022"/>
    <x v="2"/>
    <n v="250"/>
    <n v="149.59"/>
    <x v="4"/>
    <x v="4"/>
  </r>
  <r>
    <x v="148"/>
    <x v="19"/>
    <n v="2022"/>
    <x v="5"/>
    <n v="250"/>
    <n v="139.44999999999999"/>
    <x v="4"/>
    <x v="0"/>
  </r>
  <r>
    <x v="148"/>
    <x v="19"/>
    <n v="2022"/>
    <x v="3"/>
    <n v="250"/>
    <n v="139.44999999999999"/>
    <x v="4"/>
    <x v="0"/>
  </r>
  <r>
    <x v="89"/>
    <x v="19"/>
    <n v="2022"/>
    <x v="5"/>
    <n v="49"/>
    <n v="19.170000000000002"/>
    <x v="4"/>
    <x v="7"/>
  </r>
  <r>
    <x v="149"/>
    <x v="19"/>
    <n v="2022"/>
    <x v="1"/>
    <n v="73.5"/>
    <n v="28.75"/>
    <x v="4"/>
    <x v="5"/>
  </r>
  <r>
    <x v="91"/>
    <x v="19"/>
    <n v="2022"/>
    <x v="2"/>
    <n v="168"/>
    <n v="93.98"/>
    <x v="4"/>
    <x v="3"/>
  </r>
  <r>
    <x v="115"/>
    <x v="19"/>
    <n v="2022"/>
    <x v="0"/>
    <n v="45"/>
    <n v="26.48"/>
    <x v="4"/>
    <x v="3"/>
  </r>
  <r>
    <x v="115"/>
    <x v="19"/>
    <n v="2022"/>
    <x v="5"/>
    <n v="157.5"/>
    <n v="72.41"/>
    <x v="4"/>
    <x v="3"/>
  </r>
  <r>
    <x v="58"/>
    <x v="19"/>
    <n v="2022"/>
    <x v="1"/>
    <n v="487.5"/>
    <n v="447.75"/>
    <x v="4"/>
    <x v="5"/>
  </r>
  <r>
    <x v="48"/>
    <x v="19"/>
    <n v="2022"/>
    <x v="2"/>
    <n v="222"/>
    <n v="59.24"/>
    <x v="4"/>
    <x v="6"/>
  </r>
  <r>
    <x v="49"/>
    <x v="19"/>
    <n v="2022"/>
    <x v="1"/>
    <n v="190"/>
    <n v="82.21"/>
    <x v="4"/>
    <x v="1"/>
  </r>
  <r>
    <x v="100"/>
    <x v="20"/>
    <n v="2022"/>
    <x v="2"/>
    <n v="1742"/>
    <n v="591.27"/>
    <x v="3"/>
    <x v="7"/>
  </r>
  <r>
    <x v="101"/>
    <x v="20"/>
    <n v="2022"/>
    <x v="0"/>
    <n v="884"/>
    <n v="291.58999999999997"/>
    <x v="3"/>
    <x v="7"/>
  </r>
  <r>
    <x v="101"/>
    <x v="20"/>
    <n v="2022"/>
    <x v="5"/>
    <n v="1118"/>
    <n v="365.97"/>
    <x v="3"/>
    <x v="7"/>
  </r>
  <r>
    <x v="101"/>
    <x v="20"/>
    <n v="2022"/>
    <x v="3"/>
    <n v="1248"/>
    <n v="411.45"/>
    <x v="3"/>
    <x v="7"/>
  </r>
  <r>
    <x v="101"/>
    <x v="20"/>
    <n v="2022"/>
    <x v="1"/>
    <n v="1378"/>
    <n v="453.72"/>
    <x v="3"/>
    <x v="7"/>
  </r>
  <r>
    <x v="101"/>
    <x v="20"/>
    <n v="2022"/>
    <x v="4"/>
    <n v="1248"/>
    <n v="409.97"/>
    <x v="3"/>
    <x v="7"/>
  </r>
  <r>
    <x v="18"/>
    <x v="20"/>
    <n v="2022"/>
    <x v="1"/>
    <n v="167.97"/>
    <n v="67.709999999999994"/>
    <x v="3"/>
    <x v="0"/>
  </r>
  <r>
    <x v="188"/>
    <x v="20"/>
    <n v="2022"/>
    <x v="2"/>
    <n v="768.4"/>
    <n v="303.54000000000002"/>
    <x v="3"/>
    <x v="0"/>
  </r>
  <r>
    <x v="189"/>
    <x v="20"/>
    <n v="2022"/>
    <x v="0"/>
    <n v="392.7"/>
    <n v="169.31"/>
    <x v="3"/>
    <x v="2"/>
  </r>
  <r>
    <x v="189"/>
    <x v="20"/>
    <n v="2022"/>
    <x v="5"/>
    <n v="482"/>
    <n v="156.53"/>
    <x v="3"/>
    <x v="2"/>
  </r>
  <r>
    <x v="189"/>
    <x v="20"/>
    <n v="2022"/>
    <x v="3"/>
    <n v="840"/>
    <n v="347.46"/>
    <x v="3"/>
    <x v="2"/>
  </r>
  <r>
    <x v="189"/>
    <x v="20"/>
    <n v="2022"/>
    <x v="1"/>
    <n v="616"/>
    <n v="252.01"/>
    <x v="3"/>
    <x v="2"/>
  </r>
  <r>
    <x v="189"/>
    <x v="20"/>
    <n v="2022"/>
    <x v="4"/>
    <n v="616"/>
    <n v="250.01"/>
    <x v="3"/>
    <x v="2"/>
  </r>
  <r>
    <x v="21"/>
    <x v="20"/>
    <n v="2022"/>
    <x v="2"/>
    <n v="1487.5"/>
    <n v="526.1"/>
    <x v="3"/>
    <x v="1"/>
  </r>
  <r>
    <x v="22"/>
    <x v="20"/>
    <n v="2022"/>
    <x v="0"/>
    <n v="892.5"/>
    <n v="305.94"/>
    <x v="3"/>
    <x v="3"/>
  </r>
  <r>
    <x v="22"/>
    <x v="20"/>
    <n v="2022"/>
    <x v="5"/>
    <n v="765"/>
    <n v="230.16"/>
    <x v="3"/>
    <x v="3"/>
  </r>
  <r>
    <x v="22"/>
    <x v="20"/>
    <n v="2022"/>
    <x v="3"/>
    <n v="1275"/>
    <n v="365.34"/>
    <x v="3"/>
    <x v="3"/>
  </r>
  <r>
    <x v="22"/>
    <x v="20"/>
    <n v="2022"/>
    <x v="1"/>
    <n v="1020"/>
    <n v="293.7"/>
    <x v="3"/>
    <x v="3"/>
  </r>
  <r>
    <x v="22"/>
    <x v="20"/>
    <n v="2022"/>
    <x v="4"/>
    <n v="297.5"/>
    <n v="87.44"/>
    <x v="3"/>
    <x v="3"/>
  </r>
  <r>
    <x v="25"/>
    <x v="20"/>
    <n v="2022"/>
    <x v="2"/>
    <n v="1572.5"/>
    <n v="542.16"/>
    <x v="3"/>
    <x v="0"/>
  </r>
  <r>
    <x v="26"/>
    <x v="20"/>
    <n v="2022"/>
    <x v="0"/>
    <n v="892.5"/>
    <n v="283.54000000000002"/>
    <x v="3"/>
    <x v="0"/>
  </r>
  <r>
    <x v="26"/>
    <x v="20"/>
    <n v="2022"/>
    <x v="5"/>
    <n v="765"/>
    <n v="236.85"/>
    <x v="3"/>
    <x v="0"/>
  </r>
  <r>
    <x v="26"/>
    <x v="20"/>
    <n v="2022"/>
    <x v="3"/>
    <n v="1275"/>
    <n v="374.53"/>
    <x v="3"/>
    <x v="0"/>
  </r>
  <r>
    <x v="26"/>
    <x v="20"/>
    <n v="2022"/>
    <x v="1"/>
    <n v="1020"/>
    <n v="295.45"/>
    <x v="3"/>
    <x v="0"/>
  </r>
  <r>
    <x v="26"/>
    <x v="20"/>
    <n v="2022"/>
    <x v="4"/>
    <n v="297.5"/>
    <n v="84.43"/>
    <x v="3"/>
    <x v="0"/>
  </r>
  <r>
    <x v="190"/>
    <x v="20"/>
    <n v="2022"/>
    <x v="0"/>
    <n v="130.80000000000001"/>
    <n v="40.14"/>
    <x v="3"/>
    <x v="6"/>
  </r>
  <r>
    <x v="191"/>
    <x v="21"/>
    <n v="2022"/>
    <x v="1"/>
    <n v="4084"/>
    <n v="-878.77"/>
    <x v="5"/>
    <x v="4"/>
  </r>
  <r>
    <x v="192"/>
    <x v="22"/>
    <n v="2022"/>
    <x v="1"/>
    <n v="300"/>
    <n v="100.46"/>
    <x v="0"/>
    <x v="2"/>
  </r>
  <r>
    <x v="193"/>
    <x v="22"/>
    <n v="2022"/>
    <x v="1"/>
    <n v="277"/>
    <n v="-1723.2"/>
    <x v="0"/>
    <x v="6"/>
  </r>
  <r>
    <x v="194"/>
    <x v="23"/>
    <n v="2022"/>
    <x v="3"/>
    <n v="36"/>
    <n v="1.41"/>
    <x v="1"/>
    <x v="2"/>
  </r>
  <r>
    <x v="195"/>
    <x v="23"/>
    <n v="2022"/>
    <x v="1"/>
    <n v="702"/>
    <n v="27.47"/>
    <x v="1"/>
    <x v="5"/>
  </r>
  <r>
    <x v="195"/>
    <x v="23"/>
    <n v="2022"/>
    <x v="4"/>
    <n v="180"/>
    <n v="5.56"/>
    <x v="1"/>
    <x v="5"/>
  </r>
  <r>
    <x v="11"/>
    <x v="23"/>
    <n v="2022"/>
    <x v="2"/>
    <n v="203.5"/>
    <n v="44"/>
    <x v="1"/>
    <x v="3"/>
  </r>
  <r>
    <x v="12"/>
    <x v="23"/>
    <n v="2022"/>
    <x v="0"/>
    <n v="148"/>
    <n v="31.28"/>
    <x v="1"/>
    <x v="0"/>
  </r>
  <r>
    <x v="12"/>
    <x v="23"/>
    <n v="2022"/>
    <x v="5"/>
    <n v="92.5"/>
    <n v="19.22"/>
    <x v="1"/>
    <x v="0"/>
  </r>
  <r>
    <x v="12"/>
    <x v="23"/>
    <n v="2022"/>
    <x v="3"/>
    <n v="1552"/>
    <n v="279.72000000000003"/>
    <x v="1"/>
    <x v="0"/>
  </r>
  <r>
    <x v="12"/>
    <x v="23"/>
    <n v="2022"/>
    <x v="1"/>
    <n v="3585.5"/>
    <n v="900.6"/>
    <x v="1"/>
    <x v="0"/>
  </r>
  <r>
    <x v="12"/>
    <x v="23"/>
    <n v="2022"/>
    <x v="4"/>
    <n v="2605.75"/>
    <n v="703.77"/>
    <x v="1"/>
    <x v="0"/>
  </r>
  <r>
    <x v="14"/>
    <x v="23"/>
    <n v="2022"/>
    <x v="2"/>
    <n v="1475"/>
    <n v="485.46"/>
    <x v="1"/>
    <x v="5"/>
  </r>
  <r>
    <x v="15"/>
    <x v="23"/>
    <n v="2022"/>
    <x v="0"/>
    <n v="450"/>
    <n v="136.69999999999999"/>
    <x v="1"/>
    <x v="6"/>
  </r>
  <r>
    <x v="15"/>
    <x v="23"/>
    <n v="2022"/>
    <x v="5"/>
    <n v="1800"/>
    <n v="505.68"/>
    <x v="1"/>
    <x v="6"/>
  </r>
  <r>
    <x v="15"/>
    <x v="23"/>
    <n v="2022"/>
    <x v="3"/>
    <n v="625"/>
    <n v="145.25"/>
    <x v="1"/>
    <x v="6"/>
  </r>
  <r>
    <x v="15"/>
    <x v="23"/>
    <n v="2022"/>
    <x v="1"/>
    <n v="2100"/>
    <n v="534.37"/>
    <x v="1"/>
    <x v="6"/>
  </r>
  <r>
    <x v="15"/>
    <x v="23"/>
    <n v="2022"/>
    <x v="4"/>
    <n v="650"/>
    <n v="162.05000000000001"/>
    <x v="1"/>
    <x v="6"/>
  </r>
  <r>
    <x v="16"/>
    <x v="23"/>
    <n v="2022"/>
    <x v="3"/>
    <n v="66"/>
    <n v="41.31"/>
    <x v="1"/>
    <x v="2"/>
  </r>
  <r>
    <x v="188"/>
    <x v="23"/>
    <n v="2022"/>
    <x v="3"/>
    <n v="810"/>
    <n v="126.93"/>
    <x v="1"/>
    <x v="0"/>
  </r>
  <r>
    <x v="189"/>
    <x v="23"/>
    <n v="2022"/>
    <x v="1"/>
    <n v="4794"/>
    <n v="1862.4"/>
    <x v="1"/>
    <x v="2"/>
  </r>
  <r>
    <x v="189"/>
    <x v="23"/>
    <n v="2022"/>
    <x v="4"/>
    <n v="1998"/>
    <n v="766.41"/>
    <x v="1"/>
    <x v="2"/>
  </r>
  <r>
    <x v="196"/>
    <x v="23"/>
    <n v="2022"/>
    <x v="2"/>
    <n v="2180"/>
    <n v="1388.7"/>
    <x v="1"/>
    <x v="6"/>
  </r>
  <r>
    <x v="197"/>
    <x v="23"/>
    <n v="2022"/>
    <x v="0"/>
    <n v="719.4"/>
    <n v="458.26"/>
    <x v="1"/>
    <x v="6"/>
  </r>
  <r>
    <x v="197"/>
    <x v="23"/>
    <n v="2022"/>
    <x v="5"/>
    <n v="1220.8"/>
    <n v="777.66"/>
    <x v="1"/>
    <x v="6"/>
  </r>
  <r>
    <x v="197"/>
    <x v="23"/>
    <n v="2022"/>
    <x v="3"/>
    <n v="2398"/>
    <n v="1527.55"/>
    <x v="1"/>
    <x v="6"/>
  </r>
  <r>
    <x v="197"/>
    <x v="23"/>
    <n v="2022"/>
    <x v="1"/>
    <n v="3073.8"/>
    <n v="1958.05"/>
    <x v="1"/>
    <x v="6"/>
  </r>
  <r>
    <x v="197"/>
    <x v="23"/>
    <n v="2022"/>
    <x v="4"/>
    <n v="2091.1999999999998"/>
    <n v="1125.81"/>
    <x v="1"/>
    <x v="6"/>
  </r>
  <r>
    <x v="198"/>
    <x v="23"/>
    <n v="2022"/>
    <x v="1"/>
    <n v="222.25"/>
    <n v="9.81"/>
    <x v="1"/>
    <x v="1"/>
  </r>
  <r>
    <x v="21"/>
    <x v="23"/>
    <n v="2022"/>
    <x v="0"/>
    <n v="78"/>
    <n v="23.06"/>
    <x v="1"/>
    <x v="1"/>
  </r>
  <r>
    <x v="22"/>
    <x v="23"/>
    <n v="2022"/>
    <x v="5"/>
    <n v="382.9"/>
    <n v="176.54"/>
    <x v="1"/>
    <x v="3"/>
  </r>
  <r>
    <x v="25"/>
    <x v="23"/>
    <n v="2022"/>
    <x v="0"/>
    <n v="96"/>
    <n v="38.229999999999997"/>
    <x v="1"/>
    <x v="0"/>
  </r>
  <r>
    <x v="27"/>
    <x v="23"/>
    <n v="2022"/>
    <x v="3"/>
    <n v="112"/>
    <n v="0"/>
    <x v="1"/>
    <x v="2"/>
  </r>
  <r>
    <x v="80"/>
    <x v="23"/>
    <n v="2022"/>
    <x v="1"/>
    <n v="752"/>
    <n v="534.97"/>
    <x v="1"/>
    <x v="6"/>
  </r>
  <r>
    <x v="80"/>
    <x v="23"/>
    <n v="2022"/>
    <x v="4"/>
    <n v="392"/>
    <n v="283.5"/>
    <x v="1"/>
    <x v="6"/>
  </r>
  <r>
    <x v="2"/>
    <x v="23"/>
    <n v="2022"/>
    <x v="1"/>
    <n v="14"/>
    <n v="0"/>
    <x v="1"/>
    <x v="2"/>
  </r>
  <r>
    <x v="102"/>
    <x v="23"/>
    <n v="2022"/>
    <x v="2"/>
    <n v="127.4"/>
    <n v="80.22"/>
    <x v="1"/>
    <x v="0"/>
  </r>
  <r>
    <x v="73"/>
    <x v="23"/>
    <n v="2022"/>
    <x v="0"/>
    <n v="145.6"/>
    <n v="91.68"/>
    <x v="1"/>
    <x v="0"/>
  </r>
  <r>
    <x v="73"/>
    <x v="23"/>
    <n v="2022"/>
    <x v="5"/>
    <n v="182"/>
    <n v="114.6"/>
    <x v="1"/>
    <x v="0"/>
  </r>
  <r>
    <x v="73"/>
    <x v="23"/>
    <n v="2022"/>
    <x v="3"/>
    <n v="219.4"/>
    <n v="149.13999999999999"/>
    <x v="1"/>
    <x v="0"/>
  </r>
  <r>
    <x v="73"/>
    <x v="23"/>
    <n v="2022"/>
    <x v="1"/>
    <n v="182"/>
    <n v="114.6"/>
    <x v="1"/>
    <x v="0"/>
  </r>
  <r>
    <x v="38"/>
    <x v="23"/>
    <n v="2022"/>
    <x v="5"/>
    <n v="66"/>
    <n v="46.42"/>
    <x v="1"/>
    <x v="0"/>
  </r>
  <r>
    <x v="39"/>
    <x v="23"/>
    <n v="2022"/>
    <x v="1"/>
    <n v="66"/>
    <n v="46.42"/>
    <x v="1"/>
    <x v="5"/>
  </r>
  <r>
    <x v="103"/>
    <x v="23"/>
    <n v="2022"/>
    <x v="2"/>
    <n v="116.9"/>
    <n v="29.66"/>
    <x v="1"/>
    <x v="5"/>
  </r>
  <r>
    <x v="104"/>
    <x v="23"/>
    <n v="2022"/>
    <x v="0"/>
    <n v="133.6"/>
    <n v="33.89"/>
    <x v="1"/>
    <x v="7"/>
  </r>
  <r>
    <x v="104"/>
    <x v="23"/>
    <n v="2022"/>
    <x v="5"/>
    <n v="167"/>
    <n v="42.36"/>
    <x v="1"/>
    <x v="7"/>
  </r>
  <r>
    <x v="104"/>
    <x v="23"/>
    <n v="2022"/>
    <x v="3"/>
    <n v="255.5"/>
    <n v="106.72"/>
    <x v="1"/>
    <x v="7"/>
  </r>
  <r>
    <x v="104"/>
    <x v="23"/>
    <n v="2022"/>
    <x v="1"/>
    <n v="200.4"/>
    <n v="50.83"/>
    <x v="1"/>
    <x v="7"/>
  </r>
  <r>
    <x v="58"/>
    <x v="23"/>
    <n v="2022"/>
    <x v="1"/>
    <n v="60"/>
    <n v="13.6"/>
    <x v="1"/>
    <x v="5"/>
  </r>
  <r>
    <x v="59"/>
    <x v="23"/>
    <n v="2022"/>
    <x v="4"/>
    <n v="16"/>
    <n v="4.9000000000000004"/>
    <x v="1"/>
    <x v="2"/>
  </r>
  <r>
    <x v="96"/>
    <x v="23"/>
    <n v="2022"/>
    <x v="1"/>
    <n v="0"/>
    <n v="-8.75"/>
    <x v="1"/>
    <x v="5"/>
  </r>
  <r>
    <x v="38"/>
    <x v="24"/>
    <n v="2022"/>
    <x v="2"/>
    <n v="2960"/>
    <n v="1752.87"/>
    <x v="5"/>
    <x v="0"/>
  </r>
  <r>
    <x v="39"/>
    <x v="24"/>
    <n v="2022"/>
    <x v="0"/>
    <n v="2800"/>
    <n v="1658.11"/>
    <x v="5"/>
    <x v="5"/>
  </r>
  <r>
    <x v="39"/>
    <x v="24"/>
    <n v="2022"/>
    <x v="5"/>
    <n v="2720"/>
    <n v="1610.73"/>
    <x v="5"/>
    <x v="5"/>
  </r>
  <r>
    <x v="39"/>
    <x v="24"/>
    <n v="2022"/>
    <x v="3"/>
    <n v="3040"/>
    <n v="1800.23"/>
    <x v="5"/>
    <x v="5"/>
  </r>
  <r>
    <x v="39"/>
    <x v="24"/>
    <n v="2022"/>
    <x v="1"/>
    <n v="3200"/>
    <n v="1894.98"/>
    <x v="5"/>
    <x v="5"/>
  </r>
  <r>
    <x v="39"/>
    <x v="24"/>
    <n v="2022"/>
    <x v="4"/>
    <n v="4820"/>
    <n v="2927.72"/>
    <x v="5"/>
    <x v="5"/>
  </r>
  <r>
    <x v="186"/>
    <x v="24"/>
    <n v="2022"/>
    <x v="2"/>
    <n v="94.68"/>
    <n v="10.55"/>
    <x v="5"/>
    <x v="0"/>
  </r>
  <r>
    <x v="187"/>
    <x v="24"/>
    <n v="2022"/>
    <x v="0"/>
    <n v="284.04000000000002"/>
    <n v="31.65"/>
    <x v="5"/>
    <x v="2"/>
  </r>
  <r>
    <x v="187"/>
    <x v="24"/>
    <n v="2022"/>
    <x v="5"/>
    <n v="189.36"/>
    <n v="21.1"/>
    <x v="5"/>
    <x v="2"/>
  </r>
  <r>
    <x v="187"/>
    <x v="24"/>
    <n v="2022"/>
    <x v="3"/>
    <n v="147.28"/>
    <n v="16.41"/>
    <x v="5"/>
    <x v="2"/>
  </r>
  <r>
    <x v="187"/>
    <x v="24"/>
    <n v="2022"/>
    <x v="1"/>
    <n v="704.84"/>
    <n v="78.55"/>
    <x v="5"/>
    <x v="2"/>
  </r>
  <r>
    <x v="187"/>
    <x v="24"/>
    <n v="2022"/>
    <x v="4"/>
    <n v="557.55999999999995"/>
    <n v="62.13"/>
    <x v="5"/>
    <x v="2"/>
  </r>
  <r>
    <x v="50"/>
    <x v="24"/>
    <n v="2022"/>
    <x v="5"/>
    <n v="17"/>
    <n v="11.11"/>
    <x v="5"/>
    <x v="4"/>
  </r>
  <r>
    <x v="74"/>
    <x v="24"/>
    <n v="2022"/>
    <x v="2"/>
    <n v="6307"/>
    <n v="2975"/>
    <x v="5"/>
    <x v="5"/>
  </r>
  <r>
    <x v="173"/>
    <x v="24"/>
    <n v="2022"/>
    <x v="0"/>
    <n v="2703"/>
    <n v="1275"/>
    <x v="5"/>
    <x v="2"/>
  </r>
  <r>
    <x v="173"/>
    <x v="24"/>
    <n v="2022"/>
    <x v="5"/>
    <n v="4770"/>
    <n v="2250"/>
    <x v="5"/>
    <x v="2"/>
  </r>
  <r>
    <x v="173"/>
    <x v="24"/>
    <n v="2022"/>
    <x v="3"/>
    <n v="6413"/>
    <n v="2835.87"/>
    <x v="5"/>
    <x v="2"/>
  </r>
  <r>
    <x v="173"/>
    <x v="24"/>
    <n v="2022"/>
    <x v="1"/>
    <n v="5194"/>
    <n v="1409.51"/>
    <x v="5"/>
    <x v="2"/>
  </r>
  <r>
    <x v="173"/>
    <x v="24"/>
    <n v="2022"/>
    <x v="4"/>
    <n v="5830"/>
    <n v="446.38"/>
    <x v="5"/>
    <x v="2"/>
  </r>
  <r>
    <x v="91"/>
    <x v="24"/>
    <n v="2022"/>
    <x v="0"/>
    <n v="212"/>
    <n v="174.97"/>
    <x v="5"/>
    <x v="3"/>
  </r>
  <r>
    <x v="115"/>
    <x v="24"/>
    <n v="2022"/>
    <x v="1"/>
    <n v="100"/>
    <n v="50.83"/>
    <x v="5"/>
    <x v="3"/>
  </r>
  <r>
    <x v="199"/>
    <x v="24"/>
    <n v="2022"/>
    <x v="5"/>
    <n v="1872"/>
    <n v="920.7"/>
    <x v="5"/>
    <x v="0"/>
  </r>
  <r>
    <x v="200"/>
    <x v="24"/>
    <n v="2022"/>
    <x v="1"/>
    <n v="1591.2"/>
    <n v="782.59"/>
    <x v="5"/>
    <x v="5"/>
  </r>
  <r>
    <x v="162"/>
    <x v="24"/>
    <n v="2022"/>
    <x v="1"/>
    <n v="992"/>
    <n v="711.64"/>
    <x v="5"/>
    <x v="1"/>
  </r>
  <r>
    <x v="124"/>
    <x v="25"/>
    <n v="2022"/>
    <x v="0"/>
    <n v="57.5"/>
    <n v="32.049999999999997"/>
    <x v="2"/>
    <x v="1"/>
  </r>
  <r>
    <x v="125"/>
    <x v="25"/>
    <n v="2022"/>
    <x v="5"/>
    <n v="23"/>
    <n v="12.82"/>
    <x v="2"/>
    <x v="7"/>
  </r>
  <r>
    <x v="125"/>
    <x v="25"/>
    <n v="2022"/>
    <x v="3"/>
    <n v="92"/>
    <n v="51.28"/>
    <x v="2"/>
    <x v="7"/>
  </r>
  <r>
    <x v="125"/>
    <x v="25"/>
    <n v="2022"/>
    <x v="1"/>
    <n v="23"/>
    <n v="12.82"/>
    <x v="2"/>
    <x v="7"/>
  </r>
  <r>
    <x v="125"/>
    <x v="25"/>
    <n v="2022"/>
    <x v="4"/>
    <n v="46"/>
    <n v="25.64"/>
    <x v="2"/>
    <x v="7"/>
  </r>
  <r>
    <x v="23"/>
    <x v="25"/>
    <n v="2022"/>
    <x v="2"/>
    <n v="951.5"/>
    <n v="686.93"/>
    <x v="2"/>
    <x v="5"/>
  </r>
  <r>
    <x v="24"/>
    <x v="25"/>
    <n v="2022"/>
    <x v="0"/>
    <n v="709.5"/>
    <n v="537.1"/>
    <x v="2"/>
    <x v="5"/>
  </r>
  <r>
    <x v="24"/>
    <x v="25"/>
    <n v="2022"/>
    <x v="5"/>
    <n v="858"/>
    <n v="649.54"/>
    <x v="2"/>
    <x v="5"/>
  </r>
  <r>
    <x v="24"/>
    <x v="25"/>
    <n v="2022"/>
    <x v="3"/>
    <n v="330"/>
    <n v="249.81"/>
    <x v="2"/>
    <x v="5"/>
  </r>
  <r>
    <x v="24"/>
    <x v="25"/>
    <n v="2022"/>
    <x v="1"/>
    <n v="693"/>
    <n v="524.62"/>
    <x v="2"/>
    <x v="5"/>
  </r>
  <r>
    <x v="24"/>
    <x v="25"/>
    <n v="2022"/>
    <x v="4"/>
    <n v="627"/>
    <n v="474.65"/>
    <x v="2"/>
    <x v="5"/>
  </r>
  <r>
    <x v="27"/>
    <x v="25"/>
    <n v="2022"/>
    <x v="2"/>
    <n v="269.75"/>
    <n v="203.87"/>
    <x v="2"/>
    <x v="2"/>
  </r>
  <r>
    <x v="80"/>
    <x v="25"/>
    <n v="2022"/>
    <x v="0"/>
    <n v="365.5"/>
    <n v="280.25"/>
    <x v="2"/>
    <x v="6"/>
  </r>
  <r>
    <x v="80"/>
    <x v="25"/>
    <n v="2022"/>
    <x v="5"/>
    <n v="217.75"/>
    <n v="167.37"/>
    <x v="2"/>
    <x v="6"/>
  </r>
  <r>
    <x v="80"/>
    <x v="25"/>
    <n v="2022"/>
    <x v="3"/>
    <n v="167"/>
    <n v="128.25"/>
    <x v="2"/>
    <x v="6"/>
  </r>
  <r>
    <x v="80"/>
    <x v="25"/>
    <n v="2022"/>
    <x v="1"/>
    <n v="284.25"/>
    <n v="218.37"/>
    <x v="2"/>
    <x v="6"/>
  </r>
  <r>
    <x v="80"/>
    <x v="25"/>
    <n v="2022"/>
    <x v="4"/>
    <n v="351.75"/>
    <n v="270.36"/>
    <x v="2"/>
    <x v="6"/>
  </r>
  <r>
    <x v="201"/>
    <x v="25"/>
    <n v="2022"/>
    <x v="1"/>
    <n v="20"/>
    <n v="11.7"/>
    <x v="2"/>
    <x v="1"/>
  </r>
  <r>
    <x v="202"/>
    <x v="25"/>
    <n v="2022"/>
    <x v="2"/>
    <n v="1449"/>
    <n v="894.09"/>
    <x v="2"/>
    <x v="7"/>
  </r>
  <r>
    <x v="203"/>
    <x v="25"/>
    <n v="2022"/>
    <x v="0"/>
    <n v="1638"/>
    <n v="1037.48"/>
    <x v="2"/>
    <x v="6"/>
  </r>
  <r>
    <x v="203"/>
    <x v="25"/>
    <n v="2022"/>
    <x v="5"/>
    <n v="1617"/>
    <n v="1031.6500000000001"/>
    <x v="2"/>
    <x v="6"/>
  </r>
  <r>
    <x v="203"/>
    <x v="25"/>
    <n v="2022"/>
    <x v="3"/>
    <n v="1533"/>
    <n v="978.09"/>
    <x v="2"/>
    <x v="6"/>
  </r>
  <r>
    <x v="203"/>
    <x v="25"/>
    <n v="2022"/>
    <x v="1"/>
    <n v="1365"/>
    <n v="870.9"/>
    <x v="2"/>
    <x v="6"/>
  </r>
  <r>
    <x v="203"/>
    <x v="25"/>
    <n v="2022"/>
    <x v="4"/>
    <n v="1260"/>
    <n v="803.91"/>
    <x v="2"/>
    <x v="6"/>
  </r>
  <r>
    <x v="38"/>
    <x v="25"/>
    <n v="2022"/>
    <x v="2"/>
    <n v="6314"/>
    <n v="4146.25"/>
    <x v="2"/>
    <x v="0"/>
  </r>
  <r>
    <x v="39"/>
    <x v="25"/>
    <n v="2022"/>
    <x v="0"/>
    <n v="5978"/>
    <n v="4105.3"/>
    <x v="2"/>
    <x v="5"/>
  </r>
  <r>
    <x v="39"/>
    <x v="25"/>
    <n v="2022"/>
    <x v="5"/>
    <n v="6457.5"/>
    <n v="4402.09"/>
    <x v="2"/>
    <x v="5"/>
  </r>
  <r>
    <x v="39"/>
    <x v="25"/>
    <n v="2022"/>
    <x v="3"/>
    <n v="4735.5"/>
    <n v="3228.19"/>
    <x v="2"/>
    <x v="5"/>
  </r>
  <r>
    <x v="39"/>
    <x v="25"/>
    <n v="2022"/>
    <x v="1"/>
    <n v="7523.5"/>
    <n v="5128.8"/>
    <x v="2"/>
    <x v="5"/>
  </r>
  <r>
    <x v="39"/>
    <x v="25"/>
    <n v="2022"/>
    <x v="4"/>
    <n v="5883.5"/>
    <n v="4010.81"/>
    <x v="2"/>
    <x v="5"/>
  </r>
  <r>
    <x v="204"/>
    <x v="25"/>
    <n v="2022"/>
    <x v="0"/>
    <n v="36.5"/>
    <n v="22.3"/>
    <x v="2"/>
    <x v="5"/>
  </r>
  <r>
    <x v="205"/>
    <x v="25"/>
    <n v="2022"/>
    <x v="2"/>
    <n v="59.25"/>
    <n v="40.29"/>
    <x v="2"/>
    <x v="7"/>
  </r>
  <r>
    <x v="132"/>
    <x v="25"/>
    <n v="2022"/>
    <x v="2"/>
    <n v="43.5"/>
    <n v="26.42"/>
    <x v="2"/>
    <x v="6"/>
  </r>
  <r>
    <x v="206"/>
    <x v="25"/>
    <n v="2022"/>
    <x v="0"/>
    <n v="87"/>
    <n v="52.72"/>
    <x v="2"/>
    <x v="2"/>
  </r>
  <r>
    <x v="206"/>
    <x v="25"/>
    <n v="2022"/>
    <x v="5"/>
    <n v="65.25"/>
    <n v="39.51"/>
    <x v="2"/>
    <x v="2"/>
  </r>
  <r>
    <x v="206"/>
    <x v="25"/>
    <n v="2022"/>
    <x v="1"/>
    <n v="65.25"/>
    <n v="39.479999999999997"/>
    <x v="2"/>
    <x v="2"/>
  </r>
  <r>
    <x v="207"/>
    <x v="25"/>
    <n v="2022"/>
    <x v="5"/>
    <n v="72.75"/>
    <n v="25.03"/>
    <x v="2"/>
    <x v="5"/>
  </r>
  <r>
    <x v="105"/>
    <x v="25"/>
    <n v="2022"/>
    <x v="2"/>
    <n v="58.75"/>
    <n v="35.93"/>
    <x v="2"/>
    <x v="1"/>
  </r>
  <r>
    <x v="107"/>
    <x v="25"/>
    <n v="2022"/>
    <x v="2"/>
    <n v="0"/>
    <n v="-15.79"/>
    <x v="2"/>
    <x v="4"/>
  </r>
  <r>
    <x v="140"/>
    <x v="25"/>
    <n v="2022"/>
    <x v="3"/>
    <n v="36"/>
    <n v="17.23"/>
    <x v="2"/>
    <x v="7"/>
  </r>
  <r>
    <x v="140"/>
    <x v="25"/>
    <n v="2022"/>
    <x v="4"/>
    <n v="36"/>
    <n v="17.579999999999998"/>
    <x v="2"/>
    <x v="7"/>
  </r>
  <r>
    <x v="88"/>
    <x v="25"/>
    <n v="2022"/>
    <x v="0"/>
    <n v="50"/>
    <n v="29.92"/>
    <x v="2"/>
    <x v="4"/>
  </r>
  <r>
    <x v="148"/>
    <x v="25"/>
    <n v="2022"/>
    <x v="5"/>
    <n v="25"/>
    <n v="13.94"/>
    <x v="2"/>
    <x v="0"/>
  </r>
  <r>
    <x v="148"/>
    <x v="25"/>
    <n v="2022"/>
    <x v="3"/>
    <n v="100"/>
    <n v="22.6"/>
    <x v="2"/>
    <x v="0"/>
  </r>
  <r>
    <x v="208"/>
    <x v="25"/>
    <n v="2022"/>
    <x v="2"/>
    <n v="39.799999999999997"/>
    <n v="15.6"/>
    <x v="2"/>
    <x v="3"/>
  </r>
  <r>
    <x v="209"/>
    <x v="25"/>
    <n v="2022"/>
    <x v="0"/>
    <n v="49.75"/>
    <n v="25.55"/>
    <x v="2"/>
    <x v="4"/>
  </r>
  <r>
    <x v="209"/>
    <x v="25"/>
    <n v="2022"/>
    <x v="5"/>
    <n v="99.5"/>
    <n v="51.1"/>
    <x v="2"/>
    <x v="4"/>
  </r>
  <r>
    <x v="209"/>
    <x v="25"/>
    <n v="2022"/>
    <x v="4"/>
    <n v="49.75"/>
    <n v="25.55"/>
    <x v="2"/>
    <x v="4"/>
  </r>
  <r>
    <x v="50"/>
    <x v="25"/>
    <n v="2022"/>
    <x v="2"/>
    <n v="103.5"/>
    <n v="68.16"/>
    <x v="2"/>
    <x v="4"/>
  </r>
  <r>
    <x v="112"/>
    <x v="25"/>
    <n v="2022"/>
    <x v="0"/>
    <n v="0"/>
    <n v="-5.89"/>
    <x v="2"/>
    <x v="3"/>
  </r>
  <r>
    <x v="112"/>
    <x v="25"/>
    <n v="2022"/>
    <x v="5"/>
    <n v="138"/>
    <n v="90.88"/>
    <x v="2"/>
    <x v="3"/>
  </r>
  <r>
    <x v="112"/>
    <x v="25"/>
    <n v="2022"/>
    <x v="3"/>
    <n v="69"/>
    <n v="45.44"/>
    <x v="2"/>
    <x v="3"/>
  </r>
  <r>
    <x v="112"/>
    <x v="25"/>
    <n v="2022"/>
    <x v="1"/>
    <n v="172.5"/>
    <n v="113.6"/>
    <x v="2"/>
    <x v="3"/>
  </r>
  <r>
    <x v="112"/>
    <x v="25"/>
    <n v="2022"/>
    <x v="4"/>
    <n v="69"/>
    <n v="45.44"/>
    <x v="2"/>
    <x v="3"/>
  </r>
  <r>
    <x v="113"/>
    <x v="25"/>
    <n v="2022"/>
    <x v="3"/>
    <n v="45.75"/>
    <n v="21.68"/>
    <x v="2"/>
    <x v="4"/>
  </r>
  <r>
    <x v="114"/>
    <x v="25"/>
    <n v="2022"/>
    <x v="1"/>
    <n v="213.75"/>
    <n v="117.48"/>
    <x v="2"/>
    <x v="2"/>
  </r>
  <r>
    <x v="91"/>
    <x v="25"/>
    <n v="2022"/>
    <x v="2"/>
    <n v="305"/>
    <n v="175.44"/>
    <x v="2"/>
    <x v="3"/>
  </r>
  <r>
    <x v="115"/>
    <x v="25"/>
    <n v="2022"/>
    <x v="0"/>
    <n v="292.5"/>
    <n v="172.15"/>
    <x v="2"/>
    <x v="3"/>
  </r>
  <r>
    <x v="115"/>
    <x v="25"/>
    <n v="2022"/>
    <x v="5"/>
    <n v="270"/>
    <n v="136.09"/>
    <x v="2"/>
    <x v="3"/>
  </r>
  <r>
    <x v="115"/>
    <x v="25"/>
    <n v="2022"/>
    <x v="3"/>
    <n v="360"/>
    <n v="202.63"/>
    <x v="2"/>
    <x v="3"/>
  </r>
  <r>
    <x v="115"/>
    <x v="25"/>
    <n v="2022"/>
    <x v="1"/>
    <n v="360"/>
    <n v="205.4"/>
    <x v="2"/>
    <x v="3"/>
  </r>
  <r>
    <x v="115"/>
    <x v="25"/>
    <n v="2022"/>
    <x v="4"/>
    <n v="112.5"/>
    <n v="64.569999999999993"/>
    <x v="2"/>
    <x v="3"/>
  </r>
  <r>
    <x v="58"/>
    <x v="25"/>
    <n v="2022"/>
    <x v="2"/>
    <n v="2775"/>
    <n v="309.08"/>
    <x v="2"/>
    <x v="5"/>
  </r>
  <r>
    <x v="59"/>
    <x v="25"/>
    <n v="2022"/>
    <x v="0"/>
    <n v="1850"/>
    <n v="594.02"/>
    <x v="2"/>
    <x v="2"/>
  </r>
  <r>
    <x v="59"/>
    <x v="25"/>
    <n v="2022"/>
    <x v="5"/>
    <n v="2125"/>
    <n v="675"/>
    <x v="2"/>
    <x v="2"/>
  </r>
  <r>
    <x v="59"/>
    <x v="25"/>
    <n v="2022"/>
    <x v="3"/>
    <n v="1062.5"/>
    <n v="337.5"/>
    <x v="2"/>
    <x v="2"/>
  </r>
  <r>
    <x v="59"/>
    <x v="25"/>
    <n v="2022"/>
    <x v="1"/>
    <n v="2167.5"/>
    <n v="825.03"/>
    <x v="2"/>
    <x v="2"/>
  </r>
  <r>
    <x v="59"/>
    <x v="25"/>
    <n v="2022"/>
    <x v="4"/>
    <n v="1997.5"/>
    <n v="714.5"/>
    <x v="2"/>
    <x v="2"/>
  </r>
  <r>
    <x v="48"/>
    <x v="25"/>
    <n v="2022"/>
    <x v="2"/>
    <n v="844"/>
    <n v="251.05"/>
    <x v="2"/>
    <x v="6"/>
  </r>
  <r>
    <x v="49"/>
    <x v="25"/>
    <n v="2022"/>
    <x v="0"/>
    <n v="713"/>
    <n v="293.93"/>
    <x v="2"/>
    <x v="1"/>
  </r>
  <r>
    <x v="49"/>
    <x v="25"/>
    <n v="2022"/>
    <x v="5"/>
    <n v="552"/>
    <n v="227.87"/>
    <x v="2"/>
    <x v="1"/>
  </r>
  <r>
    <x v="49"/>
    <x v="25"/>
    <n v="2022"/>
    <x v="3"/>
    <n v="414"/>
    <n v="170.91"/>
    <x v="2"/>
    <x v="1"/>
  </r>
  <r>
    <x v="49"/>
    <x v="25"/>
    <n v="2022"/>
    <x v="1"/>
    <n v="690"/>
    <n v="339.45"/>
    <x v="2"/>
    <x v="1"/>
  </r>
  <r>
    <x v="49"/>
    <x v="25"/>
    <n v="2022"/>
    <x v="4"/>
    <n v="782"/>
    <n v="348.58"/>
    <x v="2"/>
    <x v="1"/>
  </r>
  <r>
    <x v="210"/>
    <x v="25"/>
    <n v="2022"/>
    <x v="2"/>
    <n v="45"/>
    <n v="23.69"/>
    <x v="2"/>
    <x v="2"/>
  </r>
  <r>
    <x v="211"/>
    <x v="25"/>
    <n v="2022"/>
    <x v="0"/>
    <n v="90"/>
    <n v="47.37"/>
    <x v="2"/>
    <x v="6"/>
  </r>
  <r>
    <x v="211"/>
    <x v="25"/>
    <n v="2022"/>
    <x v="5"/>
    <n v="324"/>
    <n v="196.14"/>
    <x v="2"/>
    <x v="6"/>
  </r>
  <r>
    <x v="211"/>
    <x v="25"/>
    <n v="2022"/>
    <x v="3"/>
    <n v="135"/>
    <n v="75.31"/>
    <x v="2"/>
    <x v="6"/>
  </r>
  <r>
    <x v="118"/>
    <x v="25"/>
    <n v="2022"/>
    <x v="2"/>
    <n v="175"/>
    <n v="75.3"/>
    <x v="2"/>
    <x v="7"/>
  </r>
  <r>
    <x v="120"/>
    <x v="25"/>
    <n v="2022"/>
    <x v="2"/>
    <n v="875"/>
    <n v="346.75"/>
    <x v="2"/>
    <x v="6"/>
  </r>
  <r>
    <x v="121"/>
    <x v="25"/>
    <n v="2022"/>
    <x v="0"/>
    <n v="1050"/>
    <n v="281.39999999999998"/>
    <x v="2"/>
    <x v="5"/>
  </r>
  <r>
    <x v="121"/>
    <x v="25"/>
    <n v="2022"/>
    <x v="5"/>
    <n v="1050"/>
    <n v="281.41000000000003"/>
    <x v="2"/>
    <x v="5"/>
  </r>
  <r>
    <x v="121"/>
    <x v="25"/>
    <n v="2022"/>
    <x v="3"/>
    <n v="1050"/>
    <n v="281.41000000000003"/>
    <x v="2"/>
    <x v="5"/>
  </r>
  <r>
    <x v="121"/>
    <x v="25"/>
    <n v="2022"/>
    <x v="1"/>
    <n v="2275"/>
    <n v="600.80999999999995"/>
    <x v="2"/>
    <x v="5"/>
  </r>
  <r>
    <x v="121"/>
    <x v="25"/>
    <n v="2022"/>
    <x v="4"/>
    <n v="1925"/>
    <n v="461.89"/>
    <x v="2"/>
    <x v="5"/>
  </r>
  <r>
    <x v="212"/>
    <x v="26"/>
    <n v="2022"/>
    <x v="2"/>
    <n v="35260.5"/>
    <n v="29084.82"/>
    <x v="4"/>
    <x v="0"/>
  </r>
  <r>
    <x v="213"/>
    <x v="26"/>
    <n v="2022"/>
    <x v="0"/>
    <n v="24717"/>
    <n v="24511.03"/>
    <x v="4"/>
    <x v="7"/>
  </r>
  <r>
    <x v="213"/>
    <x v="26"/>
    <n v="2022"/>
    <x v="5"/>
    <n v="30376.5"/>
    <n v="28585.27"/>
    <x v="4"/>
    <x v="7"/>
  </r>
  <r>
    <x v="213"/>
    <x v="26"/>
    <n v="2022"/>
    <x v="3"/>
    <n v="30376.5"/>
    <n v="30123.360000000001"/>
    <x v="4"/>
    <x v="7"/>
  </r>
  <r>
    <x v="213"/>
    <x v="26"/>
    <n v="2022"/>
    <x v="1"/>
    <n v="36270"/>
    <n v="35997.75"/>
    <x v="4"/>
    <x v="7"/>
  </r>
  <r>
    <x v="213"/>
    <x v="26"/>
    <n v="2022"/>
    <x v="4"/>
    <n v="33300"/>
    <n v="33052.5"/>
    <x v="4"/>
    <x v="7"/>
  </r>
  <r>
    <x v="214"/>
    <x v="26"/>
    <n v="2022"/>
    <x v="0"/>
    <n v="20.28"/>
    <n v="0.26"/>
    <x v="4"/>
    <x v="3"/>
  </r>
  <r>
    <x v="8"/>
    <x v="26"/>
    <n v="2022"/>
    <x v="1"/>
    <n v="10.14"/>
    <n v="0.19"/>
    <x v="4"/>
    <x v="1"/>
  </r>
  <r>
    <x v="8"/>
    <x v="26"/>
    <n v="2022"/>
    <x v="4"/>
    <n v="20.28"/>
    <n v="0.39"/>
    <x v="4"/>
    <x v="1"/>
  </r>
  <r>
    <x v="215"/>
    <x v="26"/>
    <n v="2022"/>
    <x v="2"/>
    <n v="9438"/>
    <n v="1498.89"/>
    <x v="4"/>
    <x v="1"/>
  </r>
  <r>
    <x v="216"/>
    <x v="26"/>
    <n v="2022"/>
    <x v="0"/>
    <n v="6633"/>
    <n v="1055.25"/>
    <x v="4"/>
    <x v="6"/>
  </r>
  <r>
    <x v="216"/>
    <x v="26"/>
    <n v="2022"/>
    <x v="5"/>
    <n v="7623"/>
    <n v="1212.75"/>
    <x v="4"/>
    <x v="6"/>
  </r>
  <r>
    <x v="216"/>
    <x v="26"/>
    <n v="2022"/>
    <x v="3"/>
    <n v="7029"/>
    <n v="1118.25"/>
    <x v="4"/>
    <x v="6"/>
  </r>
  <r>
    <x v="216"/>
    <x v="26"/>
    <n v="2022"/>
    <x v="1"/>
    <n v="9255.5"/>
    <n v="2336.5"/>
    <x v="4"/>
    <x v="6"/>
  </r>
  <r>
    <x v="216"/>
    <x v="26"/>
    <n v="2022"/>
    <x v="4"/>
    <n v="9787.5"/>
    <n v="2544.75"/>
    <x v="4"/>
    <x v="6"/>
  </r>
  <r>
    <x v="217"/>
    <x v="26"/>
    <n v="2022"/>
    <x v="1"/>
    <n v="10.14"/>
    <n v="2.1"/>
    <x v="4"/>
    <x v="2"/>
  </r>
  <r>
    <x v="55"/>
    <x v="26"/>
    <n v="2022"/>
    <x v="2"/>
    <n v="40"/>
    <n v="5.97"/>
    <x v="4"/>
    <x v="3"/>
  </r>
  <r>
    <x v="124"/>
    <x v="26"/>
    <n v="2022"/>
    <x v="3"/>
    <n v="10.6"/>
    <n v="5.51"/>
    <x v="4"/>
    <x v="1"/>
  </r>
  <r>
    <x v="23"/>
    <x v="26"/>
    <n v="2022"/>
    <x v="2"/>
    <n v="2015"/>
    <n v="1513.86"/>
    <x v="4"/>
    <x v="5"/>
  </r>
  <r>
    <x v="24"/>
    <x v="26"/>
    <n v="2022"/>
    <x v="0"/>
    <n v="322.39999999999998"/>
    <n v="242.2"/>
    <x v="4"/>
    <x v="5"/>
  </r>
  <r>
    <x v="24"/>
    <x v="26"/>
    <n v="2022"/>
    <x v="5"/>
    <n v="564.20000000000005"/>
    <n v="423.86"/>
    <x v="4"/>
    <x v="5"/>
  </r>
  <r>
    <x v="24"/>
    <x v="26"/>
    <n v="2022"/>
    <x v="3"/>
    <n v="806"/>
    <n v="605.51"/>
    <x v="4"/>
    <x v="5"/>
  </r>
  <r>
    <x v="24"/>
    <x v="26"/>
    <n v="2022"/>
    <x v="1"/>
    <n v="1128.4000000000001"/>
    <n v="847.73"/>
    <x v="4"/>
    <x v="5"/>
  </r>
  <r>
    <x v="24"/>
    <x v="26"/>
    <n v="2022"/>
    <x v="4"/>
    <n v="1047.8"/>
    <n v="787.17"/>
    <x v="4"/>
    <x v="5"/>
  </r>
  <r>
    <x v="27"/>
    <x v="26"/>
    <n v="2022"/>
    <x v="2"/>
    <n v="531.96"/>
    <n v="404.08"/>
    <x v="4"/>
    <x v="2"/>
  </r>
  <r>
    <x v="80"/>
    <x v="26"/>
    <n v="2022"/>
    <x v="0"/>
    <n v="644.79999999999995"/>
    <n v="489.77"/>
    <x v="4"/>
    <x v="6"/>
  </r>
  <r>
    <x v="80"/>
    <x v="26"/>
    <n v="2022"/>
    <x v="5"/>
    <n v="644.79999999999995"/>
    <n v="489.76"/>
    <x v="4"/>
    <x v="6"/>
  </r>
  <r>
    <x v="80"/>
    <x v="26"/>
    <n v="2022"/>
    <x v="3"/>
    <n v="725.4"/>
    <n v="550.98"/>
    <x v="4"/>
    <x v="6"/>
  </r>
  <r>
    <x v="80"/>
    <x v="26"/>
    <n v="2022"/>
    <x v="1"/>
    <n v="967.2"/>
    <n v="734.65"/>
    <x v="4"/>
    <x v="6"/>
  </r>
  <r>
    <x v="80"/>
    <x v="26"/>
    <n v="2022"/>
    <x v="4"/>
    <n v="725.4"/>
    <n v="550.98"/>
    <x v="4"/>
    <x v="6"/>
  </r>
  <r>
    <x v="83"/>
    <x v="26"/>
    <n v="2022"/>
    <x v="2"/>
    <n v="2060"/>
    <n v="1075.26"/>
    <x v="4"/>
    <x v="6"/>
  </r>
  <r>
    <x v="177"/>
    <x v="26"/>
    <n v="2022"/>
    <x v="0"/>
    <n v="980"/>
    <n v="585.41"/>
    <x v="4"/>
    <x v="3"/>
  </r>
  <r>
    <x v="177"/>
    <x v="26"/>
    <n v="2022"/>
    <x v="5"/>
    <n v="980"/>
    <n v="585.42999999999995"/>
    <x v="4"/>
    <x v="3"/>
  </r>
  <r>
    <x v="177"/>
    <x v="26"/>
    <n v="2022"/>
    <x v="3"/>
    <n v="1000"/>
    <n v="597.39"/>
    <x v="4"/>
    <x v="3"/>
  </r>
  <r>
    <x v="177"/>
    <x v="26"/>
    <n v="2022"/>
    <x v="1"/>
    <n v="1100"/>
    <n v="657.12"/>
    <x v="4"/>
    <x v="3"/>
  </r>
  <r>
    <x v="177"/>
    <x v="26"/>
    <n v="2022"/>
    <x v="4"/>
    <n v="500"/>
    <n v="298.69"/>
    <x v="4"/>
    <x v="3"/>
  </r>
  <r>
    <x v="34"/>
    <x v="26"/>
    <n v="2022"/>
    <x v="1"/>
    <n v="250"/>
    <n v="117.66"/>
    <x v="4"/>
    <x v="4"/>
  </r>
  <r>
    <x v="35"/>
    <x v="26"/>
    <n v="2022"/>
    <x v="4"/>
    <n v="382"/>
    <n v="90.85"/>
    <x v="4"/>
    <x v="2"/>
  </r>
  <r>
    <x v="126"/>
    <x v="26"/>
    <n v="2022"/>
    <x v="2"/>
    <n v="0"/>
    <n v="-100"/>
    <x v="4"/>
    <x v="0"/>
  </r>
  <r>
    <x v="218"/>
    <x v="26"/>
    <n v="2022"/>
    <x v="0"/>
    <n v="135"/>
    <n v="100"/>
    <x v="4"/>
    <x v="2"/>
  </r>
  <r>
    <x v="1"/>
    <x v="26"/>
    <n v="2022"/>
    <x v="2"/>
    <n v="6600"/>
    <n v="3400.45"/>
    <x v="4"/>
    <x v="1"/>
  </r>
  <r>
    <x v="136"/>
    <x v="26"/>
    <n v="2022"/>
    <x v="0"/>
    <n v="6400"/>
    <n v="3289.14"/>
    <x v="4"/>
    <x v="4"/>
  </r>
  <r>
    <x v="136"/>
    <x v="26"/>
    <n v="2022"/>
    <x v="5"/>
    <n v="6400"/>
    <n v="3289.12"/>
    <x v="4"/>
    <x v="4"/>
  </r>
  <r>
    <x v="136"/>
    <x v="26"/>
    <n v="2022"/>
    <x v="3"/>
    <n v="7200"/>
    <n v="3700.27"/>
    <x v="4"/>
    <x v="4"/>
  </r>
  <r>
    <x v="136"/>
    <x v="26"/>
    <n v="2022"/>
    <x v="1"/>
    <n v="7600"/>
    <n v="3905.84"/>
    <x v="4"/>
    <x v="4"/>
  </r>
  <r>
    <x v="136"/>
    <x v="26"/>
    <n v="2022"/>
    <x v="4"/>
    <n v="7200"/>
    <n v="3700.26"/>
    <x v="4"/>
    <x v="4"/>
  </r>
  <r>
    <x v="202"/>
    <x v="26"/>
    <n v="2022"/>
    <x v="2"/>
    <n v="3420"/>
    <n v="1927.09"/>
    <x v="4"/>
    <x v="7"/>
  </r>
  <r>
    <x v="203"/>
    <x v="26"/>
    <n v="2022"/>
    <x v="0"/>
    <n v="2850"/>
    <n v="1709.75"/>
    <x v="4"/>
    <x v="6"/>
  </r>
  <r>
    <x v="203"/>
    <x v="26"/>
    <n v="2022"/>
    <x v="5"/>
    <n v="2850"/>
    <n v="1709.75"/>
    <x v="4"/>
    <x v="6"/>
  </r>
  <r>
    <x v="203"/>
    <x v="26"/>
    <n v="2022"/>
    <x v="3"/>
    <n v="3040"/>
    <n v="1761.42"/>
    <x v="4"/>
    <x v="6"/>
  </r>
  <r>
    <x v="203"/>
    <x v="26"/>
    <n v="2022"/>
    <x v="1"/>
    <n v="3800"/>
    <n v="2279.65"/>
    <x v="4"/>
    <x v="6"/>
  </r>
  <r>
    <x v="203"/>
    <x v="26"/>
    <n v="2022"/>
    <x v="4"/>
    <n v="5130"/>
    <n v="3077.55"/>
    <x v="4"/>
    <x v="6"/>
  </r>
  <r>
    <x v="132"/>
    <x v="26"/>
    <n v="2022"/>
    <x v="2"/>
    <n v="41"/>
    <n v="23.92"/>
    <x v="4"/>
    <x v="6"/>
  </r>
  <r>
    <x v="206"/>
    <x v="26"/>
    <n v="2022"/>
    <x v="4"/>
    <n v="20.5"/>
    <n v="11.91"/>
    <x v="4"/>
    <x v="2"/>
  </r>
  <r>
    <x v="105"/>
    <x v="26"/>
    <n v="2022"/>
    <x v="2"/>
    <n v="60"/>
    <n v="37.18"/>
    <x v="4"/>
    <x v="1"/>
  </r>
  <r>
    <x v="106"/>
    <x v="26"/>
    <n v="2022"/>
    <x v="0"/>
    <n v="60"/>
    <n v="38.04"/>
    <x v="4"/>
    <x v="6"/>
  </r>
  <r>
    <x v="106"/>
    <x v="26"/>
    <n v="2022"/>
    <x v="5"/>
    <n v="120"/>
    <n v="76.540000000000006"/>
    <x v="4"/>
    <x v="6"/>
  </r>
  <r>
    <x v="106"/>
    <x v="26"/>
    <n v="2022"/>
    <x v="3"/>
    <n v="66"/>
    <n v="22.54"/>
    <x v="4"/>
    <x v="6"/>
  </r>
  <r>
    <x v="106"/>
    <x v="26"/>
    <n v="2022"/>
    <x v="1"/>
    <n v="60"/>
    <n v="38.340000000000003"/>
    <x v="4"/>
    <x v="6"/>
  </r>
  <r>
    <x v="107"/>
    <x v="26"/>
    <n v="2022"/>
    <x v="2"/>
    <n v="66"/>
    <n v="33.99"/>
    <x v="4"/>
    <x v="4"/>
  </r>
  <r>
    <x v="140"/>
    <x v="26"/>
    <n v="2022"/>
    <x v="5"/>
    <n v="33"/>
    <n v="13.89"/>
    <x v="4"/>
    <x v="7"/>
  </r>
  <r>
    <x v="140"/>
    <x v="26"/>
    <n v="2022"/>
    <x v="3"/>
    <n v="66"/>
    <n v="28.47"/>
    <x v="4"/>
    <x v="7"/>
  </r>
  <r>
    <x v="140"/>
    <x v="26"/>
    <n v="2022"/>
    <x v="4"/>
    <n v="165"/>
    <n v="72.92"/>
    <x v="4"/>
    <x v="7"/>
  </r>
  <r>
    <x v="166"/>
    <x v="26"/>
    <n v="2022"/>
    <x v="2"/>
    <n v="121.8"/>
    <n v="24.23"/>
    <x v="4"/>
    <x v="5"/>
  </r>
  <r>
    <x v="19"/>
    <x v="26"/>
    <n v="2022"/>
    <x v="2"/>
    <n v="800"/>
    <n v="500.92"/>
    <x v="4"/>
    <x v="5"/>
  </r>
  <r>
    <x v="158"/>
    <x v="26"/>
    <n v="2022"/>
    <x v="0"/>
    <n v="1200"/>
    <n v="751.44"/>
    <x v="4"/>
    <x v="1"/>
  </r>
  <r>
    <x v="158"/>
    <x v="26"/>
    <n v="2022"/>
    <x v="5"/>
    <n v="400"/>
    <n v="250.48"/>
    <x v="4"/>
    <x v="1"/>
  </r>
  <r>
    <x v="158"/>
    <x v="26"/>
    <n v="2022"/>
    <x v="3"/>
    <n v="400"/>
    <n v="250.48"/>
    <x v="4"/>
    <x v="1"/>
  </r>
  <r>
    <x v="158"/>
    <x v="26"/>
    <n v="2022"/>
    <x v="1"/>
    <n v="500"/>
    <n v="313.10000000000002"/>
    <x v="4"/>
    <x v="1"/>
  </r>
  <r>
    <x v="158"/>
    <x v="26"/>
    <n v="2022"/>
    <x v="4"/>
    <n v="950"/>
    <n v="594.89"/>
    <x v="4"/>
    <x v="1"/>
  </r>
  <r>
    <x v="219"/>
    <x v="26"/>
    <n v="2022"/>
    <x v="0"/>
    <n v="32.35"/>
    <n v="20.78"/>
    <x v="4"/>
    <x v="5"/>
  </r>
  <r>
    <x v="220"/>
    <x v="26"/>
    <n v="2022"/>
    <x v="3"/>
    <n v="32.35"/>
    <n v="20.51"/>
    <x v="4"/>
    <x v="2"/>
  </r>
  <r>
    <x v="220"/>
    <x v="26"/>
    <n v="2022"/>
    <x v="1"/>
    <n v="64.7"/>
    <n v="41.02"/>
    <x v="4"/>
    <x v="2"/>
  </r>
  <r>
    <x v="220"/>
    <x v="26"/>
    <n v="2022"/>
    <x v="4"/>
    <n v="97.05"/>
    <n v="61.53"/>
    <x v="4"/>
    <x v="2"/>
  </r>
  <r>
    <x v="146"/>
    <x v="26"/>
    <n v="2022"/>
    <x v="5"/>
    <n v="15.9"/>
    <n v="8.06"/>
    <x v="4"/>
    <x v="5"/>
  </r>
  <r>
    <x v="88"/>
    <x v="26"/>
    <n v="2022"/>
    <x v="2"/>
    <n v="11.6"/>
    <n v="1.56"/>
    <x v="4"/>
    <x v="4"/>
  </r>
  <r>
    <x v="148"/>
    <x v="26"/>
    <n v="2022"/>
    <x v="5"/>
    <n v="11.6"/>
    <n v="1.56"/>
    <x v="4"/>
    <x v="0"/>
  </r>
  <r>
    <x v="148"/>
    <x v="26"/>
    <n v="2022"/>
    <x v="1"/>
    <n v="11.6"/>
    <n v="0.54"/>
    <x v="4"/>
    <x v="0"/>
  </r>
  <r>
    <x v="221"/>
    <x v="26"/>
    <n v="2022"/>
    <x v="2"/>
    <n v="30"/>
    <n v="-11.72"/>
    <x v="4"/>
    <x v="6"/>
  </r>
  <r>
    <x v="222"/>
    <x v="26"/>
    <n v="2022"/>
    <x v="5"/>
    <n v="30"/>
    <n v="18.36"/>
    <x v="4"/>
    <x v="6"/>
  </r>
  <r>
    <x v="222"/>
    <x v="26"/>
    <n v="2022"/>
    <x v="4"/>
    <n v="30"/>
    <n v="17.25"/>
    <x v="4"/>
    <x v="6"/>
  </r>
  <r>
    <x v="50"/>
    <x v="26"/>
    <n v="2022"/>
    <x v="4"/>
    <n v="17.5"/>
    <n v="11.61"/>
    <x v="4"/>
    <x v="4"/>
  </r>
  <r>
    <x v="223"/>
    <x v="26"/>
    <n v="2022"/>
    <x v="1"/>
    <n v="47.7"/>
    <n v="24.18"/>
    <x v="4"/>
    <x v="3"/>
  </r>
  <r>
    <x v="91"/>
    <x v="26"/>
    <n v="2022"/>
    <x v="2"/>
    <n v="600"/>
    <n v="322.39"/>
    <x v="4"/>
    <x v="3"/>
  </r>
  <r>
    <x v="115"/>
    <x v="26"/>
    <n v="2022"/>
    <x v="0"/>
    <n v="200"/>
    <n v="107.42"/>
    <x v="4"/>
    <x v="3"/>
  </r>
  <r>
    <x v="115"/>
    <x v="26"/>
    <n v="2022"/>
    <x v="5"/>
    <n v="260"/>
    <n v="120.79"/>
    <x v="4"/>
    <x v="3"/>
  </r>
  <r>
    <x v="115"/>
    <x v="26"/>
    <n v="2022"/>
    <x v="3"/>
    <n v="160"/>
    <n v="70.349999999999994"/>
    <x v="4"/>
    <x v="3"/>
  </r>
  <r>
    <x v="115"/>
    <x v="26"/>
    <n v="2022"/>
    <x v="1"/>
    <n v="160"/>
    <n v="81.34"/>
    <x v="4"/>
    <x v="3"/>
  </r>
  <r>
    <x v="58"/>
    <x v="26"/>
    <n v="2022"/>
    <x v="2"/>
    <n v="3330"/>
    <n v="210.29"/>
    <x v="4"/>
    <x v="5"/>
  </r>
  <r>
    <x v="59"/>
    <x v="26"/>
    <n v="2022"/>
    <x v="0"/>
    <n v="2070"/>
    <n v="539.19000000000005"/>
    <x v="4"/>
    <x v="2"/>
  </r>
  <r>
    <x v="59"/>
    <x v="26"/>
    <n v="2022"/>
    <x v="5"/>
    <n v="3330"/>
    <n v="754.8"/>
    <x v="4"/>
    <x v="2"/>
  </r>
  <r>
    <x v="59"/>
    <x v="26"/>
    <n v="2022"/>
    <x v="3"/>
    <n v="3240"/>
    <n v="1039.3"/>
    <x v="4"/>
    <x v="2"/>
  </r>
  <r>
    <x v="59"/>
    <x v="26"/>
    <n v="2022"/>
    <x v="1"/>
    <n v="3484.08"/>
    <n v="947.28"/>
    <x v="4"/>
    <x v="2"/>
  </r>
  <r>
    <x v="59"/>
    <x v="26"/>
    <n v="2022"/>
    <x v="4"/>
    <n v="4640"/>
    <n v="1894"/>
    <x v="4"/>
    <x v="2"/>
  </r>
  <r>
    <x v="48"/>
    <x v="26"/>
    <n v="2022"/>
    <x v="2"/>
    <n v="925"/>
    <n v="252.59"/>
    <x v="4"/>
    <x v="6"/>
  </r>
  <r>
    <x v="49"/>
    <x v="26"/>
    <n v="2022"/>
    <x v="0"/>
    <n v="647.5"/>
    <n v="174.37"/>
    <x v="4"/>
    <x v="1"/>
  </r>
  <r>
    <x v="49"/>
    <x v="26"/>
    <n v="2022"/>
    <x v="5"/>
    <n v="925"/>
    <n v="249.75"/>
    <x v="4"/>
    <x v="1"/>
  </r>
  <r>
    <x v="49"/>
    <x v="26"/>
    <n v="2022"/>
    <x v="3"/>
    <n v="740"/>
    <n v="199.84"/>
    <x v="4"/>
    <x v="1"/>
  </r>
  <r>
    <x v="49"/>
    <x v="26"/>
    <n v="2022"/>
    <x v="1"/>
    <n v="1202.5"/>
    <n v="469.81"/>
    <x v="4"/>
    <x v="1"/>
  </r>
  <r>
    <x v="49"/>
    <x v="26"/>
    <n v="2022"/>
    <x v="4"/>
    <n v="1110"/>
    <n v="346.38"/>
    <x v="4"/>
    <x v="1"/>
  </r>
  <r>
    <x v="160"/>
    <x v="26"/>
    <n v="2022"/>
    <x v="2"/>
    <n v="65"/>
    <n v="24.16"/>
    <x v="4"/>
    <x v="4"/>
  </r>
  <r>
    <x v="161"/>
    <x v="26"/>
    <n v="2022"/>
    <x v="5"/>
    <n v="65"/>
    <n v="24.59"/>
    <x v="4"/>
    <x v="4"/>
  </r>
  <r>
    <x v="161"/>
    <x v="26"/>
    <n v="2022"/>
    <x v="1"/>
    <n v="65"/>
    <n v="24.59"/>
    <x v="4"/>
    <x v="4"/>
  </r>
  <r>
    <x v="161"/>
    <x v="26"/>
    <n v="2022"/>
    <x v="4"/>
    <n v="65"/>
    <n v="24.59"/>
    <x v="4"/>
    <x v="4"/>
  </r>
  <r>
    <x v="214"/>
    <x v="27"/>
    <n v="2022"/>
    <x v="3"/>
    <n v="11.98"/>
    <n v="2.0099999999999998"/>
    <x v="0"/>
    <x v="3"/>
  </r>
  <r>
    <x v="224"/>
    <x v="27"/>
    <n v="2022"/>
    <x v="2"/>
    <n v="4080"/>
    <n v="1573.08"/>
    <x v="0"/>
    <x v="1"/>
  </r>
  <r>
    <x v="225"/>
    <x v="27"/>
    <n v="2022"/>
    <x v="0"/>
    <n v="2872"/>
    <n v="1128.3800000000001"/>
    <x v="0"/>
    <x v="5"/>
  </r>
  <r>
    <x v="226"/>
    <x v="27"/>
    <n v="2022"/>
    <x v="2"/>
    <n v="356"/>
    <n v="227.2"/>
    <x v="0"/>
    <x v="4"/>
  </r>
  <r>
    <x v="227"/>
    <x v="27"/>
    <n v="2022"/>
    <x v="0"/>
    <n v="546"/>
    <n v="378.56"/>
    <x v="0"/>
    <x v="1"/>
  </r>
  <r>
    <x v="227"/>
    <x v="27"/>
    <n v="2022"/>
    <x v="5"/>
    <n v="609"/>
    <n v="422.24"/>
    <x v="0"/>
    <x v="1"/>
  </r>
  <r>
    <x v="227"/>
    <x v="27"/>
    <n v="2022"/>
    <x v="3"/>
    <n v="472.5"/>
    <n v="327.60000000000002"/>
    <x v="0"/>
    <x v="1"/>
  </r>
  <r>
    <x v="227"/>
    <x v="27"/>
    <n v="2022"/>
    <x v="1"/>
    <n v="787.5"/>
    <n v="546"/>
    <x v="0"/>
    <x v="1"/>
  </r>
  <r>
    <x v="227"/>
    <x v="27"/>
    <n v="2022"/>
    <x v="4"/>
    <n v="777"/>
    <n v="538.72"/>
    <x v="0"/>
    <x v="1"/>
  </r>
  <r>
    <x v="228"/>
    <x v="27"/>
    <n v="2022"/>
    <x v="1"/>
    <n v="10.8"/>
    <n v="-1.1200000000000001"/>
    <x v="0"/>
    <x v="0"/>
  </r>
  <r>
    <x v="229"/>
    <x v="27"/>
    <n v="2022"/>
    <x v="4"/>
    <n v="10.8"/>
    <n v="-1.1200000000000001"/>
    <x v="0"/>
    <x v="2"/>
  </r>
  <r>
    <x v="23"/>
    <x v="27"/>
    <n v="2022"/>
    <x v="2"/>
    <n v="364.5"/>
    <n v="280.32"/>
    <x v="0"/>
    <x v="5"/>
  </r>
  <r>
    <x v="24"/>
    <x v="27"/>
    <n v="2022"/>
    <x v="0"/>
    <n v="138"/>
    <n v="105.92"/>
    <x v="0"/>
    <x v="5"/>
  </r>
  <r>
    <x v="24"/>
    <x v="27"/>
    <n v="2022"/>
    <x v="5"/>
    <n v="115.5"/>
    <n v="87.44"/>
    <x v="0"/>
    <x v="5"/>
  </r>
  <r>
    <x v="24"/>
    <x v="27"/>
    <n v="2022"/>
    <x v="3"/>
    <n v="165"/>
    <n v="124.91"/>
    <x v="0"/>
    <x v="5"/>
  </r>
  <r>
    <x v="24"/>
    <x v="27"/>
    <n v="2022"/>
    <x v="1"/>
    <n v="181.5"/>
    <n v="137.4"/>
    <x v="0"/>
    <x v="5"/>
  </r>
  <r>
    <x v="24"/>
    <x v="27"/>
    <n v="2022"/>
    <x v="4"/>
    <n v="99"/>
    <n v="74.95"/>
    <x v="0"/>
    <x v="5"/>
  </r>
  <r>
    <x v="27"/>
    <x v="27"/>
    <n v="2022"/>
    <x v="2"/>
    <n v="29"/>
    <n v="21.24"/>
    <x v="0"/>
    <x v="2"/>
  </r>
  <r>
    <x v="80"/>
    <x v="27"/>
    <n v="2022"/>
    <x v="0"/>
    <n v="215.5"/>
    <n v="165.1"/>
    <x v="0"/>
    <x v="6"/>
  </r>
  <r>
    <x v="80"/>
    <x v="27"/>
    <n v="2022"/>
    <x v="5"/>
    <n v="368.5"/>
    <n v="283.23"/>
    <x v="0"/>
    <x v="6"/>
  </r>
  <r>
    <x v="80"/>
    <x v="27"/>
    <n v="2022"/>
    <x v="3"/>
    <n v="686.75"/>
    <n v="527.84"/>
    <x v="0"/>
    <x v="6"/>
  </r>
  <r>
    <x v="80"/>
    <x v="27"/>
    <n v="2022"/>
    <x v="1"/>
    <n v="452.25"/>
    <n v="347.61"/>
    <x v="0"/>
    <x v="6"/>
  </r>
  <r>
    <x v="80"/>
    <x v="27"/>
    <n v="2022"/>
    <x v="4"/>
    <n v="603"/>
    <n v="463.49"/>
    <x v="0"/>
    <x v="6"/>
  </r>
  <r>
    <x v="28"/>
    <x v="27"/>
    <n v="2022"/>
    <x v="0"/>
    <n v="10.8"/>
    <n v="6.67"/>
    <x v="0"/>
    <x v="7"/>
  </r>
  <r>
    <x v="29"/>
    <x v="27"/>
    <n v="2022"/>
    <x v="3"/>
    <n v="10.8"/>
    <n v="6.67"/>
    <x v="0"/>
    <x v="2"/>
  </r>
  <r>
    <x v="29"/>
    <x v="27"/>
    <n v="2022"/>
    <x v="1"/>
    <n v="10.8"/>
    <n v="6.67"/>
    <x v="0"/>
    <x v="2"/>
  </r>
  <r>
    <x v="29"/>
    <x v="27"/>
    <n v="2022"/>
    <x v="4"/>
    <n v="14"/>
    <n v="9.8699999999999992"/>
    <x v="0"/>
    <x v="2"/>
  </r>
  <r>
    <x v="32"/>
    <x v="27"/>
    <n v="2022"/>
    <x v="2"/>
    <n v="18.75"/>
    <n v="7.6"/>
    <x v="0"/>
    <x v="0"/>
  </r>
  <r>
    <x v="34"/>
    <x v="27"/>
    <n v="2022"/>
    <x v="1"/>
    <n v="125"/>
    <n v="58.83"/>
    <x v="0"/>
    <x v="4"/>
  </r>
  <r>
    <x v="36"/>
    <x v="27"/>
    <n v="2022"/>
    <x v="2"/>
    <n v="509.5"/>
    <n v="342.14"/>
    <x v="0"/>
    <x v="7"/>
  </r>
  <r>
    <x v="37"/>
    <x v="27"/>
    <n v="2022"/>
    <x v="0"/>
    <n v="693.5"/>
    <n v="454.41"/>
    <x v="0"/>
    <x v="3"/>
  </r>
  <r>
    <x v="37"/>
    <x v="27"/>
    <n v="2022"/>
    <x v="5"/>
    <n v="766.5"/>
    <n v="515.45000000000005"/>
    <x v="0"/>
    <x v="3"/>
  </r>
  <r>
    <x v="37"/>
    <x v="27"/>
    <n v="2022"/>
    <x v="3"/>
    <n v="730"/>
    <n v="490.9"/>
    <x v="0"/>
    <x v="3"/>
  </r>
  <r>
    <x v="37"/>
    <x v="27"/>
    <n v="2022"/>
    <x v="1"/>
    <n v="1058.5"/>
    <n v="711.82"/>
    <x v="0"/>
    <x v="3"/>
  </r>
  <r>
    <x v="37"/>
    <x v="27"/>
    <n v="2022"/>
    <x v="4"/>
    <n v="1168"/>
    <n v="785.46"/>
    <x v="0"/>
    <x v="3"/>
  </r>
  <r>
    <x v="38"/>
    <x v="27"/>
    <n v="2022"/>
    <x v="2"/>
    <n v="3729"/>
    <n v="2476.1999999999998"/>
    <x v="0"/>
    <x v="0"/>
  </r>
  <r>
    <x v="39"/>
    <x v="27"/>
    <n v="2022"/>
    <x v="0"/>
    <n v="3616"/>
    <n v="2480.65"/>
    <x v="0"/>
    <x v="5"/>
  </r>
  <r>
    <x v="39"/>
    <x v="27"/>
    <n v="2022"/>
    <x v="5"/>
    <n v="3280"/>
    <n v="2236"/>
    <x v="0"/>
    <x v="5"/>
  </r>
  <r>
    <x v="39"/>
    <x v="27"/>
    <n v="2022"/>
    <x v="3"/>
    <n v="3690"/>
    <n v="2515.5"/>
    <x v="0"/>
    <x v="5"/>
  </r>
  <r>
    <x v="39"/>
    <x v="27"/>
    <n v="2022"/>
    <x v="1"/>
    <n v="5586"/>
    <n v="3824.25"/>
    <x v="0"/>
    <x v="5"/>
  </r>
  <r>
    <x v="39"/>
    <x v="27"/>
    <n v="2022"/>
    <x v="4"/>
    <n v="3402"/>
    <n v="2344.9499999999998"/>
    <x v="0"/>
    <x v="5"/>
  </r>
  <r>
    <x v="41"/>
    <x v="27"/>
    <n v="2022"/>
    <x v="2"/>
    <n v="250"/>
    <n v="131.31"/>
    <x v="0"/>
    <x v="3"/>
  </r>
  <r>
    <x v="139"/>
    <x v="27"/>
    <n v="2022"/>
    <x v="0"/>
    <n v="320"/>
    <n v="201.48"/>
    <x v="0"/>
    <x v="4"/>
  </r>
  <r>
    <x v="139"/>
    <x v="27"/>
    <n v="2022"/>
    <x v="5"/>
    <n v="320"/>
    <n v="201.48"/>
    <x v="0"/>
    <x v="4"/>
  </r>
  <r>
    <x v="139"/>
    <x v="27"/>
    <n v="2022"/>
    <x v="3"/>
    <n v="320"/>
    <n v="201.48"/>
    <x v="0"/>
    <x v="4"/>
  </r>
  <r>
    <x v="139"/>
    <x v="27"/>
    <n v="2022"/>
    <x v="1"/>
    <n v="640"/>
    <n v="402.96"/>
    <x v="0"/>
    <x v="4"/>
  </r>
  <r>
    <x v="139"/>
    <x v="27"/>
    <n v="2022"/>
    <x v="4"/>
    <n v="320"/>
    <n v="201.48"/>
    <x v="0"/>
    <x v="4"/>
  </r>
  <r>
    <x v="107"/>
    <x v="27"/>
    <n v="2022"/>
    <x v="2"/>
    <n v="120.5"/>
    <n v="88.92"/>
    <x v="0"/>
    <x v="4"/>
  </r>
  <r>
    <x v="140"/>
    <x v="27"/>
    <n v="2022"/>
    <x v="0"/>
    <n v="42"/>
    <n v="10.42"/>
    <x v="0"/>
    <x v="7"/>
  </r>
  <r>
    <x v="140"/>
    <x v="27"/>
    <n v="2022"/>
    <x v="3"/>
    <n v="42"/>
    <n v="23.23"/>
    <x v="0"/>
    <x v="7"/>
  </r>
  <r>
    <x v="140"/>
    <x v="27"/>
    <n v="2022"/>
    <x v="4"/>
    <n v="42"/>
    <n v="23.58"/>
    <x v="0"/>
    <x v="7"/>
  </r>
  <r>
    <x v="141"/>
    <x v="27"/>
    <n v="2022"/>
    <x v="0"/>
    <n v="0"/>
    <n v="-14.2"/>
    <x v="0"/>
    <x v="6"/>
  </r>
  <r>
    <x v="166"/>
    <x v="27"/>
    <n v="2022"/>
    <x v="5"/>
    <n v="65"/>
    <n v="22.73"/>
    <x v="0"/>
    <x v="5"/>
  </r>
  <r>
    <x v="19"/>
    <x v="27"/>
    <n v="2022"/>
    <x v="0"/>
    <n v="0"/>
    <n v="-18.690000000000001"/>
    <x v="0"/>
    <x v="5"/>
  </r>
  <r>
    <x v="186"/>
    <x v="27"/>
    <n v="2022"/>
    <x v="2"/>
    <n v="515"/>
    <n v="328.04"/>
    <x v="0"/>
    <x v="0"/>
  </r>
  <r>
    <x v="187"/>
    <x v="27"/>
    <n v="2022"/>
    <x v="0"/>
    <n v="500"/>
    <n v="313.04000000000002"/>
    <x v="0"/>
    <x v="2"/>
  </r>
  <r>
    <x v="187"/>
    <x v="27"/>
    <n v="2022"/>
    <x v="5"/>
    <n v="500"/>
    <n v="313.04000000000002"/>
    <x v="0"/>
    <x v="2"/>
  </r>
  <r>
    <x v="187"/>
    <x v="27"/>
    <n v="2022"/>
    <x v="3"/>
    <n v="500"/>
    <n v="313.04000000000002"/>
    <x v="0"/>
    <x v="2"/>
  </r>
  <r>
    <x v="187"/>
    <x v="27"/>
    <n v="2022"/>
    <x v="1"/>
    <n v="500"/>
    <n v="313.04000000000002"/>
    <x v="0"/>
    <x v="2"/>
  </r>
  <r>
    <x v="187"/>
    <x v="27"/>
    <n v="2022"/>
    <x v="4"/>
    <n v="500"/>
    <n v="313.04000000000002"/>
    <x v="0"/>
    <x v="2"/>
  </r>
  <r>
    <x v="230"/>
    <x v="27"/>
    <n v="2022"/>
    <x v="0"/>
    <n v="185"/>
    <n v="123.36"/>
    <x v="0"/>
    <x v="7"/>
  </r>
  <r>
    <x v="231"/>
    <x v="27"/>
    <n v="2022"/>
    <x v="5"/>
    <n v="185"/>
    <n v="123.32"/>
    <x v="0"/>
    <x v="3"/>
  </r>
  <r>
    <x v="231"/>
    <x v="27"/>
    <n v="2022"/>
    <x v="3"/>
    <n v="370"/>
    <n v="246.64"/>
    <x v="0"/>
    <x v="3"/>
  </r>
  <r>
    <x v="231"/>
    <x v="27"/>
    <n v="2022"/>
    <x v="1"/>
    <n v="185"/>
    <n v="123.32"/>
    <x v="0"/>
    <x v="3"/>
  </r>
  <r>
    <x v="231"/>
    <x v="27"/>
    <n v="2022"/>
    <x v="4"/>
    <n v="185"/>
    <n v="123.32"/>
    <x v="0"/>
    <x v="3"/>
  </r>
  <r>
    <x v="146"/>
    <x v="27"/>
    <n v="2022"/>
    <x v="2"/>
    <n v="36"/>
    <n v="20.32"/>
    <x v="0"/>
    <x v="5"/>
  </r>
  <r>
    <x v="147"/>
    <x v="27"/>
    <n v="2022"/>
    <x v="0"/>
    <n v="26.25"/>
    <n v="10.57"/>
    <x v="0"/>
    <x v="1"/>
  </r>
  <r>
    <x v="147"/>
    <x v="27"/>
    <n v="2022"/>
    <x v="1"/>
    <n v="131.25"/>
    <n v="65.67"/>
    <x v="0"/>
    <x v="1"/>
  </r>
  <r>
    <x v="89"/>
    <x v="27"/>
    <n v="2022"/>
    <x v="0"/>
    <n v="0"/>
    <n v="-14.92"/>
    <x v="0"/>
    <x v="7"/>
  </r>
  <r>
    <x v="149"/>
    <x v="27"/>
    <n v="2022"/>
    <x v="1"/>
    <n v="49"/>
    <n v="19.16"/>
    <x v="0"/>
    <x v="5"/>
  </r>
  <r>
    <x v="149"/>
    <x v="27"/>
    <n v="2022"/>
    <x v="4"/>
    <n v="49"/>
    <n v="19.170000000000002"/>
    <x v="0"/>
    <x v="5"/>
  </r>
  <r>
    <x v="50"/>
    <x v="27"/>
    <n v="2022"/>
    <x v="2"/>
    <n v="34.5"/>
    <n v="22.72"/>
    <x v="0"/>
    <x v="4"/>
  </r>
  <r>
    <x v="112"/>
    <x v="27"/>
    <n v="2022"/>
    <x v="0"/>
    <n v="37.5"/>
    <n v="25.72"/>
    <x v="0"/>
    <x v="3"/>
  </r>
  <r>
    <x v="112"/>
    <x v="27"/>
    <n v="2022"/>
    <x v="5"/>
    <n v="112.5"/>
    <n v="77.16"/>
    <x v="0"/>
    <x v="3"/>
  </r>
  <r>
    <x v="112"/>
    <x v="27"/>
    <n v="2022"/>
    <x v="3"/>
    <n v="37.5"/>
    <n v="25.72"/>
    <x v="0"/>
    <x v="3"/>
  </r>
  <r>
    <x v="112"/>
    <x v="27"/>
    <n v="2022"/>
    <x v="4"/>
    <n v="18.75"/>
    <n v="12.86"/>
    <x v="0"/>
    <x v="3"/>
  </r>
  <r>
    <x v="223"/>
    <x v="27"/>
    <n v="2022"/>
    <x v="3"/>
    <n v="52.5"/>
    <n v="36.82"/>
    <x v="0"/>
    <x v="3"/>
  </r>
  <r>
    <x v="113"/>
    <x v="27"/>
    <n v="2022"/>
    <x v="1"/>
    <n v="298.5"/>
    <n v="154.1"/>
    <x v="0"/>
    <x v="4"/>
  </r>
  <r>
    <x v="171"/>
    <x v="27"/>
    <n v="2022"/>
    <x v="4"/>
    <n v="153"/>
    <n v="71.67"/>
    <x v="0"/>
    <x v="7"/>
  </r>
  <r>
    <x v="91"/>
    <x v="27"/>
    <n v="2022"/>
    <x v="2"/>
    <n v="45"/>
    <n v="26.49"/>
    <x v="0"/>
    <x v="3"/>
  </r>
  <r>
    <x v="115"/>
    <x v="27"/>
    <n v="2022"/>
    <x v="0"/>
    <n v="67.5"/>
    <n v="30.46"/>
    <x v="0"/>
    <x v="3"/>
  </r>
  <r>
    <x v="115"/>
    <x v="27"/>
    <n v="2022"/>
    <x v="5"/>
    <n v="90"/>
    <n v="47.19"/>
    <x v="0"/>
    <x v="3"/>
  </r>
  <r>
    <x v="115"/>
    <x v="27"/>
    <n v="2022"/>
    <x v="1"/>
    <n v="112.5"/>
    <n v="63.82"/>
    <x v="0"/>
    <x v="3"/>
  </r>
  <r>
    <x v="115"/>
    <x v="27"/>
    <n v="2022"/>
    <x v="4"/>
    <n v="225"/>
    <n v="130.12"/>
    <x v="0"/>
    <x v="3"/>
  </r>
  <r>
    <x v="47"/>
    <x v="27"/>
    <n v="2022"/>
    <x v="2"/>
    <n v="3258"/>
    <n v="2401.12"/>
    <x v="0"/>
    <x v="4"/>
  </r>
  <r>
    <x v="232"/>
    <x v="27"/>
    <n v="2022"/>
    <x v="0"/>
    <n v="2358"/>
    <n v="1756.04"/>
    <x v="0"/>
    <x v="4"/>
  </r>
  <r>
    <x v="232"/>
    <x v="27"/>
    <n v="2022"/>
    <x v="5"/>
    <n v="3024"/>
    <n v="2243.08"/>
    <x v="0"/>
    <x v="4"/>
  </r>
  <r>
    <x v="232"/>
    <x v="27"/>
    <n v="2022"/>
    <x v="3"/>
    <n v="2541"/>
    <n v="1884.81"/>
    <x v="0"/>
    <x v="4"/>
  </r>
  <r>
    <x v="232"/>
    <x v="27"/>
    <n v="2022"/>
    <x v="1"/>
    <n v="4284"/>
    <n v="3177.71"/>
    <x v="0"/>
    <x v="4"/>
  </r>
  <r>
    <x v="232"/>
    <x v="27"/>
    <n v="2022"/>
    <x v="4"/>
    <n v="4011"/>
    <n v="2975.22"/>
    <x v="0"/>
    <x v="4"/>
  </r>
  <r>
    <x v="58"/>
    <x v="27"/>
    <n v="2022"/>
    <x v="2"/>
    <n v="2797.5"/>
    <n v="463.71"/>
    <x v="0"/>
    <x v="5"/>
  </r>
  <r>
    <x v="59"/>
    <x v="27"/>
    <n v="2022"/>
    <x v="0"/>
    <n v="2395"/>
    <n v="817.9"/>
    <x v="0"/>
    <x v="2"/>
  </r>
  <r>
    <x v="59"/>
    <x v="27"/>
    <n v="2022"/>
    <x v="5"/>
    <n v="2592.5"/>
    <n v="823.5"/>
    <x v="0"/>
    <x v="2"/>
  </r>
  <r>
    <x v="59"/>
    <x v="27"/>
    <n v="2022"/>
    <x v="3"/>
    <n v="2762.5"/>
    <n v="1037.27"/>
    <x v="0"/>
    <x v="2"/>
  </r>
  <r>
    <x v="59"/>
    <x v="27"/>
    <n v="2022"/>
    <x v="1"/>
    <n v="3485"/>
    <n v="1239.5"/>
    <x v="0"/>
    <x v="2"/>
  </r>
  <r>
    <x v="59"/>
    <x v="27"/>
    <n v="2022"/>
    <x v="4"/>
    <n v="3200"/>
    <n v="1343"/>
    <x v="0"/>
    <x v="2"/>
  </r>
  <r>
    <x v="64"/>
    <x v="27"/>
    <n v="2022"/>
    <x v="3"/>
    <n v="99.5"/>
    <n v="48.23"/>
    <x v="0"/>
    <x v="3"/>
  </r>
  <r>
    <x v="233"/>
    <x v="27"/>
    <n v="2022"/>
    <x v="1"/>
    <n v="0"/>
    <n v="0"/>
    <x v="0"/>
    <x v="5"/>
  </r>
  <r>
    <x v="162"/>
    <x v="27"/>
    <n v="2022"/>
    <x v="5"/>
    <n v="728"/>
    <n v="564.71"/>
    <x v="0"/>
    <x v="1"/>
  </r>
  <r>
    <x v="38"/>
    <x v="28"/>
    <n v="2022"/>
    <x v="2"/>
    <n v="640"/>
    <n v="379"/>
    <x v="1"/>
    <x v="0"/>
  </r>
  <r>
    <x v="39"/>
    <x v="28"/>
    <n v="2022"/>
    <x v="0"/>
    <n v="800"/>
    <n v="473.75"/>
    <x v="1"/>
    <x v="5"/>
  </r>
  <r>
    <x v="39"/>
    <x v="28"/>
    <n v="2022"/>
    <x v="5"/>
    <n v="720"/>
    <n v="426.37"/>
    <x v="1"/>
    <x v="5"/>
  </r>
  <r>
    <x v="39"/>
    <x v="28"/>
    <n v="2022"/>
    <x v="3"/>
    <n v="800"/>
    <n v="473.74"/>
    <x v="1"/>
    <x v="5"/>
  </r>
  <r>
    <x v="39"/>
    <x v="28"/>
    <n v="2022"/>
    <x v="1"/>
    <n v="640"/>
    <n v="379"/>
    <x v="1"/>
    <x v="5"/>
  </r>
  <r>
    <x v="39"/>
    <x v="28"/>
    <n v="2022"/>
    <x v="4"/>
    <n v="880"/>
    <n v="521.12"/>
    <x v="1"/>
    <x v="5"/>
  </r>
  <r>
    <x v="18"/>
    <x v="29"/>
    <n v="2022"/>
    <x v="2"/>
    <n v="325.5"/>
    <n v="152.33000000000001"/>
    <x v="5"/>
    <x v="0"/>
  </r>
  <r>
    <x v="57"/>
    <x v="29"/>
    <n v="2022"/>
    <x v="0"/>
    <n v="210.5"/>
    <n v="110.25"/>
    <x v="5"/>
    <x v="6"/>
  </r>
  <r>
    <x v="57"/>
    <x v="29"/>
    <n v="2022"/>
    <x v="5"/>
    <n v="192.5"/>
    <n v="92.24"/>
    <x v="5"/>
    <x v="6"/>
  </r>
  <r>
    <x v="57"/>
    <x v="29"/>
    <n v="2022"/>
    <x v="3"/>
    <n v="237"/>
    <n v="127.63"/>
    <x v="5"/>
    <x v="6"/>
  </r>
  <r>
    <x v="57"/>
    <x v="29"/>
    <n v="2022"/>
    <x v="1"/>
    <n v="335.75"/>
    <n v="180.81"/>
    <x v="5"/>
    <x v="6"/>
  </r>
  <r>
    <x v="57"/>
    <x v="29"/>
    <n v="2022"/>
    <x v="4"/>
    <n v="59.25"/>
    <n v="31.91"/>
    <x v="5"/>
    <x v="6"/>
  </r>
  <r>
    <x v="190"/>
    <x v="30"/>
    <n v="2022"/>
    <x v="1"/>
    <n v="130.80000000000001"/>
    <n v="40.26"/>
    <x v="1"/>
    <x v="6"/>
  </r>
  <r>
    <x v="90"/>
    <x v="30"/>
    <n v="2022"/>
    <x v="2"/>
    <n v="2650"/>
    <n v="1716.75"/>
    <x v="1"/>
    <x v="0"/>
  </r>
  <r>
    <x v="234"/>
    <x v="30"/>
    <n v="2022"/>
    <x v="0"/>
    <n v="2695"/>
    <n v="1761.75"/>
    <x v="1"/>
    <x v="0"/>
  </r>
  <r>
    <x v="234"/>
    <x v="30"/>
    <n v="2022"/>
    <x v="5"/>
    <n v="1740"/>
    <n v="1180.05"/>
    <x v="1"/>
    <x v="0"/>
  </r>
  <r>
    <x v="234"/>
    <x v="30"/>
    <n v="2022"/>
    <x v="3"/>
    <n v="3480"/>
    <n v="2360.1"/>
    <x v="1"/>
    <x v="0"/>
  </r>
  <r>
    <x v="234"/>
    <x v="30"/>
    <n v="2022"/>
    <x v="1"/>
    <n v="3596"/>
    <n v="2438.77"/>
    <x v="1"/>
    <x v="0"/>
  </r>
  <r>
    <x v="234"/>
    <x v="30"/>
    <n v="2022"/>
    <x v="4"/>
    <n v="3132"/>
    <n v="2124.0700000000002"/>
    <x v="1"/>
    <x v="0"/>
  </r>
  <r>
    <x v="53"/>
    <x v="31"/>
    <n v="2022"/>
    <x v="2"/>
    <n v="2041.25"/>
    <n v="268.43"/>
    <x v="4"/>
    <x v="3"/>
  </r>
  <r>
    <x v="54"/>
    <x v="31"/>
    <n v="2022"/>
    <x v="0"/>
    <n v="2100"/>
    <n v="511.31"/>
    <x v="4"/>
    <x v="2"/>
  </r>
  <r>
    <x v="54"/>
    <x v="31"/>
    <n v="2022"/>
    <x v="5"/>
    <n v="3360"/>
    <n v="911.24"/>
    <x v="4"/>
    <x v="2"/>
  </r>
  <r>
    <x v="54"/>
    <x v="31"/>
    <n v="2022"/>
    <x v="1"/>
    <n v="100"/>
    <n v="23.42"/>
    <x v="4"/>
    <x v="2"/>
  </r>
  <r>
    <x v="235"/>
    <x v="31"/>
    <n v="2022"/>
    <x v="2"/>
    <n v="60"/>
    <n v="27.85"/>
    <x v="4"/>
    <x v="6"/>
  </r>
  <r>
    <x v="236"/>
    <x v="31"/>
    <n v="2022"/>
    <x v="0"/>
    <n v="30"/>
    <n v="14.02"/>
    <x v="4"/>
    <x v="3"/>
  </r>
  <r>
    <x v="236"/>
    <x v="31"/>
    <n v="2022"/>
    <x v="5"/>
    <n v="60"/>
    <n v="28.04"/>
    <x v="4"/>
    <x v="3"/>
  </r>
  <r>
    <x v="236"/>
    <x v="31"/>
    <n v="2022"/>
    <x v="1"/>
    <n v="30"/>
    <n v="14.03"/>
    <x v="4"/>
    <x v="3"/>
  </r>
  <r>
    <x v="162"/>
    <x v="31"/>
    <n v="2022"/>
    <x v="2"/>
    <n v="41"/>
    <n v="9.42"/>
    <x v="4"/>
    <x v="1"/>
  </r>
  <r>
    <x v="237"/>
    <x v="31"/>
    <n v="2022"/>
    <x v="0"/>
    <n v="82"/>
    <n v="26.77"/>
    <x v="4"/>
    <x v="1"/>
  </r>
  <r>
    <x v="237"/>
    <x v="31"/>
    <n v="2022"/>
    <x v="1"/>
    <n v="205"/>
    <n v="134.91"/>
    <x v="4"/>
    <x v="1"/>
  </r>
  <r>
    <x v="90"/>
    <x v="32"/>
    <n v="2022"/>
    <x v="2"/>
    <n v="520"/>
    <n v="333.35"/>
    <x v="1"/>
    <x v="0"/>
  </r>
  <r>
    <x v="234"/>
    <x v="32"/>
    <n v="2022"/>
    <x v="5"/>
    <n v="832"/>
    <n v="533.36"/>
    <x v="1"/>
    <x v="0"/>
  </r>
  <r>
    <x v="7"/>
    <x v="33"/>
    <n v="2022"/>
    <x v="2"/>
    <n v="44.55"/>
    <n v="16.309999999999999"/>
    <x v="5"/>
    <x v="4"/>
  </r>
  <r>
    <x v="238"/>
    <x v="33"/>
    <n v="2022"/>
    <x v="2"/>
    <n v="252.4"/>
    <n v="121.29"/>
    <x v="5"/>
    <x v="5"/>
  </r>
  <r>
    <x v="239"/>
    <x v="33"/>
    <n v="2022"/>
    <x v="0"/>
    <n v="76.099999999999994"/>
    <n v="38.64"/>
    <x v="5"/>
    <x v="1"/>
  </r>
  <r>
    <x v="240"/>
    <x v="33"/>
    <n v="2022"/>
    <x v="2"/>
    <n v="210"/>
    <n v="111.79"/>
    <x v="5"/>
    <x v="4"/>
  </r>
  <r>
    <x v="88"/>
    <x v="33"/>
    <n v="2022"/>
    <x v="0"/>
    <n v="67"/>
    <n v="38.94"/>
    <x v="5"/>
    <x v="4"/>
  </r>
  <r>
    <x v="102"/>
    <x v="33"/>
    <n v="2022"/>
    <x v="2"/>
    <n v="425.25"/>
    <n v="282.83999999999997"/>
    <x v="5"/>
    <x v="0"/>
  </r>
  <r>
    <x v="73"/>
    <x v="33"/>
    <n v="2022"/>
    <x v="0"/>
    <n v="101.25"/>
    <n v="60.81"/>
    <x v="5"/>
    <x v="0"/>
  </r>
  <r>
    <x v="103"/>
    <x v="33"/>
    <n v="2022"/>
    <x v="2"/>
    <n v="405.75"/>
    <n v="144.02000000000001"/>
    <x v="5"/>
    <x v="5"/>
  </r>
  <r>
    <x v="104"/>
    <x v="33"/>
    <n v="2022"/>
    <x v="0"/>
    <n v="87"/>
    <n v="12.22"/>
    <x v="5"/>
    <x v="7"/>
  </r>
  <r>
    <x v="70"/>
    <x v="33"/>
    <n v="2022"/>
    <x v="2"/>
    <n v="19.5"/>
    <n v="16.39"/>
    <x v="5"/>
    <x v="5"/>
  </r>
  <r>
    <x v="60"/>
    <x v="33"/>
    <n v="2022"/>
    <x v="2"/>
    <n v="25.85"/>
    <n v="15.97"/>
    <x v="5"/>
    <x v="3"/>
  </r>
  <r>
    <x v="72"/>
    <x v="33"/>
    <n v="2022"/>
    <x v="2"/>
    <n v="39.6"/>
    <n v="20.87"/>
    <x v="5"/>
    <x v="6"/>
  </r>
  <r>
    <x v="241"/>
    <x v="34"/>
    <n v="2022"/>
    <x v="5"/>
    <n v="87.5"/>
    <n v="56.14"/>
    <x v="0"/>
    <x v="2"/>
  </r>
  <r>
    <x v="242"/>
    <x v="34"/>
    <n v="2022"/>
    <x v="3"/>
    <n v="25"/>
    <n v="16.04"/>
    <x v="0"/>
    <x v="6"/>
  </r>
  <r>
    <x v="243"/>
    <x v="34"/>
    <n v="2022"/>
    <x v="5"/>
    <n v="125"/>
    <n v="69.8"/>
    <x v="0"/>
    <x v="1"/>
  </r>
  <r>
    <x v="244"/>
    <x v="34"/>
    <n v="2022"/>
    <x v="3"/>
    <n v="62.5"/>
    <n v="34.9"/>
    <x v="0"/>
    <x v="7"/>
  </r>
  <r>
    <x v="245"/>
    <x v="34"/>
    <n v="2022"/>
    <x v="5"/>
    <n v="97.44"/>
    <n v="73.569999999999993"/>
    <x v="0"/>
    <x v="4"/>
  </r>
  <r>
    <x v="246"/>
    <x v="34"/>
    <n v="2022"/>
    <x v="3"/>
    <n v="69.599999999999994"/>
    <n v="52.55"/>
    <x v="0"/>
    <x v="5"/>
  </r>
  <r>
    <x v="198"/>
    <x v="34"/>
    <n v="2022"/>
    <x v="0"/>
    <n v="56.5"/>
    <n v="38.549999999999997"/>
    <x v="0"/>
    <x v="1"/>
  </r>
  <r>
    <x v="247"/>
    <x v="34"/>
    <n v="2022"/>
    <x v="5"/>
    <n v="113"/>
    <n v="77.2"/>
    <x v="0"/>
    <x v="1"/>
  </r>
  <r>
    <x v="247"/>
    <x v="34"/>
    <n v="2022"/>
    <x v="3"/>
    <n v="56.5"/>
    <n v="38.64"/>
    <x v="0"/>
    <x v="1"/>
  </r>
  <r>
    <x v="28"/>
    <x v="34"/>
    <n v="2022"/>
    <x v="0"/>
    <n v="103.25"/>
    <n v="74.319999999999993"/>
    <x v="0"/>
    <x v="7"/>
  </r>
  <r>
    <x v="29"/>
    <x v="34"/>
    <n v="2022"/>
    <x v="5"/>
    <n v="44.25"/>
    <n v="31.85"/>
    <x v="0"/>
    <x v="2"/>
  </r>
  <r>
    <x v="248"/>
    <x v="34"/>
    <n v="2022"/>
    <x v="5"/>
    <n v="68.75"/>
    <n v="39.950000000000003"/>
    <x v="0"/>
    <x v="7"/>
  </r>
  <r>
    <x v="249"/>
    <x v="34"/>
    <n v="2022"/>
    <x v="3"/>
    <n v="27.5"/>
    <n v="15.98"/>
    <x v="0"/>
    <x v="0"/>
  </r>
  <r>
    <x v="5"/>
    <x v="34"/>
    <n v="2022"/>
    <x v="5"/>
    <n v="74.28"/>
    <n v="38.43"/>
    <x v="0"/>
    <x v="2"/>
  </r>
  <r>
    <x v="250"/>
    <x v="34"/>
    <n v="2022"/>
    <x v="3"/>
    <n v="24.76"/>
    <n v="12.81"/>
    <x v="0"/>
    <x v="7"/>
  </r>
  <r>
    <x v="251"/>
    <x v="34"/>
    <n v="2022"/>
    <x v="5"/>
    <n v="86.66"/>
    <n v="18.239999999999998"/>
    <x v="0"/>
    <x v="7"/>
  </r>
  <r>
    <x v="252"/>
    <x v="34"/>
    <n v="2022"/>
    <x v="3"/>
    <n v="24.76"/>
    <n v="5.16"/>
    <x v="0"/>
    <x v="5"/>
  </r>
  <r>
    <x v="253"/>
    <x v="34"/>
    <n v="2022"/>
    <x v="5"/>
    <n v="92.4"/>
    <n v="53.79"/>
    <x v="0"/>
    <x v="7"/>
  </r>
  <r>
    <x v="254"/>
    <x v="34"/>
    <n v="2022"/>
    <x v="3"/>
    <n v="52.8"/>
    <n v="30.73"/>
    <x v="0"/>
    <x v="1"/>
  </r>
  <r>
    <x v="30"/>
    <x v="34"/>
    <n v="2022"/>
    <x v="0"/>
    <n v="79.5"/>
    <n v="48.48"/>
    <x v="0"/>
    <x v="3"/>
  </r>
  <r>
    <x v="255"/>
    <x v="34"/>
    <n v="2022"/>
    <x v="5"/>
    <n v="132.5"/>
    <n v="80.81"/>
    <x v="0"/>
    <x v="1"/>
  </r>
  <r>
    <x v="255"/>
    <x v="34"/>
    <n v="2022"/>
    <x v="3"/>
    <n v="26.5"/>
    <n v="16.16"/>
    <x v="0"/>
    <x v="1"/>
  </r>
  <r>
    <x v="255"/>
    <x v="34"/>
    <n v="2022"/>
    <x v="1"/>
    <n v="26.5"/>
    <n v="16.16"/>
    <x v="0"/>
    <x v="1"/>
  </r>
  <r>
    <x v="31"/>
    <x v="34"/>
    <n v="2022"/>
    <x v="0"/>
    <n v="185.5"/>
    <n v="116.06"/>
    <x v="0"/>
    <x v="4"/>
  </r>
  <r>
    <x v="256"/>
    <x v="34"/>
    <n v="2022"/>
    <x v="5"/>
    <n v="106"/>
    <n v="66.319999999999993"/>
    <x v="0"/>
    <x v="2"/>
  </r>
  <r>
    <x v="256"/>
    <x v="34"/>
    <n v="2022"/>
    <x v="3"/>
    <n v="53"/>
    <n v="33.159999999999997"/>
    <x v="0"/>
    <x v="2"/>
  </r>
  <r>
    <x v="256"/>
    <x v="34"/>
    <n v="2022"/>
    <x v="1"/>
    <n v="26.5"/>
    <n v="16.579999999999998"/>
    <x v="0"/>
    <x v="2"/>
  </r>
  <r>
    <x v="32"/>
    <x v="34"/>
    <n v="2022"/>
    <x v="0"/>
    <n v="79.5"/>
    <n v="46.05"/>
    <x v="0"/>
    <x v="0"/>
  </r>
  <r>
    <x v="33"/>
    <x v="34"/>
    <n v="2022"/>
    <x v="5"/>
    <n v="132.5"/>
    <n v="76.760000000000005"/>
    <x v="0"/>
    <x v="6"/>
  </r>
  <r>
    <x v="33"/>
    <x v="34"/>
    <n v="2022"/>
    <x v="3"/>
    <n v="26.5"/>
    <n v="15.35"/>
    <x v="0"/>
    <x v="6"/>
  </r>
  <r>
    <x v="240"/>
    <x v="34"/>
    <n v="2022"/>
    <x v="0"/>
    <n v="243.75"/>
    <n v="152.6"/>
    <x v="0"/>
    <x v="4"/>
  </r>
  <r>
    <x v="88"/>
    <x v="34"/>
    <n v="2022"/>
    <x v="5"/>
    <n v="243.75"/>
    <n v="152.59"/>
    <x v="0"/>
    <x v="4"/>
  </r>
  <r>
    <x v="88"/>
    <x v="34"/>
    <n v="2022"/>
    <x v="3"/>
    <n v="206.25"/>
    <n v="129.12"/>
    <x v="0"/>
    <x v="4"/>
  </r>
  <r>
    <x v="88"/>
    <x v="34"/>
    <n v="2022"/>
    <x v="1"/>
    <n v="37.5"/>
    <n v="11.74"/>
    <x v="0"/>
    <x v="4"/>
  </r>
  <r>
    <x v="88"/>
    <x v="34"/>
    <n v="2022"/>
    <x v="4"/>
    <n v="18.75"/>
    <n v="11.74"/>
    <x v="0"/>
    <x v="4"/>
  </r>
  <r>
    <x v="102"/>
    <x v="34"/>
    <n v="2022"/>
    <x v="0"/>
    <n v="741"/>
    <n v="556.70000000000005"/>
    <x v="0"/>
    <x v="0"/>
  </r>
  <r>
    <x v="73"/>
    <x v="34"/>
    <n v="2022"/>
    <x v="5"/>
    <n v="1282.5"/>
    <n v="979.2"/>
    <x v="0"/>
    <x v="0"/>
  </r>
  <r>
    <x v="73"/>
    <x v="34"/>
    <n v="2022"/>
    <x v="3"/>
    <n v="427.5"/>
    <n v="326.39999999999998"/>
    <x v="0"/>
    <x v="0"/>
  </r>
  <r>
    <x v="73"/>
    <x v="34"/>
    <n v="2022"/>
    <x v="1"/>
    <n v="741"/>
    <n v="544"/>
    <x v="0"/>
    <x v="0"/>
  </r>
  <r>
    <x v="73"/>
    <x v="34"/>
    <n v="2022"/>
    <x v="4"/>
    <n v="370.5"/>
    <n v="282.88"/>
    <x v="0"/>
    <x v="0"/>
  </r>
  <r>
    <x v="103"/>
    <x v="34"/>
    <n v="2022"/>
    <x v="0"/>
    <n v="140"/>
    <n v="77.3"/>
    <x v="0"/>
    <x v="5"/>
  </r>
  <r>
    <x v="104"/>
    <x v="34"/>
    <n v="2022"/>
    <x v="5"/>
    <n v="350"/>
    <n v="225.37"/>
    <x v="0"/>
    <x v="7"/>
  </r>
  <r>
    <x v="104"/>
    <x v="34"/>
    <n v="2022"/>
    <x v="3"/>
    <n v="70"/>
    <n v="45.07"/>
    <x v="0"/>
    <x v="7"/>
  </r>
  <r>
    <x v="104"/>
    <x v="34"/>
    <n v="2022"/>
    <x v="1"/>
    <n v="105"/>
    <n v="67.62"/>
    <x v="0"/>
    <x v="7"/>
  </r>
  <r>
    <x v="104"/>
    <x v="34"/>
    <n v="2022"/>
    <x v="4"/>
    <n v="35"/>
    <n v="22.54"/>
    <x v="0"/>
    <x v="7"/>
  </r>
  <r>
    <x v="66"/>
    <x v="34"/>
    <n v="2022"/>
    <x v="0"/>
    <n v="43.5"/>
    <n v="27.53"/>
    <x v="0"/>
    <x v="0"/>
  </r>
  <r>
    <x v="68"/>
    <x v="34"/>
    <n v="2022"/>
    <x v="0"/>
    <n v="79.2"/>
    <n v="64.489999999999995"/>
    <x v="0"/>
    <x v="4"/>
  </r>
  <r>
    <x v="69"/>
    <x v="34"/>
    <n v="2022"/>
    <x v="3"/>
    <n v="13.2"/>
    <n v="10.75"/>
    <x v="0"/>
    <x v="7"/>
  </r>
  <r>
    <x v="70"/>
    <x v="34"/>
    <n v="2022"/>
    <x v="0"/>
    <n v="120"/>
    <n v="95.07"/>
    <x v="0"/>
    <x v="5"/>
  </r>
  <r>
    <x v="71"/>
    <x v="34"/>
    <n v="2022"/>
    <x v="5"/>
    <n v="60"/>
    <n v="47.53"/>
    <x v="0"/>
    <x v="0"/>
  </r>
  <r>
    <x v="71"/>
    <x v="34"/>
    <n v="2022"/>
    <x v="3"/>
    <n v="30"/>
    <n v="23.76"/>
    <x v="0"/>
    <x v="0"/>
  </r>
  <r>
    <x v="257"/>
    <x v="34"/>
    <n v="2022"/>
    <x v="0"/>
    <n v="102"/>
    <n v="28.9"/>
    <x v="0"/>
    <x v="3"/>
  </r>
  <r>
    <x v="258"/>
    <x v="34"/>
    <n v="2022"/>
    <x v="5"/>
    <n v="25.5"/>
    <n v="7.17"/>
    <x v="0"/>
    <x v="7"/>
  </r>
  <r>
    <x v="258"/>
    <x v="34"/>
    <n v="2022"/>
    <x v="3"/>
    <n v="25.5"/>
    <n v="7.17"/>
    <x v="0"/>
    <x v="7"/>
  </r>
  <r>
    <x v="72"/>
    <x v="34"/>
    <n v="2022"/>
    <x v="0"/>
    <n v="240"/>
    <n v="127.61"/>
    <x v="0"/>
    <x v="6"/>
  </r>
  <r>
    <x v="73"/>
    <x v="34"/>
    <n v="2022"/>
    <x v="5"/>
    <n v="40"/>
    <n v="21.27"/>
    <x v="0"/>
    <x v="0"/>
  </r>
  <r>
    <x v="259"/>
    <x v="34"/>
    <n v="2022"/>
    <x v="0"/>
    <n v="355"/>
    <n v="186.6"/>
    <x v="0"/>
    <x v="1"/>
  </r>
  <r>
    <x v="216"/>
    <x v="34"/>
    <n v="2022"/>
    <x v="5"/>
    <n v="177.5"/>
    <n v="93.3"/>
    <x v="0"/>
    <x v="6"/>
  </r>
  <r>
    <x v="216"/>
    <x v="34"/>
    <n v="2022"/>
    <x v="3"/>
    <n v="88.75"/>
    <n v="46.65"/>
    <x v="0"/>
    <x v="6"/>
  </r>
  <r>
    <x v="63"/>
    <x v="34"/>
    <n v="2022"/>
    <x v="0"/>
    <n v="135"/>
    <n v="51.14"/>
    <x v="0"/>
    <x v="7"/>
  </r>
  <r>
    <x v="64"/>
    <x v="34"/>
    <n v="2022"/>
    <x v="5"/>
    <n v="90"/>
    <n v="34.1"/>
    <x v="0"/>
    <x v="3"/>
  </r>
  <r>
    <x v="64"/>
    <x v="34"/>
    <n v="2022"/>
    <x v="3"/>
    <n v="22.5"/>
    <n v="8.52"/>
    <x v="0"/>
    <x v="3"/>
  </r>
  <r>
    <x v="64"/>
    <x v="34"/>
    <n v="2022"/>
    <x v="1"/>
    <n v="22.5"/>
    <n v="8.52"/>
    <x v="0"/>
    <x v="3"/>
  </r>
  <r>
    <x v="28"/>
    <x v="35"/>
    <n v="2022"/>
    <x v="2"/>
    <n v="66.3"/>
    <n v="41.52"/>
    <x v="1"/>
    <x v="7"/>
  </r>
  <r>
    <x v="29"/>
    <x v="35"/>
    <n v="2022"/>
    <x v="0"/>
    <n v="34.5"/>
    <n v="22.11"/>
    <x v="1"/>
    <x v="2"/>
  </r>
  <r>
    <x v="29"/>
    <x v="35"/>
    <n v="2022"/>
    <x v="5"/>
    <n v="43.38"/>
    <n v="26.86"/>
    <x v="1"/>
    <x v="2"/>
  </r>
  <r>
    <x v="29"/>
    <x v="35"/>
    <n v="2022"/>
    <x v="3"/>
    <n v="31.5"/>
    <n v="19.11"/>
    <x v="1"/>
    <x v="2"/>
  </r>
  <r>
    <x v="29"/>
    <x v="35"/>
    <n v="2022"/>
    <x v="1"/>
    <n v="63"/>
    <n v="38.22"/>
    <x v="1"/>
    <x v="2"/>
  </r>
  <r>
    <x v="29"/>
    <x v="35"/>
    <n v="2022"/>
    <x v="4"/>
    <n v="21"/>
    <n v="12.74"/>
    <x v="1"/>
    <x v="2"/>
  </r>
  <r>
    <x v="84"/>
    <x v="35"/>
    <n v="2022"/>
    <x v="2"/>
    <n v="322.5"/>
    <n v="139.96"/>
    <x v="1"/>
    <x v="3"/>
  </r>
  <r>
    <x v="260"/>
    <x v="35"/>
    <n v="2022"/>
    <x v="0"/>
    <n v="225.75"/>
    <n v="122.43"/>
    <x v="1"/>
    <x v="3"/>
  </r>
  <r>
    <x v="260"/>
    <x v="35"/>
    <n v="2022"/>
    <x v="5"/>
    <n v="247.25"/>
    <n v="134.09"/>
    <x v="1"/>
    <x v="3"/>
  </r>
  <r>
    <x v="260"/>
    <x v="35"/>
    <n v="2022"/>
    <x v="3"/>
    <n v="182.75"/>
    <n v="85.38"/>
    <x v="1"/>
    <x v="3"/>
  </r>
  <r>
    <x v="260"/>
    <x v="35"/>
    <n v="2022"/>
    <x v="1"/>
    <n v="204.25"/>
    <n v="110.77"/>
    <x v="1"/>
    <x v="3"/>
  </r>
  <r>
    <x v="260"/>
    <x v="35"/>
    <n v="2022"/>
    <x v="4"/>
    <n v="204.25"/>
    <n v="110.77"/>
    <x v="1"/>
    <x v="3"/>
  </r>
  <r>
    <x v="248"/>
    <x v="35"/>
    <n v="2022"/>
    <x v="1"/>
    <n v="27.5"/>
    <n v="15.98"/>
    <x v="1"/>
    <x v="7"/>
  </r>
  <r>
    <x v="5"/>
    <x v="35"/>
    <n v="2022"/>
    <x v="2"/>
    <n v="282.75"/>
    <n v="109.46"/>
    <x v="1"/>
    <x v="2"/>
  </r>
  <r>
    <x v="250"/>
    <x v="35"/>
    <n v="2022"/>
    <x v="0"/>
    <n v="252.75"/>
    <n v="121.27"/>
    <x v="1"/>
    <x v="7"/>
  </r>
  <r>
    <x v="250"/>
    <x v="35"/>
    <n v="2022"/>
    <x v="5"/>
    <n v="221.25"/>
    <n v="89.78"/>
    <x v="1"/>
    <x v="7"/>
  </r>
  <r>
    <x v="250"/>
    <x v="35"/>
    <n v="2022"/>
    <x v="3"/>
    <n v="195"/>
    <n v="75.489999999999995"/>
    <x v="1"/>
    <x v="7"/>
  </r>
  <r>
    <x v="250"/>
    <x v="35"/>
    <n v="2022"/>
    <x v="1"/>
    <n v="202.13"/>
    <n v="82.62"/>
    <x v="1"/>
    <x v="7"/>
  </r>
  <r>
    <x v="250"/>
    <x v="35"/>
    <n v="2022"/>
    <x v="4"/>
    <n v="175.5"/>
    <n v="67.930000000000007"/>
    <x v="1"/>
    <x v="7"/>
  </r>
  <r>
    <x v="261"/>
    <x v="35"/>
    <n v="2022"/>
    <x v="2"/>
    <n v="320"/>
    <n v="137.29"/>
    <x v="1"/>
    <x v="5"/>
  </r>
  <r>
    <x v="262"/>
    <x v="35"/>
    <n v="2022"/>
    <x v="0"/>
    <n v="304.5"/>
    <n v="149.19"/>
    <x v="1"/>
    <x v="5"/>
  </r>
  <r>
    <x v="262"/>
    <x v="35"/>
    <n v="2022"/>
    <x v="5"/>
    <n v="261"/>
    <n v="114.82"/>
    <x v="1"/>
    <x v="5"/>
  </r>
  <r>
    <x v="262"/>
    <x v="35"/>
    <n v="2022"/>
    <x v="3"/>
    <n v="256"/>
    <n v="109.83"/>
    <x v="1"/>
    <x v="5"/>
  </r>
  <r>
    <x v="262"/>
    <x v="35"/>
    <n v="2022"/>
    <x v="1"/>
    <n v="160"/>
    <n v="68.64"/>
    <x v="1"/>
    <x v="5"/>
  </r>
  <r>
    <x v="262"/>
    <x v="35"/>
    <n v="2022"/>
    <x v="4"/>
    <n v="240"/>
    <n v="102.97"/>
    <x v="1"/>
    <x v="5"/>
  </r>
  <r>
    <x v="253"/>
    <x v="35"/>
    <n v="2022"/>
    <x v="2"/>
    <n v="116"/>
    <n v="55.29"/>
    <x v="1"/>
    <x v="7"/>
  </r>
  <r>
    <x v="254"/>
    <x v="35"/>
    <n v="2022"/>
    <x v="0"/>
    <n v="103.75"/>
    <n v="54.11"/>
    <x v="1"/>
    <x v="1"/>
  </r>
  <r>
    <x v="254"/>
    <x v="35"/>
    <n v="2022"/>
    <x v="5"/>
    <n v="100.25"/>
    <n v="50.57"/>
    <x v="1"/>
    <x v="1"/>
  </r>
  <r>
    <x v="254"/>
    <x v="35"/>
    <n v="2022"/>
    <x v="3"/>
    <n v="123.75"/>
    <n v="74.08"/>
    <x v="1"/>
    <x v="1"/>
  </r>
  <r>
    <x v="254"/>
    <x v="35"/>
    <n v="2022"/>
    <x v="1"/>
    <n v="82.5"/>
    <n v="49.38"/>
    <x v="1"/>
    <x v="1"/>
  </r>
  <r>
    <x v="254"/>
    <x v="35"/>
    <n v="2022"/>
    <x v="4"/>
    <n v="110"/>
    <n v="65.849999999999994"/>
    <x v="1"/>
    <x v="1"/>
  </r>
  <r>
    <x v="238"/>
    <x v="35"/>
    <n v="2022"/>
    <x v="3"/>
    <n v="41"/>
    <n v="22.27"/>
    <x v="1"/>
    <x v="5"/>
  </r>
  <r>
    <x v="30"/>
    <x v="35"/>
    <n v="2022"/>
    <x v="2"/>
    <n v="47.6"/>
    <n v="26.92"/>
    <x v="1"/>
    <x v="3"/>
  </r>
  <r>
    <x v="255"/>
    <x v="35"/>
    <n v="2022"/>
    <x v="0"/>
    <n v="47.6"/>
    <n v="26.92"/>
    <x v="1"/>
    <x v="1"/>
  </r>
  <r>
    <x v="255"/>
    <x v="35"/>
    <n v="2022"/>
    <x v="5"/>
    <n v="95.2"/>
    <n v="53.84"/>
    <x v="1"/>
    <x v="1"/>
  </r>
  <r>
    <x v="255"/>
    <x v="35"/>
    <n v="2022"/>
    <x v="3"/>
    <n v="47.6"/>
    <n v="26.92"/>
    <x v="1"/>
    <x v="1"/>
  </r>
  <r>
    <x v="255"/>
    <x v="35"/>
    <n v="2022"/>
    <x v="1"/>
    <n v="119"/>
    <n v="67.31"/>
    <x v="1"/>
    <x v="1"/>
  </r>
  <r>
    <x v="255"/>
    <x v="35"/>
    <n v="2022"/>
    <x v="4"/>
    <n v="47.6"/>
    <n v="26.92"/>
    <x v="1"/>
    <x v="1"/>
  </r>
  <r>
    <x v="31"/>
    <x v="35"/>
    <n v="2022"/>
    <x v="2"/>
    <n v="43"/>
    <n v="23.16"/>
    <x v="1"/>
    <x v="4"/>
  </r>
  <r>
    <x v="256"/>
    <x v="35"/>
    <n v="2022"/>
    <x v="0"/>
    <n v="43"/>
    <n v="23.16"/>
    <x v="1"/>
    <x v="2"/>
  </r>
  <r>
    <x v="256"/>
    <x v="35"/>
    <n v="2022"/>
    <x v="5"/>
    <n v="43"/>
    <n v="23.16"/>
    <x v="1"/>
    <x v="2"/>
  </r>
  <r>
    <x v="256"/>
    <x v="35"/>
    <n v="2022"/>
    <x v="3"/>
    <n v="64.5"/>
    <n v="34.74"/>
    <x v="1"/>
    <x v="2"/>
  </r>
  <r>
    <x v="256"/>
    <x v="35"/>
    <n v="2022"/>
    <x v="1"/>
    <n v="64.5"/>
    <n v="34.74"/>
    <x v="1"/>
    <x v="2"/>
  </r>
  <r>
    <x v="256"/>
    <x v="35"/>
    <n v="2022"/>
    <x v="4"/>
    <n v="21.5"/>
    <n v="11.58"/>
    <x v="1"/>
    <x v="2"/>
  </r>
  <r>
    <x v="240"/>
    <x v="35"/>
    <n v="2022"/>
    <x v="2"/>
    <n v="399"/>
    <n v="195.36"/>
    <x v="1"/>
    <x v="4"/>
  </r>
  <r>
    <x v="88"/>
    <x v="35"/>
    <n v="2022"/>
    <x v="0"/>
    <n v="231.25"/>
    <n v="126.04"/>
    <x v="1"/>
    <x v="4"/>
  </r>
  <r>
    <x v="88"/>
    <x v="35"/>
    <n v="2022"/>
    <x v="5"/>
    <n v="304.5"/>
    <n v="157.19999999999999"/>
    <x v="1"/>
    <x v="4"/>
  </r>
  <r>
    <x v="88"/>
    <x v="35"/>
    <n v="2022"/>
    <x v="3"/>
    <n v="213.75"/>
    <n v="108.53"/>
    <x v="1"/>
    <x v="4"/>
  </r>
  <r>
    <x v="88"/>
    <x v="35"/>
    <n v="2022"/>
    <x v="1"/>
    <n v="256.5"/>
    <n v="130.24"/>
    <x v="1"/>
    <x v="4"/>
  </r>
  <r>
    <x v="88"/>
    <x v="35"/>
    <n v="2022"/>
    <x v="4"/>
    <n v="242.25"/>
    <n v="123.01"/>
    <x v="1"/>
    <x v="4"/>
  </r>
  <r>
    <x v="102"/>
    <x v="35"/>
    <n v="2022"/>
    <x v="2"/>
    <n v="456.25"/>
    <n v="287.11"/>
    <x v="1"/>
    <x v="0"/>
  </r>
  <r>
    <x v="73"/>
    <x v="35"/>
    <n v="2022"/>
    <x v="0"/>
    <n v="413"/>
    <n v="291.68"/>
    <x v="1"/>
    <x v="0"/>
  </r>
  <r>
    <x v="73"/>
    <x v="35"/>
    <n v="2022"/>
    <x v="5"/>
    <n v="341.5"/>
    <n v="220.18"/>
    <x v="1"/>
    <x v="0"/>
  </r>
  <r>
    <x v="73"/>
    <x v="35"/>
    <n v="2022"/>
    <x v="3"/>
    <n v="328.5"/>
    <n v="207.18"/>
    <x v="1"/>
    <x v="0"/>
  </r>
  <r>
    <x v="73"/>
    <x v="35"/>
    <n v="2022"/>
    <x v="1"/>
    <n v="310.25"/>
    <n v="195.67"/>
    <x v="1"/>
    <x v="0"/>
  </r>
  <r>
    <x v="73"/>
    <x v="35"/>
    <n v="2022"/>
    <x v="4"/>
    <n v="292"/>
    <n v="184.16"/>
    <x v="1"/>
    <x v="0"/>
  </r>
  <r>
    <x v="103"/>
    <x v="35"/>
    <n v="2022"/>
    <x v="2"/>
    <n v="431.25"/>
    <n v="119.68"/>
    <x v="1"/>
    <x v="5"/>
  </r>
  <r>
    <x v="104"/>
    <x v="35"/>
    <n v="2022"/>
    <x v="0"/>
    <n v="444.9"/>
    <n v="220.55"/>
    <x v="1"/>
    <x v="7"/>
  </r>
  <r>
    <x v="104"/>
    <x v="35"/>
    <n v="2022"/>
    <x v="5"/>
    <n v="344.7"/>
    <n v="120.36"/>
    <x v="1"/>
    <x v="7"/>
  </r>
  <r>
    <x v="104"/>
    <x v="35"/>
    <n v="2022"/>
    <x v="3"/>
    <n v="327.75"/>
    <n v="90.93"/>
    <x v="1"/>
    <x v="7"/>
  </r>
  <r>
    <x v="104"/>
    <x v="35"/>
    <n v="2022"/>
    <x v="1"/>
    <n v="310.5"/>
    <n v="86.15"/>
    <x v="1"/>
    <x v="7"/>
  </r>
  <r>
    <x v="104"/>
    <x v="35"/>
    <n v="2022"/>
    <x v="4"/>
    <n v="276"/>
    <n v="76.569999999999993"/>
    <x v="1"/>
    <x v="7"/>
  </r>
  <r>
    <x v="70"/>
    <x v="35"/>
    <n v="2022"/>
    <x v="5"/>
    <n v="15.13"/>
    <n v="12.01"/>
    <x v="1"/>
    <x v="5"/>
  </r>
  <r>
    <x v="71"/>
    <x v="35"/>
    <n v="2022"/>
    <x v="1"/>
    <n v="30.26"/>
    <n v="24.03"/>
    <x v="1"/>
    <x v="0"/>
  </r>
  <r>
    <x v="257"/>
    <x v="35"/>
    <n v="2022"/>
    <x v="5"/>
    <n v="37"/>
    <n v="18.670000000000002"/>
    <x v="1"/>
    <x v="3"/>
  </r>
  <r>
    <x v="60"/>
    <x v="35"/>
    <n v="2022"/>
    <x v="5"/>
    <n v="40"/>
    <n v="20.239999999999998"/>
    <x v="1"/>
    <x v="3"/>
  </r>
  <r>
    <x v="72"/>
    <x v="35"/>
    <n v="2022"/>
    <x v="2"/>
    <n v="40.15"/>
    <n v="21.42"/>
    <x v="1"/>
    <x v="6"/>
  </r>
  <r>
    <x v="259"/>
    <x v="35"/>
    <n v="2022"/>
    <x v="2"/>
    <n v="95"/>
    <n v="52.9"/>
    <x v="1"/>
    <x v="1"/>
  </r>
  <r>
    <x v="63"/>
    <x v="35"/>
    <n v="2022"/>
    <x v="2"/>
    <n v="23.93"/>
    <n v="9.9499999999999993"/>
    <x v="1"/>
    <x v="7"/>
  </r>
  <r>
    <x v="64"/>
    <x v="35"/>
    <n v="2022"/>
    <x v="5"/>
    <n v="23.93"/>
    <n v="9.9499999999999993"/>
    <x v="1"/>
    <x v="3"/>
  </r>
  <r>
    <x v="5"/>
    <x v="36"/>
    <n v="2022"/>
    <x v="2"/>
    <n v="40.049999999999997"/>
    <n v="16.14"/>
    <x v="1"/>
    <x v="2"/>
  </r>
  <r>
    <x v="250"/>
    <x v="36"/>
    <n v="2022"/>
    <x v="0"/>
    <n v="36"/>
    <n v="18.059999999999999"/>
    <x v="1"/>
    <x v="7"/>
  </r>
  <r>
    <x v="250"/>
    <x v="36"/>
    <n v="2022"/>
    <x v="5"/>
    <n v="22.1"/>
    <n v="10.14"/>
    <x v="1"/>
    <x v="7"/>
  </r>
  <r>
    <x v="263"/>
    <x v="36"/>
    <n v="2022"/>
    <x v="2"/>
    <n v="58.25"/>
    <n v="35.799999999999997"/>
    <x v="1"/>
    <x v="7"/>
  </r>
  <r>
    <x v="264"/>
    <x v="36"/>
    <n v="2022"/>
    <x v="0"/>
    <n v="52"/>
    <n v="34.04"/>
    <x v="1"/>
    <x v="4"/>
  </r>
  <r>
    <x v="264"/>
    <x v="36"/>
    <n v="2022"/>
    <x v="5"/>
    <n v="37"/>
    <n v="23.53"/>
    <x v="1"/>
    <x v="4"/>
  </r>
  <r>
    <x v="240"/>
    <x v="36"/>
    <n v="2022"/>
    <x v="2"/>
    <n v="44.5"/>
    <n v="23.47"/>
    <x v="1"/>
    <x v="4"/>
  </r>
  <r>
    <x v="88"/>
    <x v="36"/>
    <n v="2022"/>
    <x v="0"/>
    <n v="48"/>
    <n v="26.97"/>
    <x v="1"/>
    <x v="4"/>
  </r>
  <r>
    <x v="88"/>
    <x v="36"/>
    <n v="2022"/>
    <x v="5"/>
    <n v="46"/>
    <n v="24.96"/>
    <x v="1"/>
    <x v="4"/>
  </r>
  <r>
    <x v="102"/>
    <x v="36"/>
    <n v="2022"/>
    <x v="0"/>
    <n v="24.75"/>
    <n v="18.010000000000002"/>
    <x v="1"/>
    <x v="0"/>
  </r>
  <r>
    <x v="73"/>
    <x v="36"/>
    <n v="2022"/>
    <x v="5"/>
    <n v="37.5"/>
    <n v="24.02"/>
    <x v="1"/>
    <x v="0"/>
  </r>
  <r>
    <x v="103"/>
    <x v="36"/>
    <n v="2022"/>
    <x v="2"/>
    <n v="79"/>
    <n v="29.15"/>
    <x v="1"/>
    <x v="5"/>
  </r>
  <r>
    <x v="104"/>
    <x v="36"/>
    <n v="2022"/>
    <x v="0"/>
    <n v="102.6"/>
    <n v="52.75"/>
    <x v="1"/>
    <x v="7"/>
  </r>
  <r>
    <x v="104"/>
    <x v="36"/>
    <n v="2022"/>
    <x v="5"/>
    <n v="104.55"/>
    <n v="42.23"/>
    <x v="1"/>
    <x v="7"/>
  </r>
  <r>
    <x v="70"/>
    <x v="36"/>
    <n v="2022"/>
    <x v="5"/>
    <n v="15.13"/>
    <n v="12.01"/>
    <x v="1"/>
    <x v="5"/>
  </r>
  <r>
    <x v="60"/>
    <x v="36"/>
    <n v="2022"/>
    <x v="2"/>
    <n v="25.85"/>
    <n v="15.97"/>
    <x v="1"/>
    <x v="3"/>
  </r>
  <r>
    <x v="61"/>
    <x v="36"/>
    <n v="2022"/>
    <x v="5"/>
    <n v="34.1"/>
    <n v="24.22"/>
    <x v="1"/>
    <x v="6"/>
  </r>
  <r>
    <x v="63"/>
    <x v="36"/>
    <n v="2022"/>
    <x v="2"/>
    <n v="25"/>
    <n v="11.02"/>
    <x v="1"/>
    <x v="7"/>
  </r>
  <r>
    <x v="66"/>
    <x v="37"/>
    <n v="2022"/>
    <x v="4"/>
    <n v="14.58"/>
    <n v="9.2899999999999991"/>
    <x v="3"/>
    <x v="0"/>
  </r>
  <r>
    <x v="70"/>
    <x v="37"/>
    <n v="2022"/>
    <x v="2"/>
    <n v="19.5"/>
    <n v="16.38"/>
    <x v="3"/>
    <x v="5"/>
  </r>
  <r>
    <x v="71"/>
    <x v="37"/>
    <n v="2022"/>
    <x v="4"/>
    <n v="15.13"/>
    <n v="12.01"/>
    <x v="3"/>
    <x v="0"/>
  </r>
  <r>
    <x v="60"/>
    <x v="37"/>
    <n v="2022"/>
    <x v="2"/>
    <n v="129.25"/>
    <n v="79.86"/>
    <x v="3"/>
    <x v="3"/>
  </r>
  <r>
    <x v="61"/>
    <x v="37"/>
    <n v="2022"/>
    <x v="4"/>
    <n v="136.4"/>
    <n v="96.89"/>
    <x v="3"/>
    <x v="6"/>
  </r>
  <r>
    <x v="72"/>
    <x v="37"/>
    <n v="2022"/>
    <x v="2"/>
    <n v="39.6"/>
    <n v="20.87"/>
    <x v="3"/>
    <x v="6"/>
  </r>
  <r>
    <x v="73"/>
    <x v="37"/>
    <n v="2022"/>
    <x v="4"/>
    <n v="40.15"/>
    <n v="21.42"/>
    <x v="3"/>
    <x v="0"/>
  </r>
  <r>
    <x v="259"/>
    <x v="37"/>
    <n v="2022"/>
    <x v="2"/>
    <n v="95"/>
    <n v="52.9"/>
    <x v="3"/>
    <x v="1"/>
  </r>
  <r>
    <x v="216"/>
    <x v="37"/>
    <n v="2022"/>
    <x v="4"/>
    <n v="95"/>
    <n v="52.9"/>
    <x v="3"/>
    <x v="6"/>
  </r>
  <r>
    <x v="63"/>
    <x v="37"/>
    <n v="2022"/>
    <x v="2"/>
    <n v="50"/>
    <n v="22.05"/>
    <x v="3"/>
    <x v="7"/>
  </r>
  <r>
    <x v="64"/>
    <x v="37"/>
    <n v="2022"/>
    <x v="4"/>
    <n v="23.93"/>
    <n v="9.9499999999999993"/>
    <x v="3"/>
    <x v="3"/>
  </r>
  <r>
    <x v="28"/>
    <x v="38"/>
    <n v="2022"/>
    <x v="0"/>
    <n v="23"/>
    <n v="14.74"/>
    <x v="3"/>
    <x v="7"/>
  </r>
  <r>
    <x v="29"/>
    <x v="38"/>
    <n v="2022"/>
    <x v="5"/>
    <n v="30"/>
    <n v="17.61"/>
    <x v="3"/>
    <x v="2"/>
  </r>
  <r>
    <x v="29"/>
    <x v="38"/>
    <n v="2022"/>
    <x v="3"/>
    <n v="20"/>
    <n v="11.74"/>
    <x v="3"/>
    <x v="2"/>
  </r>
  <r>
    <x v="29"/>
    <x v="38"/>
    <n v="2022"/>
    <x v="1"/>
    <n v="20"/>
    <n v="11.74"/>
    <x v="3"/>
    <x v="2"/>
  </r>
  <r>
    <x v="29"/>
    <x v="38"/>
    <n v="2022"/>
    <x v="4"/>
    <n v="30"/>
    <n v="17.61"/>
    <x v="3"/>
    <x v="2"/>
  </r>
  <r>
    <x v="265"/>
    <x v="38"/>
    <n v="2022"/>
    <x v="5"/>
    <n v="10.25"/>
    <n v="3.54"/>
    <x v="3"/>
    <x v="1"/>
  </r>
  <r>
    <x v="266"/>
    <x v="38"/>
    <n v="2022"/>
    <x v="2"/>
    <n v="29.5"/>
    <n v="18.46"/>
    <x v="3"/>
    <x v="2"/>
  </r>
  <r>
    <x v="267"/>
    <x v="38"/>
    <n v="2022"/>
    <x v="0"/>
    <n v="30"/>
    <n v="18.96"/>
    <x v="3"/>
    <x v="5"/>
  </r>
  <r>
    <x v="267"/>
    <x v="38"/>
    <n v="2022"/>
    <x v="5"/>
    <n v="59"/>
    <n v="36.92"/>
    <x v="3"/>
    <x v="5"/>
  </r>
  <r>
    <x v="267"/>
    <x v="38"/>
    <n v="2022"/>
    <x v="3"/>
    <n v="59"/>
    <n v="36.92"/>
    <x v="3"/>
    <x v="5"/>
  </r>
  <r>
    <x v="267"/>
    <x v="38"/>
    <n v="2022"/>
    <x v="1"/>
    <n v="59"/>
    <n v="36.92"/>
    <x v="3"/>
    <x v="5"/>
  </r>
  <r>
    <x v="267"/>
    <x v="38"/>
    <n v="2022"/>
    <x v="4"/>
    <n v="103.25"/>
    <n v="64.63"/>
    <x v="3"/>
    <x v="5"/>
  </r>
  <r>
    <x v="30"/>
    <x v="38"/>
    <n v="2022"/>
    <x v="2"/>
    <n v="69.8"/>
    <n v="38.78"/>
    <x v="3"/>
    <x v="3"/>
  </r>
  <r>
    <x v="255"/>
    <x v="38"/>
    <n v="2022"/>
    <x v="0"/>
    <n v="23.8"/>
    <n v="13.46"/>
    <x v="3"/>
    <x v="1"/>
  </r>
  <r>
    <x v="255"/>
    <x v="38"/>
    <n v="2022"/>
    <x v="5"/>
    <n v="46"/>
    <n v="25.32"/>
    <x v="3"/>
    <x v="1"/>
  </r>
  <r>
    <x v="255"/>
    <x v="38"/>
    <n v="2022"/>
    <x v="3"/>
    <n v="46"/>
    <n v="25.32"/>
    <x v="3"/>
    <x v="1"/>
  </r>
  <r>
    <x v="255"/>
    <x v="38"/>
    <n v="2022"/>
    <x v="4"/>
    <n v="46"/>
    <n v="25.32"/>
    <x v="3"/>
    <x v="1"/>
  </r>
  <r>
    <x v="31"/>
    <x v="38"/>
    <n v="2022"/>
    <x v="2"/>
    <n v="51"/>
    <n v="31.16"/>
    <x v="3"/>
    <x v="4"/>
  </r>
  <r>
    <x v="256"/>
    <x v="38"/>
    <n v="2022"/>
    <x v="0"/>
    <n v="43"/>
    <n v="23.16"/>
    <x v="3"/>
    <x v="2"/>
  </r>
  <r>
    <x v="256"/>
    <x v="38"/>
    <n v="2022"/>
    <x v="5"/>
    <n v="21.5"/>
    <n v="11.58"/>
    <x v="3"/>
    <x v="2"/>
  </r>
  <r>
    <x v="256"/>
    <x v="38"/>
    <n v="2022"/>
    <x v="3"/>
    <n v="21.5"/>
    <n v="11.58"/>
    <x v="3"/>
    <x v="2"/>
  </r>
  <r>
    <x v="256"/>
    <x v="38"/>
    <n v="2022"/>
    <x v="4"/>
    <n v="43"/>
    <n v="23.16"/>
    <x v="3"/>
    <x v="2"/>
  </r>
  <r>
    <x v="268"/>
    <x v="38"/>
    <n v="2022"/>
    <x v="5"/>
    <n v="14.1"/>
    <n v="2.6"/>
    <x v="3"/>
    <x v="6"/>
  </r>
  <r>
    <x v="240"/>
    <x v="38"/>
    <n v="2022"/>
    <x v="2"/>
    <n v="169"/>
    <n v="84.83"/>
    <x v="3"/>
    <x v="4"/>
  </r>
  <r>
    <x v="88"/>
    <x v="38"/>
    <n v="2022"/>
    <x v="0"/>
    <n v="144"/>
    <n v="80.88"/>
    <x v="3"/>
    <x v="4"/>
  </r>
  <r>
    <x v="88"/>
    <x v="38"/>
    <n v="2022"/>
    <x v="5"/>
    <n v="98"/>
    <n v="48.91"/>
    <x v="3"/>
    <x v="4"/>
  </r>
  <r>
    <x v="88"/>
    <x v="38"/>
    <n v="2022"/>
    <x v="3"/>
    <n v="140"/>
    <n v="69.86"/>
    <x v="3"/>
    <x v="4"/>
  </r>
  <r>
    <x v="88"/>
    <x v="38"/>
    <n v="2022"/>
    <x v="1"/>
    <n v="126"/>
    <n v="62.88"/>
    <x v="3"/>
    <x v="4"/>
  </r>
  <r>
    <x v="88"/>
    <x v="38"/>
    <n v="2022"/>
    <x v="4"/>
    <n v="126"/>
    <n v="62.9"/>
    <x v="3"/>
    <x v="4"/>
  </r>
  <r>
    <x v="102"/>
    <x v="38"/>
    <n v="2022"/>
    <x v="2"/>
    <n v="241.75"/>
    <n v="152.85"/>
    <x v="3"/>
    <x v="0"/>
  </r>
  <r>
    <x v="73"/>
    <x v="38"/>
    <n v="2022"/>
    <x v="0"/>
    <n v="173.25"/>
    <n v="126.07"/>
    <x v="3"/>
    <x v="0"/>
  </r>
  <r>
    <x v="73"/>
    <x v="38"/>
    <n v="2022"/>
    <x v="5"/>
    <n v="131.25"/>
    <n v="84.07"/>
    <x v="3"/>
    <x v="0"/>
  </r>
  <r>
    <x v="73"/>
    <x v="38"/>
    <n v="2022"/>
    <x v="3"/>
    <n v="56.25"/>
    <n v="36.03"/>
    <x v="3"/>
    <x v="0"/>
  </r>
  <r>
    <x v="73"/>
    <x v="38"/>
    <n v="2022"/>
    <x v="1"/>
    <n v="93.75"/>
    <n v="60.05"/>
    <x v="3"/>
    <x v="0"/>
  </r>
  <r>
    <x v="73"/>
    <x v="38"/>
    <n v="2022"/>
    <x v="4"/>
    <n v="131.25"/>
    <n v="84.07"/>
    <x v="3"/>
    <x v="0"/>
  </r>
  <r>
    <x v="103"/>
    <x v="38"/>
    <n v="2022"/>
    <x v="2"/>
    <n v="211"/>
    <n v="61.49"/>
    <x v="3"/>
    <x v="5"/>
  </r>
  <r>
    <x v="104"/>
    <x v="38"/>
    <n v="2022"/>
    <x v="0"/>
    <n v="179.55"/>
    <n v="92.31"/>
    <x v="3"/>
    <x v="7"/>
  </r>
  <r>
    <x v="104"/>
    <x v="38"/>
    <n v="2022"/>
    <x v="5"/>
    <n v="106.5"/>
    <n v="31.72"/>
    <x v="3"/>
    <x v="7"/>
  </r>
  <r>
    <x v="104"/>
    <x v="38"/>
    <n v="2022"/>
    <x v="3"/>
    <n v="106.5"/>
    <n v="31.73"/>
    <x v="3"/>
    <x v="7"/>
  </r>
  <r>
    <x v="104"/>
    <x v="38"/>
    <n v="2022"/>
    <x v="1"/>
    <n v="71"/>
    <n v="21.16"/>
    <x v="3"/>
    <x v="7"/>
  </r>
  <r>
    <x v="104"/>
    <x v="38"/>
    <n v="2022"/>
    <x v="4"/>
    <n v="88.75"/>
    <n v="26.45"/>
    <x v="3"/>
    <x v="7"/>
  </r>
  <r>
    <x v="70"/>
    <x v="38"/>
    <n v="2022"/>
    <x v="1"/>
    <n v="15.13"/>
    <n v="12.01"/>
    <x v="3"/>
    <x v="5"/>
  </r>
  <r>
    <x v="269"/>
    <x v="38"/>
    <n v="2022"/>
    <x v="3"/>
    <n v="46.5"/>
    <n v="46.5"/>
    <x v="3"/>
    <x v="7"/>
  </r>
  <r>
    <x v="60"/>
    <x v="38"/>
    <n v="2022"/>
    <x v="2"/>
    <n v="59.95"/>
    <n v="40.19"/>
    <x v="3"/>
    <x v="3"/>
  </r>
  <r>
    <x v="61"/>
    <x v="38"/>
    <n v="2022"/>
    <x v="5"/>
    <n v="34.1"/>
    <n v="24.22"/>
    <x v="3"/>
    <x v="6"/>
  </r>
  <r>
    <x v="61"/>
    <x v="38"/>
    <n v="2022"/>
    <x v="3"/>
    <n v="34.1"/>
    <n v="24.22"/>
    <x v="3"/>
    <x v="6"/>
  </r>
  <r>
    <x v="61"/>
    <x v="38"/>
    <n v="2022"/>
    <x v="1"/>
    <n v="64.099999999999994"/>
    <n v="44.34"/>
    <x v="3"/>
    <x v="6"/>
  </r>
  <r>
    <x v="63"/>
    <x v="38"/>
    <n v="2022"/>
    <x v="2"/>
    <n v="25"/>
    <n v="11.02"/>
    <x v="3"/>
    <x v="7"/>
  </r>
  <r>
    <x v="64"/>
    <x v="38"/>
    <n v="2022"/>
    <x v="3"/>
    <n v="23.93"/>
    <n v="9.9499999999999993"/>
    <x v="3"/>
    <x v="3"/>
  </r>
  <r>
    <x v="64"/>
    <x v="38"/>
    <n v="2022"/>
    <x v="1"/>
    <n v="23.93"/>
    <n v="9.9499999999999993"/>
    <x v="3"/>
    <x v="3"/>
  </r>
  <r>
    <x v="7"/>
    <x v="39"/>
    <n v="2022"/>
    <x v="2"/>
    <n v="29"/>
    <n v="10.17"/>
    <x v="5"/>
    <x v="4"/>
  </r>
  <r>
    <x v="241"/>
    <x v="39"/>
    <n v="2022"/>
    <x v="3"/>
    <n v="13.2"/>
    <n v="8.7200000000000006"/>
    <x v="5"/>
    <x v="2"/>
  </r>
  <r>
    <x v="228"/>
    <x v="39"/>
    <n v="2022"/>
    <x v="1"/>
    <n v="11.5"/>
    <n v="-0.42"/>
    <x v="5"/>
    <x v="0"/>
  </r>
  <r>
    <x v="23"/>
    <x v="39"/>
    <n v="2022"/>
    <x v="1"/>
    <n v="26.4"/>
    <n v="22.39"/>
    <x v="5"/>
    <x v="5"/>
  </r>
  <r>
    <x v="27"/>
    <x v="39"/>
    <n v="2022"/>
    <x v="1"/>
    <n v="25.85"/>
    <n v="21.97"/>
    <x v="5"/>
    <x v="2"/>
  </r>
  <r>
    <x v="84"/>
    <x v="39"/>
    <n v="2022"/>
    <x v="2"/>
    <n v="75.25"/>
    <n v="40.81"/>
    <x v="5"/>
    <x v="3"/>
  </r>
  <r>
    <x v="260"/>
    <x v="39"/>
    <n v="2022"/>
    <x v="0"/>
    <n v="53.75"/>
    <n v="29.15"/>
    <x v="5"/>
    <x v="3"/>
  </r>
  <r>
    <x v="260"/>
    <x v="39"/>
    <n v="2022"/>
    <x v="5"/>
    <n v="86"/>
    <n v="46.64"/>
    <x v="5"/>
    <x v="3"/>
  </r>
  <r>
    <x v="260"/>
    <x v="39"/>
    <n v="2022"/>
    <x v="3"/>
    <n v="21.5"/>
    <n v="11.66"/>
    <x v="5"/>
    <x v="3"/>
  </r>
  <r>
    <x v="260"/>
    <x v="39"/>
    <n v="2022"/>
    <x v="1"/>
    <n v="21.5"/>
    <n v="11.66"/>
    <x v="5"/>
    <x v="3"/>
  </r>
  <r>
    <x v="5"/>
    <x v="39"/>
    <n v="2022"/>
    <x v="2"/>
    <n v="185.25"/>
    <n v="71.7"/>
    <x v="5"/>
    <x v="2"/>
  </r>
  <r>
    <x v="250"/>
    <x v="39"/>
    <n v="2022"/>
    <x v="0"/>
    <n v="164.25"/>
    <n v="74.61"/>
    <x v="5"/>
    <x v="7"/>
  </r>
  <r>
    <x v="250"/>
    <x v="39"/>
    <n v="2022"/>
    <x v="5"/>
    <n v="138.75"/>
    <n v="55.09"/>
    <x v="5"/>
    <x v="7"/>
  </r>
  <r>
    <x v="250"/>
    <x v="39"/>
    <n v="2022"/>
    <x v="3"/>
    <n v="136.5"/>
    <n v="52.84"/>
    <x v="5"/>
    <x v="7"/>
  </r>
  <r>
    <x v="250"/>
    <x v="39"/>
    <n v="2022"/>
    <x v="1"/>
    <n v="243.75"/>
    <n v="94.34"/>
    <x v="5"/>
    <x v="7"/>
  </r>
  <r>
    <x v="250"/>
    <x v="39"/>
    <n v="2022"/>
    <x v="4"/>
    <n v="126.75"/>
    <n v="49.06"/>
    <x v="5"/>
    <x v="7"/>
  </r>
  <r>
    <x v="251"/>
    <x v="39"/>
    <n v="2022"/>
    <x v="5"/>
    <n v="24.76"/>
    <n v="0.19"/>
    <x v="5"/>
    <x v="7"/>
  </r>
  <r>
    <x v="252"/>
    <x v="39"/>
    <n v="2022"/>
    <x v="3"/>
    <n v="12.38"/>
    <n v="2.58"/>
    <x v="5"/>
    <x v="5"/>
  </r>
  <r>
    <x v="263"/>
    <x v="39"/>
    <n v="2022"/>
    <x v="2"/>
    <n v="108"/>
    <n v="67.59"/>
    <x v="5"/>
    <x v="7"/>
  </r>
  <r>
    <x v="264"/>
    <x v="39"/>
    <n v="2022"/>
    <x v="0"/>
    <n v="102"/>
    <n v="66.08"/>
    <x v="5"/>
    <x v="4"/>
  </r>
  <r>
    <x v="264"/>
    <x v="39"/>
    <n v="2022"/>
    <x v="5"/>
    <n v="121"/>
    <n v="68.02"/>
    <x v="5"/>
    <x v="4"/>
  </r>
  <r>
    <x v="264"/>
    <x v="39"/>
    <n v="2022"/>
    <x v="3"/>
    <n v="24"/>
    <n v="15.02"/>
    <x v="5"/>
    <x v="4"/>
  </r>
  <r>
    <x v="264"/>
    <x v="39"/>
    <n v="2022"/>
    <x v="1"/>
    <n v="84"/>
    <n v="52.57"/>
    <x v="5"/>
    <x v="4"/>
  </r>
  <r>
    <x v="264"/>
    <x v="39"/>
    <n v="2022"/>
    <x v="4"/>
    <n v="60"/>
    <n v="37.549999999999997"/>
    <x v="5"/>
    <x v="4"/>
  </r>
  <r>
    <x v="266"/>
    <x v="39"/>
    <n v="2022"/>
    <x v="2"/>
    <n v="105"/>
    <n v="56.88"/>
    <x v="5"/>
    <x v="2"/>
  </r>
  <r>
    <x v="267"/>
    <x v="39"/>
    <n v="2022"/>
    <x v="0"/>
    <n v="135"/>
    <n v="85.33"/>
    <x v="5"/>
    <x v="5"/>
  </r>
  <r>
    <x v="267"/>
    <x v="39"/>
    <n v="2022"/>
    <x v="5"/>
    <n v="150"/>
    <n v="85.33"/>
    <x v="5"/>
    <x v="5"/>
  </r>
  <r>
    <x v="267"/>
    <x v="39"/>
    <n v="2022"/>
    <x v="3"/>
    <n v="120"/>
    <n v="75.84"/>
    <x v="5"/>
    <x v="5"/>
  </r>
  <r>
    <x v="267"/>
    <x v="39"/>
    <n v="2022"/>
    <x v="1"/>
    <n v="105"/>
    <n v="66.37"/>
    <x v="5"/>
    <x v="5"/>
  </r>
  <r>
    <x v="267"/>
    <x v="39"/>
    <n v="2022"/>
    <x v="4"/>
    <n v="105"/>
    <n v="66.36"/>
    <x v="5"/>
    <x v="5"/>
  </r>
  <r>
    <x v="261"/>
    <x v="39"/>
    <n v="2022"/>
    <x v="2"/>
    <n v="128"/>
    <n v="54.88"/>
    <x v="5"/>
    <x v="5"/>
  </r>
  <r>
    <x v="262"/>
    <x v="39"/>
    <n v="2022"/>
    <x v="0"/>
    <n v="124.5"/>
    <n v="60.52"/>
    <x v="5"/>
    <x v="5"/>
  </r>
  <r>
    <x v="262"/>
    <x v="39"/>
    <n v="2022"/>
    <x v="5"/>
    <n v="96"/>
    <n v="41.17"/>
    <x v="5"/>
    <x v="5"/>
  </r>
  <r>
    <x v="262"/>
    <x v="39"/>
    <n v="2022"/>
    <x v="3"/>
    <n v="96"/>
    <n v="41.16"/>
    <x v="5"/>
    <x v="5"/>
  </r>
  <r>
    <x v="262"/>
    <x v="39"/>
    <n v="2022"/>
    <x v="1"/>
    <n v="64"/>
    <n v="27.44"/>
    <x v="5"/>
    <x v="5"/>
  </r>
  <r>
    <x v="262"/>
    <x v="39"/>
    <n v="2022"/>
    <x v="4"/>
    <n v="80"/>
    <n v="34.299999999999997"/>
    <x v="5"/>
    <x v="5"/>
  </r>
  <r>
    <x v="253"/>
    <x v="39"/>
    <n v="2022"/>
    <x v="1"/>
    <n v="13.75"/>
    <n v="8.23"/>
    <x v="5"/>
    <x v="7"/>
  </r>
  <r>
    <x v="238"/>
    <x v="39"/>
    <n v="2022"/>
    <x v="2"/>
    <n v="149.94999999999999"/>
    <n v="65.7"/>
    <x v="5"/>
    <x v="5"/>
  </r>
  <r>
    <x v="239"/>
    <x v="39"/>
    <n v="2022"/>
    <x v="0"/>
    <n v="108.7"/>
    <n v="52.54"/>
    <x v="5"/>
    <x v="1"/>
  </r>
  <r>
    <x v="239"/>
    <x v="39"/>
    <n v="2022"/>
    <x v="5"/>
    <n v="156.69999999999999"/>
    <n v="72.45"/>
    <x v="5"/>
    <x v="1"/>
  </r>
  <r>
    <x v="239"/>
    <x v="39"/>
    <n v="2022"/>
    <x v="3"/>
    <n v="164"/>
    <n v="89.12"/>
    <x v="5"/>
    <x v="1"/>
  </r>
  <r>
    <x v="239"/>
    <x v="39"/>
    <n v="2022"/>
    <x v="1"/>
    <n v="184.5"/>
    <n v="100.25"/>
    <x v="5"/>
    <x v="1"/>
  </r>
  <r>
    <x v="239"/>
    <x v="39"/>
    <n v="2022"/>
    <x v="4"/>
    <n v="123"/>
    <n v="66.83"/>
    <x v="5"/>
    <x v="1"/>
  </r>
  <r>
    <x v="240"/>
    <x v="39"/>
    <n v="2022"/>
    <x v="2"/>
    <n v="112.5"/>
    <n v="56.39"/>
    <x v="5"/>
    <x v="4"/>
  </r>
  <r>
    <x v="88"/>
    <x v="39"/>
    <n v="2022"/>
    <x v="0"/>
    <n v="108"/>
    <n v="58.92"/>
    <x v="5"/>
    <x v="4"/>
  </r>
  <r>
    <x v="88"/>
    <x v="39"/>
    <n v="2022"/>
    <x v="5"/>
    <n v="84"/>
    <n v="27.94"/>
    <x v="5"/>
    <x v="4"/>
  </r>
  <r>
    <x v="88"/>
    <x v="39"/>
    <n v="2022"/>
    <x v="3"/>
    <n v="86.5"/>
    <n v="44.44"/>
    <x v="5"/>
    <x v="4"/>
  </r>
  <r>
    <x v="88"/>
    <x v="39"/>
    <n v="2022"/>
    <x v="1"/>
    <n v="70"/>
    <n v="34.950000000000003"/>
    <x v="5"/>
    <x v="4"/>
  </r>
  <r>
    <x v="88"/>
    <x v="39"/>
    <n v="2022"/>
    <x v="4"/>
    <n v="70"/>
    <n v="34.950000000000003"/>
    <x v="5"/>
    <x v="4"/>
  </r>
  <r>
    <x v="102"/>
    <x v="39"/>
    <n v="2022"/>
    <x v="2"/>
    <n v="213.73"/>
    <n v="139.59"/>
    <x v="5"/>
    <x v="0"/>
  </r>
  <r>
    <x v="73"/>
    <x v="39"/>
    <n v="2022"/>
    <x v="0"/>
    <n v="223.5"/>
    <n v="156.1"/>
    <x v="5"/>
    <x v="0"/>
  </r>
  <r>
    <x v="73"/>
    <x v="39"/>
    <n v="2022"/>
    <x v="5"/>
    <n v="225"/>
    <n v="134.41"/>
    <x v="5"/>
    <x v="0"/>
  </r>
  <r>
    <x v="73"/>
    <x v="39"/>
    <n v="2022"/>
    <x v="3"/>
    <n v="150"/>
    <n v="96.08"/>
    <x v="5"/>
    <x v="0"/>
  </r>
  <r>
    <x v="73"/>
    <x v="39"/>
    <n v="2022"/>
    <x v="1"/>
    <n v="243.75"/>
    <n v="156.13"/>
    <x v="5"/>
    <x v="0"/>
  </r>
  <r>
    <x v="73"/>
    <x v="39"/>
    <n v="2022"/>
    <x v="4"/>
    <n v="187.5"/>
    <n v="120.1"/>
    <x v="5"/>
    <x v="0"/>
  </r>
  <r>
    <x v="103"/>
    <x v="39"/>
    <n v="2022"/>
    <x v="2"/>
    <n v="224.4"/>
    <n v="74.849999999999994"/>
    <x v="5"/>
    <x v="5"/>
  </r>
  <r>
    <x v="104"/>
    <x v="39"/>
    <n v="2022"/>
    <x v="0"/>
    <n v="162.75"/>
    <n v="75.52"/>
    <x v="5"/>
    <x v="7"/>
  </r>
  <r>
    <x v="104"/>
    <x v="39"/>
    <n v="2022"/>
    <x v="5"/>
    <n v="198.15"/>
    <n v="61.09"/>
    <x v="5"/>
    <x v="7"/>
  </r>
  <r>
    <x v="104"/>
    <x v="39"/>
    <n v="2022"/>
    <x v="3"/>
    <n v="120.75"/>
    <n v="33.520000000000003"/>
    <x v="5"/>
    <x v="7"/>
  </r>
  <r>
    <x v="104"/>
    <x v="39"/>
    <n v="2022"/>
    <x v="1"/>
    <n v="146.4"/>
    <n v="46.71"/>
    <x v="5"/>
    <x v="7"/>
  </r>
  <r>
    <x v="104"/>
    <x v="39"/>
    <n v="2022"/>
    <x v="4"/>
    <n v="69"/>
    <n v="19.16"/>
    <x v="5"/>
    <x v="7"/>
  </r>
  <r>
    <x v="66"/>
    <x v="40"/>
    <n v="2022"/>
    <x v="0"/>
    <n v="14.58"/>
    <n v="9.25"/>
    <x v="1"/>
    <x v="0"/>
  </r>
  <r>
    <x v="68"/>
    <x v="40"/>
    <n v="2022"/>
    <x v="0"/>
    <n v="13.2"/>
    <n v="10.75"/>
    <x v="1"/>
    <x v="4"/>
  </r>
  <r>
    <x v="70"/>
    <x v="40"/>
    <n v="2022"/>
    <x v="2"/>
    <n v="19.5"/>
    <n v="16.39"/>
    <x v="1"/>
    <x v="5"/>
  </r>
  <r>
    <x v="71"/>
    <x v="40"/>
    <n v="2022"/>
    <x v="0"/>
    <n v="15.13"/>
    <n v="12.01"/>
    <x v="1"/>
    <x v="0"/>
  </r>
  <r>
    <x v="257"/>
    <x v="40"/>
    <n v="2022"/>
    <x v="2"/>
    <n v="37"/>
    <n v="18.73"/>
    <x v="1"/>
    <x v="3"/>
  </r>
  <r>
    <x v="60"/>
    <x v="40"/>
    <n v="2022"/>
    <x v="2"/>
    <n v="51.7"/>
    <n v="31.8"/>
    <x v="1"/>
    <x v="3"/>
  </r>
  <r>
    <x v="61"/>
    <x v="40"/>
    <n v="2022"/>
    <x v="0"/>
    <n v="102.3"/>
    <n v="72.67"/>
    <x v="1"/>
    <x v="6"/>
  </r>
  <r>
    <x v="72"/>
    <x v="40"/>
    <n v="2022"/>
    <x v="2"/>
    <n v="79.2"/>
    <n v="41.99"/>
    <x v="1"/>
    <x v="6"/>
  </r>
  <r>
    <x v="259"/>
    <x v="40"/>
    <n v="2022"/>
    <x v="2"/>
    <n v="95"/>
    <n v="52.9"/>
    <x v="1"/>
    <x v="1"/>
  </r>
  <r>
    <x v="216"/>
    <x v="40"/>
    <n v="2022"/>
    <x v="0"/>
    <n v="95"/>
    <n v="52.9"/>
    <x v="1"/>
    <x v="6"/>
  </r>
  <r>
    <x v="63"/>
    <x v="40"/>
    <n v="2022"/>
    <x v="2"/>
    <n v="25"/>
    <n v="11.02"/>
    <x v="1"/>
    <x v="7"/>
  </r>
  <r>
    <x v="64"/>
    <x v="40"/>
    <n v="2022"/>
    <x v="0"/>
    <n v="23.93"/>
    <n v="9.9499999999999993"/>
    <x v="1"/>
    <x v="3"/>
  </r>
  <r>
    <x v="5"/>
    <x v="41"/>
    <n v="2022"/>
    <x v="5"/>
    <n v="129.5"/>
    <n v="12.82"/>
    <x v="5"/>
    <x v="2"/>
  </r>
  <r>
    <x v="51"/>
    <x v="41"/>
    <n v="2022"/>
    <x v="5"/>
    <n v="131.5"/>
    <n v="45.64"/>
    <x v="5"/>
    <x v="1"/>
  </r>
  <r>
    <x v="53"/>
    <x v="41"/>
    <n v="2022"/>
    <x v="1"/>
    <n v="147"/>
    <n v="39.96"/>
    <x v="5"/>
    <x v="3"/>
  </r>
  <r>
    <x v="270"/>
    <x v="41"/>
    <n v="2022"/>
    <x v="2"/>
    <n v="546"/>
    <n v="170.93"/>
    <x v="5"/>
    <x v="3"/>
  </r>
  <r>
    <x v="271"/>
    <x v="41"/>
    <n v="2022"/>
    <x v="0"/>
    <n v="340"/>
    <n v="119.02"/>
    <x v="5"/>
    <x v="3"/>
  </r>
  <r>
    <x v="271"/>
    <x v="41"/>
    <n v="2022"/>
    <x v="5"/>
    <n v="391"/>
    <n v="90.57"/>
    <x v="5"/>
    <x v="3"/>
  </r>
  <r>
    <x v="271"/>
    <x v="41"/>
    <n v="2022"/>
    <x v="3"/>
    <n v="357"/>
    <n v="125.17"/>
    <x v="5"/>
    <x v="3"/>
  </r>
  <r>
    <x v="271"/>
    <x v="41"/>
    <n v="2022"/>
    <x v="1"/>
    <n v="357"/>
    <n v="124.82"/>
    <x v="5"/>
    <x v="3"/>
  </r>
  <r>
    <x v="271"/>
    <x v="41"/>
    <n v="2022"/>
    <x v="4"/>
    <n v="476"/>
    <n v="165.86"/>
    <x v="5"/>
    <x v="3"/>
  </r>
  <r>
    <x v="265"/>
    <x v="42"/>
    <n v="2022"/>
    <x v="2"/>
    <n v="20.5"/>
    <n v="7.08"/>
    <x v="5"/>
    <x v="1"/>
  </r>
  <r>
    <x v="272"/>
    <x v="42"/>
    <n v="2022"/>
    <x v="0"/>
    <n v="37.93"/>
    <n v="17.8"/>
    <x v="5"/>
    <x v="1"/>
  </r>
  <r>
    <x v="272"/>
    <x v="42"/>
    <n v="2022"/>
    <x v="5"/>
    <n v="20.5"/>
    <n v="7.08"/>
    <x v="5"/>
    <x v="1"/>
  </r>
  <r>
    <x v="272"/>
    <x v="42"/>
    <n v="2022"/>
    <x v="3"/>
    <n v="30.75"/>
    <n v="10.62"/>
    <x v="5"/>
    <x v="1"/>
  </r>
  <r>
    <x v="272"/>
    <x v="42"/>
    <n v="2022"/>
    <x v="1"/>
    <n v="30.75"/>
    <n v="10.62"/>
    <x v="5"/>
    <x v="1"/>
  </r>
  <r>
    <x v="272"/>
    <x v="42"/>
    <n v="2022"/>
    <x v="4"/>
    <n v="20.5"/>
    <n v="7.08"/>
    <x v="5"/>
    <x v="1"/>
  </r>
  <r>
    <x v="5"/>
    <x v="42"/>
    <n v="2022"/>
    <x v="2"/>
    <n v="29.25"/>
    <n v="11.31"/>
    <x v="5"/>
    <x v="2"/>
  </r>
  <r>
    <x v="250"/>
    <x v="42"/>
    <n v="2022"/>
    <x v="0"/>
    <n v="36"/>
    <n v="18.059999999999999"/>
    <x v="5"/>
    <x v="7"/>
  </r>
  <r>
    <x v="250"/>
    <x v="42"/>
    <n v="2022"/>
    <x v="5"/>
    <n v="19.5"/>
    <n v="7.54"/>
    <x v="5"/>
    <x v="7"/>
  </r>
  <r>
    <x v="250"/>
    <x v="42"/>
    <n v="2022"/>
    <x v="3"/>
    <n v="29.25"/>
    <n v="11.31"/>
    <x v="5"/>
    <x v="7"/>
  </r>
  <r>
    <x v="250"/>
    <x v="42"/>
    <n v="2022"/>
    <x v="1"/>
    <n v="29.25"/>
    <n v="11.31"/>
    <x v="5"/>
    <x v="7"/>
  </r>
  <r>
    <x v="250"/>
    <x v="42"/>
    <n v="2022"/>
    <x v="4"/>
    <n v="19.5"/>
    <n v="7.54"/>
    <x v="5"/>
    <x v="7"/>
  </r>
  <r>
    <x v="251"/>
    <x v="42"/>
    <n v="2022"/>
    <x v="5"/>
    <n v="22.5"/>
    <n v="-7.5"/>
    <x v="5"/>
    <x v="7"/>
  </r>
  <r>
    <x v="263"/>
    <x v="42"/>
    <n v="2022"/>
    <x v="5"/>
    <n v="10.25"/>
    <n v="-0.33"/>
    <x v="5"/>
    <x v="7"/>
  </r>
  <r>
    <x v="266"/>
    <x v="42"/>
    <n v="2022"/>
    <x v="2"/>
    <n v="30.05"/>
    <n v="19.010000000000002"/>
    <x v="5"/>
    <x v="2"/>
  </r>
  <r>
    <x v="267"/>
    <x v="42"/>
    <n v="2022"/>
    <x v="0"/>
    <n v="30"/>
    <n v="18.96"/>
    <x v="5"/>
    <x v="5"/>
  </r>
  <r>
    <x v="267"/>
    <x v="42"/>
    <n v="2022"/>
    <x v="5"/>
    <n v="15.05"/>
    <n v="0"/>
    <x v="5"/>
    <x v="5"/>
  </r>
  <r>
    <x v="240"/>
    <x v="42"/>
    <n v="2022"/>
    <x v="5"/>
    <n v="16"/>
    <n v="0"/>
    <x v="5"/>
    <x v="4"/>
  </r>
  <r>
    <x v="102"/>
    <x v="42"/>
    <n v="2022"/>
    <x v="5"/>
    <n v="18.25"/>
    <n v="4.2"/>
    <x v="5"/>
    <x v="0"/>
  </r>
  <r>
    <x v="84"/>
    <x v="43"/>
    <n v="2022"/>
    <x v="5"/>
    <n v="21.5"/>
    <n v="11.66"/>
    <x v="4"/>
    <x v="3"/>
  </r>
  <r>
    <x v="260"/>
    <x v="43"/>
    <n v="2022"/>
    <x v="3"/>
    <n v="10.75"/>
    <n v="5.83"/>
    <x v="4"/>
    <x v="3"/>
  </r>
  <r>
    <x v="260"/>
    <x v="43"/>
    <n v="2022"/>
    <x v="1"/>
    <n v="21.5"/>
    <n v="11.66"/>
    <x v="4"/>
    <x v="3"/>
  </r>
  <r>
    <x v="265"/>
    <x v="43"/>
    <n v="2022"/>
    <x v="2"/>
    <n v="30.75"/>
    <n v="10.62"/>
    <x v="4"/>
    <x v="1"/>
  </r>
  <r>
    <x v="272"/>
    <x v="43"/>
    <n v="2022"/>
    <x v="0"/>
    <n v="25"/>
    <n v="11.58"/>
    <x v="4"/>
    <x v="1"/>
  </r>
  <r>
    <x v="272"/>
    <x v="43"/>
    <n v="2022"/>
    <x v="5"/>
    <n v="12.5"/>
    <n v="5.79"/>
    <x v="4"/>
    <x v="1"/>
  </r>
  <r>
    <x v="272"/>
    <x v="43"/>
    <n v="2022"/>
    <x v="3"/>
    <n v="12.5"/>
    <n v="5.79"/>
    <x v="4"/>
    <x v="1"/>
  </r>
  <r>
    <x v="272"/>
    <x v="43"/>
    <n v="2022"/>
    <x v="1"/>
    <n v="12.5"/>
    <n v="5.79"/>
    <x v="4"/>
    <x v="1"/>
  </r>
  <r>
    <x v="273"/>
    <x v="43"/>
    <n v="2022"/>
    <x v="2"/>
    <n v="17.5"/>
    <n v="3.26"/>
    <x v="4"/>
    <x v="0"/>
  </r>
  <r>
    <x v="274"/>
    <x v="43"/>
    <n v="2022"/>
    <x v="0"/>
    <n v="19.5"/>
    <n v="5.25"/>
    <x v="4"/>
    <x v="3"/>
  </r>
  <r>
    <x v="274"/>
    <x v="43"/>
    <n v="2022"/>
    <x v="3"/>
    <n v="19.5"/>
    <n v="5.97"/>
    <x v="4"/>
    <x v="3"/>
  </r>
  <r>
    <x v="5"/>
    <x v="43"/>
    <n v="2022"/>
    <x v="2"/>
    <n v="39"/>
    <n v="15.08"/>
    <x v="4"/>
    <x v="2"/>
  </r>
  <r>
    <x v="250"/>
    <x v="43"/>
    <n v="2022"/>
    <x v="0"/>
    <n v="48"/>
    <n v="24.09"/>
    <x v="4"/>
    <x v="7"/>
  </r>
  <r>
    <x v="250"/>
    <x v="43"/>
    <n v="2022"/>
    <x v="5"/>
    <n v="60"/>
    <n v="30.11"/>
    <x v="4"/>
    <x v="7"/>
  </r>
  <r>
    <x v="250"/>
    <x v="43"/>
    <n v="2022"/>
    <x v="3"/>
    <n v="36"/>
    <n v="18.059999999999999"/>
    <x v="4"/>
    <x v="7"/>
  </r>
  <r>
    <x v="250"/>
    <x v="43"/>
    <n v="2022"/>
    <x v="1"/>
    <n v="36"/>
    <n v="18.059999999999999"/>
    <x v="4"/>
    <x v="7"/>
  </r>
  <r>
    <x v="250"/>
    <x v="43"/>
    <n v="2022"/>
    <x v="4"/>
    <n v="24"/>
    <n v="12.04"/>
    <x v="4"/>
    <x v="7"/>
  </r>
  <r>
    <x v="275"/>
    <x v="43"/>
    <n v="2022"/>
    <x v="2"/>
    <n v="14.25"/>
    <n v="1.43"/>
    <x v="4"/>
    <x v="0"/>
  </r>
  <r>
    <x v="276"/>
    <x v="43"/>
    <n v="2022"/>
    <x v="4"/>
    <n v="14.25"/>
    <n v="1.8"/>
    <x v="4"/>
    <x v="2"/>
  </r>
  <r>
    <x v="251"/>
    <x v="43"/>
    <n v="2022"/>
    <x v="2"/>
    <n v="45"/>
    <n v="5.84"/>
    <x v="4"/>
    <x v="7"/>
  </r>
  <r>
    <x v="252"/>
    <x v="43"/>
    <n v="2022"/>
    <x v="0"/>
    <n v="60"/>
    <n v="8.9"/>
    <x v="4"/>
    <x v="5"/>
  </r>
  <r>
    <x v="252"/>
    <x v="43"/>
    <n v="2022"/>
    <x v="5"/>
    <n v="48"/>
    <n v="8.99"/>
    <x v="4"/>
    <x v="5"/>
  </r>
  <r>
    <x v="252"/>
    <x v="43"/>
    <n v="2022"/>
    <x v="3"/>
    <n v="48"/>
    <n v="9.3800000000000008"/>
    <x v="4"/>
    <x v="5"/>
  </r>
  <r>
    <x v="252"/>
    <x v="43"/>
    <n v="2022"/>
    <x v="1"/>
    <n v="24"/>
    <n v="4.41"/>
    <x v="4"/>
    <x v="5"/>
  </r>
  <r>
    <x v="252"/>
    <x v="43"/>
    <n v="2022"/>
    <x v="4"/>
    <n v="36"/>
    <n v="6.6"/>
    <x v="4"/>
    <x v="5"/>
  </r>
  <r>
    <x v="263"/>
    <x v="43"/>
    <n v="2022"/>
    <x v="2"/>
    <n v="61.5"/>
    <n v="34.56"/>
    <x v="4"/>
    <x v="7"/>
  </r>
  <r>
    <x v="264"/>
    <x v="43"/>
    <n v="2022"/>
    <x v="0"/>
    <n v="78"/>
    <n v="42.55"/>
    <x v="4"/>
    <x v="4"/>
  </r>
  <r>
    <x v="264"/>
    <x v="43"/>
    <n v="2022"/>
    <x v="5"/>
    <n v="65"/>
    <n v="42.55"/>
    <x v="4"/>
    <x v="4"/>
  </r>
  <r>
    <x v="264"/>
    <x v="43"/>
    <n v="2022"/>
    <x v="3"/>
    <n v="65"/>
    <n v="42.55"/>
    <x v="4"/>
    <x v="4"/>
  </r>
  <r>
    <x v="264"/>
    <x v="43"/>
    <n v="2022"/>
    <x v="1"/>
    <n v="52"/>
    <n v="34.04"/>
    <x v="4"/>
    <x v="4"/>
  </r>
  <r>
    <x v="264"/>
    <x v="43"/>
    <n v="2022"/>
    <x v="4"/>
    <n v="39"/>
    <n v="25.53"/>
    <x v="4"/>
    <x v="4"/>
  </r>
  <r>
    <x v="266"/>
    <x v="43"/>
    <n v="2022"/>
    <x v="2"/>
    <n v="45"/>
    <n v="28.44"/>
    <x v="4"/>
    <x v="2"/>
  </r>
  <r>
    <x v="267"/>
    <x v="43"/>
    <n v="2022"/>
    <x v="0"/>
    <n v="45"/>
    <n v="28.44"/>
    <x v="4"/>
    <x v="5"/>
  </r>
  <r>
    <x v="267"/>
    <x v="43"/>
    <n v="2022"/>
    <x v="5"/>
    <n v="45"/>
    <n v="28.44"/>
    <x v="4"/>
    <x v="5"/>
  </r>
  <r>
    <x v="267"/>
    <x v="43"/>
    <n v="2022"/>
    <x v="3"/>
    <n v="60"/>
    <n v="37.92"/>
    <x v="4"/>
    <x v="5"/>
  </r>
  <r>
    <x v="267"/>
    <x v="43"/>
    <n v="2022"/>
    <x v="1"/>
    <n v="45"/>
    <n v="28.44"/>
    <x v="4"/>
    <x v="5"/>
  </r>
  <r>
    <x v="267"/>
    <x v="43"/>
    <n v="2022"/>
    <x v="4"/>
    <n v="45"/>
    <n v="28.44"/>
    <x v="4"/>
    <x v="5"/>
  </r>
  <r>
    <x v="253"/>
    <x v="43"/>
    <n v="2022"/>
    <x v="2"/>
    <n v="20"/>
    <n v="8.9600000000000009"/>
    <x v="4"/>
    <x v="7"/>
  </r>
  <r>
    <x v="254"/>
    <x v="43"/>
    <n v="2022"/>
    <x v="0"/>
    <n v="12.75"/>
    <n v="7.23"/>
    <x v="4"/>
    <x v="1"/>
  </r>
  <r>
    <x v="254"/>
    <x v="43"/>
    <n v="2022"/>
    <x v="5"/>
    <n v="10"/>
    <n v="4.4800000000000004"/>
    <x v="4"/>
    <x v="1"/>
  </r>
  <r>
    <x v="254"/>
    <x v="43"/>
    <n v="2022"/>
    <x v="3"/>
    <n v="27.5"/>
    <n v="16.46"/>
    <x v="4"/>
    <x v="1"/>
  </r>
  <r>
    <x v="254"/>
    <x v="43"/>
    <n v="2022"/>
    <x v="1"/>
    <n v="13.75"/>
    <n v="8.23"/>
    <x v="4"/>
    <x v="1"/>
  </r>
  <r>
    <x v="254"/>
    <x v="43"/>
    <n v="2022"/>
    <x v="4"/>
    <n v="41.25"/>
    <n v="24.69"/>
    <x v="4"/>
    <x v="1"/>
  </r>
  <r>
    <x v="30"/>
    <x v="43"/>
    <n v="2022"/>
    <x v="1"/>
    <n v="23.8"/>
    <n v="13.46"/>
    <x v="4"/>
    <x v="3"/>
  </r>
  <r>
    <x v="255"/>
    <x v="43"/>
    <n v="2022"/>
    <x v="4"/>
    <n v="23.8"/>
    <n v="13.46"/>
    <x v="4"/>
    <x v="1"/>
  </r>
  <r>
    <x v="31"/>
    <x v="43"/>
    <n v="2022"/>
    <x v="4"/>
    <n v="21.5"/>
    <n v="11.58"/>
    <x v="4"/>
    <x v="4"/>
  </r>
  <r>
    <x v="240"/>
    <x v="43"/>
    <n v="2022"/>
    <x v="2"/>
    <n v="42.75"/>
    <n v="21.72"/>
    <x v="4"/>
    <x v="4"/>
  </r>
  <r>
    <x v="88"/>
    <x v="43"/>
    <n v="2022"/>
    <x v="0"/>
    <n v="48"/>
    <n v="17.98"/>
    <x v="4"/>
    <x v="4"/>
  </r>
  <r>
    <x v="88"/>
    <x v="43"/>
    <n v="2022"/>
    <x v="5"/>
    <n v="30.25"/>
    <n v="16.23"/>
    <x v="4"/>
    <x v="4"/>
  </r>
  <r>
    <x v="88"/>
    <x v="43"/>
    <n v="2022"/>
    <x v="3"/>
    <n v="28.5"/>
    <n v="14.48"/>
    <x v="4"/>
    <x v="4"/>
  </r>
  <r>
    <x v="88"/>
    <x v="43"/>
    <n v="2022"/>
    <x v="1"/>
    <n v="14.25"/>
    <n v="7.24"/>
    <x v="4"/>
    <x v="4"/>
  </r>
  <r>
    <x v="88"/>
    <x v="43"/>
    <n v="2022"/>
    <x v="4"/>
    <n v="42.75"/>
    <n v="21.72"/>
    <x v="4"/>
    <x v="4"/>
  </r>
  <r>
    <x v="102"/>
    <x v="43"/>
    <n v="2022"/>
    <x v="2"/>
    <n v="73"/>
    <n v="46.04"/>
    <x v="4"/>
    <x v="0"/>
  </r>
  <r>
    <x v="73"/>
    <x v="43"/>
    <n v="2022"/>
    <x v="0"/>
    <n v="74.25"/>
    <n v="54.03"/>
    <x v="4"/>
    <x v="0"/>
  </r>
  <r>
    <x v="73"/>
    <x v="43"/>
    <n v="2022"/>
    <x v="5"/>
    <n v="73"/>
    <n v="46.04"/>
    <x v="4"/>
    <x v="0"/>
  </r>
  <r>
    <x v="73"/>
    <x v="43"/>
    <n v="2022"/>
    <x v="3"/>
    <n v="79.5"/>
    <n v="52.54"/>
    <x v="4"/>
    <x v="0"/>
  </r>
  <r>
    <x v="73"/>
    <x v="43"/>
    <n v="2022"/>
    <x v="1"/>
    <n v="73"/>
    <n v="46.04"/>
    <x v="4"/>
    <x v="0"/>
  </r>
  <r>
    <x v="73"/>
    <x v="43"/>
    <n v="2022"/>
    <x v="4"/>
    <n v="73"/>
    <n v="46.04"/>
    <x v="4"/>
    <x v="0"/>
  </r>
  <r>
    <x v="60"/>
    <x v="43"/>
    <n v="2022"/>
    <x v="2"/>
    <n v="20"/>
    <n v="10.119999999999999"/>
    <x v="4"/>
    <x v="3"/>
  </r>
  <r>
    <x v="72"/>
    <x v="43"/>
    <n v="2022"/>
    <x v="2"/>
    <n v="28.9"/>
    <n v="10.17"/>
    <x v="4"/>
    <x v="6"/>
  </r>
  <r>
    <x v="7"/>
    <x v="44"/>
    <n v="2022"/>
    <x v="2"/>
    <n v="72.5"/>
    <n v="25.44"/>
    <x v="2"/>
    <x v="4"/>
  </r>
  <r>
    <x v="84"/>
    <x v="44"/>
    <n v="2022"/>
    <x v="2"/>
    <n v="81.5"/>
    <n v="42.14"/>
    <x v="2"/>
    <x v="3"/>
  </r>
  <r>
    <x v="260"/>
    <x v="44"/>
    <n v="2022"/>
    <x v="0"/>
    <n v="64.5"/>
    <n v="34.979999999999997"/>
    <x v="2"/>
    <x v="3"/>
  </r>
  <r>
    <x v="260"/>
    <x v="44"/>
    <n v="2022"/>
    <x v="5"/>
    <n v="96.75"/>
    <n v="52.47"/>
    <x v="2"/>
    <x v="3"/>
  </r>
  <r>
    <x v="260"/>
    <x v="44"/>
    <n v="2022"/>
    <x v="3"/>
    <n v="53.75"/>
    <n v="29.15"/>
    <x v="2"/>
    <x v="3"/>
  </r>
  <r>
    <x v="260"/>
    <x v="44"/>
    <n v="2022"/>
    <x v="1"/>
    <n v="64.5"/>
    <n v="34.979999999999997"/>
    <x v="2"/>
    <x v="3"/>
  </r>
  <r>
    <x v="260"/>
    <x v="44"/>
    <n v="2022"/>
    <x v="4"/>
    <n v="53.75"/>
    <n v="29.15"/>
    <x v="2"/>
    <x v="3"/>
  </r>
  <r>
    <x v="5"/>
    <x v="44"/>
    <n v="2022"/>
    <x v="5"/>
    <n v="12.38"/>
    <n v="6.4"/>
    <x v="2"/>
    <x v="2"/>
  </r>
  <r>
    <x v="263"/>
    <x v="44"/>
    <n v="2022"/>
    <x v="2"/>
    <n v="102.5"/>
    <n v="57.6"/>
    <x v="2"/>
    <x v="7"/>
  </r>
  <r>
    <x v="264"/>
    <x v="44"/>
    <n v="2022"/>
    <x v="0"/>
    <n v="69.75"/>
    <n v="42.81"/>
    <x v="2"/>
    <x v="4"/>
  </r>
  <r>
    <x v="264"/>
    <x v="44"/>
    <n v="2022"/>
    <x v="5"/>
    <n v="102.5"/>
    <n v="57.6"/>
    <x v="2"/>
    <x v="4"/>
  </r>
  <r>
    <x v="264"/>
    <x v="44"/>
    <n v="2022"/>
    <x v="3"/>
    <n v="51.25"/>
    <n v="28.8"/>
    <x v="2"/>
    <x v="4"/>
  </r>
  <r>
    <x v="264"/>
    <x v="44"/>
    <n v="2022"/>
    <x v="1"/>
    <n v="61.5"/>
    <n v="34.56"/>
    <x v="2"/>
    <x v="4"/>
  </r>
  <r>
    <x v="264"/>
    <x v="44"/>
    <n v="2022"/>
    <x v="4"/>
    <n v="51.25"/>
    <n v="28.8"/>
    <x v="2"/>
    <x v="4"/>
  </r>
  <r>
    <x v="240"/>
    <x v="44"/>
    <n v="2022"/>
    <x v="2"/>
    <n v="99.75"/>
    <n v="50.67"/>
    <x v="2"/>
    <x v="4"/>
  </r>
  <r>
    <x v="88"/>
    <x v="44"/>
    <n v="2022"/>
    <x v="0"/>
    <n v="92.5"/>
    <n v="50.42"/>
    <x v="2"/>
    <x v="4"/>
  </r>
  <r>
    <x v="88"/>
    <x v="44"/>
    <n v="2022"/>
    <x v="5"/>
    <n v="114"/>
    <n v="57.89"/>
    <x v="2"/>
    <x v="4"/>
  </r>
  <r>
    <x v="88"/>
    <x v="44"/>
    <n v="2022"/>
    <x v="3"/>
    <n v="71.25"/>
    <n v="36.19"/>
    <x v="2"/>
    <x v="4"/>
  </r>
  <r>
    <x v="88"/>
    <x v="44"/>
    <n v="2022"/>
    <x v="1"/>
    <n v="85.5"/>
    <n v="43.42"/>
    <x v="2"/>
    <x v="4"/>
  </r>
  <r>
    <x v="88"/>
    <x v="44"/>
    <n v="2022"/>
    <x v="4"/>
    <n v="71.25"/>
    <n v="36.18"/>
    <x v="2"/>
    <x v="4"/>
  </r>
  <r>
    <x v="60"/>
    <x v="44"/>
    <n v="2022"/>
    <x v="2"/>
    <n v="51.7"/>
    <n v="31.94"/>
    <x v="2"/>
    <x v="3"/>
  </r>
  <r>
    <x v="61"/>
    <x v="44"/>
    <n v="2022"/>
    <x v="5"/>
    <n v="34.1"/>
    <n v="24.22"/>
    <x v="2"/>
    <x v="6"/>
  </r>
  <r>
    <x v="62"/>
    <x v="44"/>
    <n v="2022"/>
    <x v="4"/>
    <n v="15.25"/>
    <n v="9.7100000000000009"/>
    <x v="2"/>
    <x v="1"/>
  </r>
  <r>
    <x v="72"/>
    <x v="44"/>
    <n v="2022"/>
    <x v="5"/>
    <n v="40.15"/>
    <n v="21.42"/>
    <x v="2"/>
    <x v="6"/>
  </r>
  <r>
    <x v="63"/>
    <x v="44"/>
    <n v="2022"/>
    <x v="2"/>
    <n v="17.600000000000001"/>
    <n v="3.62"/>
    <x v="2"/>
    <x v="7"/>
  </r>
  <r>
    <x v="241"/>
    <x v="45"/>
    <n v="2022"/>
    <x v="2"/>
    <n v="12.5"/>
    <n v="8.02"/>
    <x v="2"/>
    <x v="2"/>
  </r>
  <r>
    <x v="23"/>
    <x v="45"/>
    <n v="2022"/>
    <x v="3"/>
    <n v="0"/>
    <n v="0"/>
    <x v="2"/>
    <x v="5"/>
  </r>
  <r>
    <x v="27"/>
    <x v="45"/>
    <n v="2022"/>
    <x v="3"/>
    <n v="0"/>
    <n v="0"/>
    <x v="2"/>
    <x v="2"/>
  </r>
  <r>
    <x v="28"/>
    <x v="45"/>
    <n v="2022"/>
    <x v="2"/>
    <n v="60"/>
    <n v="35.22"/>
    <x v="2"/>
    <x v="7"/>
  </r>
  <r>
    <x v="29"/>
    <x v="45"/>
    <n v="2022"/>
    <x v="0"/>
    <n v="54.88"/>
    <n v="26.48"/>
    <x v="2"/>
    <x v="2"/>
  </r>
  <r>
    <x v="29"/>
    <x v="45"/>
    <n v="2022"/>
    <x v="5"/>
    <n v="50"/>
    <n v="29.35"/>
    <x v="2"/>
    <x v="2"/>
  </r>
  <r>
    <x v="29"/>
    <x v="45"/>
    <n v="2022"/>
    <x v="3"/>
    <n v="60"/>
    <n v="35.22"/>
    <x v="2"/>
    <x v="2"/>
  </r>
  <r>
    <x v="29"/>
    <x v="45"/>
    <n v="2022"/>
    <x v="1"/>
    <n v="70"/>
    <n v="41.09"/>
    <x v="2"/>
    <x v="2"/>
  </r>
  <r>
    <x v="29"/>
    <x v="45"/>
    <n v="2022"/>
    <x v="4"/>
    <n v="50"/>
    <n v="29.35"/>
    <x v="2"/>
    <x v="2"/>
  </r>
  <r>
    <x v="84"/>
    <x v="45"/>
    <n v="2022"/>
    <x v="2"/>
    <n v="150.5"/>
    <n v="81.62"/>
    <x v="2"/>
    <x v="3"/>
  </r>
  <r>
    <x v="260"/>
    <x v="45"/>
    <n v="2022"/>
    <x v="0"/>
    <n v="150.5"/>
    <n v="81.62"/>
    <x v="2"/>
    <x v="3"/>
  </r>
  <r>
    <x v="260"/>
    <x v="45"/>
    <n v="2022"/>
    <x v="5"/>
    <n v="195.75"/>
    <n v="107.19"/>
    <x v="2"/>
    <x v="3"/>
  </r>
  <r>
    <x v="260"/>
    <x v="45"/>
    <n v="2022"/>
    <x v="3"/>
    <n v="193.5"/>
    <n v="98.03"/>
    <x v="2"/>
    <x v="3"/>
  </r>
  <r>
    <x v="260"/>
    <x v="45"/>
    <n v="2022"/>
    <x v="1"/>
    <n v="150.5"/>
    <n v="81.62"/>
    <x v="2"/>
    <x v="3"/>
  </r>
  <r>
    <x v="260"/>
    <x v="45"/>
    <n v="2022"/>
    <x v="4"/>
    <n v="129"/>
    <n v="69.959999999999994"/>
    <x v="2"/>
    <x v="3"/>
  </r>
  <r>
    <x v="265"/>
    <x v="45"/>
    <n v="2022"/>
    <x v="5"/>
    <n v="12.93"/>
    <n v="6.22"/>
    <x v="2"/>
    <x v="1"/>
  </r>
  <r>
    <x v="277"/>
    <x v="45"/>
    <n v="2022"/>
    <x v="2"/>
    <n v="50.8"/>
    <n v="3.85"/>
    <x v="2"/>
    <x v="5"/>
  </r>
  <r>
    <x v="275"/>
    <x v="45"/>
    <n v="2022"/>
    <x v="2"/>
    <n v="37.200000000000003"/>
    <n v="-1.38"/>
    <x v="2"/>
    <x v="0"/>
  </r>
  <r>
    <x v="251"/>
    <x v="45"/>
    <n v="2022"/>
    <x v="2"/>
    <n v="11.25"/>
    <n v="1.47"/>
    <x v="2"/>
    <x v="7"/>
  </r>
  <r>
    <x v="252"/>
    <x v="45"/>
    <n v="2022"/>
    <x v="5"/>
    <n v="22.5"/>
    <n v="3.28"/>
    <x v="2"/>
    <x v="5"/>
  </r>
  <r>
    <x v="252"/>
    <x v="45"/>
    <n v="2022"/>
    <x v="4"/>
    <n v="11.25"/>
    <n v="1.45"/>
    <x v="2"/>
    <x v="5"/>
  </r>
  <r>
    <x v="263"/>
    <x v="45"/>
    <n v="2022"/>
    <x v="2"/>
    <n v="153.75"/>
    <n v="86.4"/>
    <x v="2"/>
    <x v="7"/>
  </r>
  <r>
    <x v="264"/>
    <x v="45"/>
    <n v="2022"/>
    <x v="0"/>
    <n v="166.8"/>
    <n v="94.13"/>
    <x v="2"/>
    <x v="4"/>
  </r>
  <r>
    <x v="264"/>
    <x v="45"/>
    <n v="2022"/>
    <x v="5"/>
    <n v="147.05000000000001"/>
    <n v="88.68"/>
    <x v="2"/>
    <x v="4"/>
  </r>
  <r>
    <x v="264"/>
    <x v="45"/>
    <n v="2022"/>
    <x v="3"/>
    <n v="153.75"/>
    <n v="86.4"/>
    <x v="2"/>
    <x v="4"/>
  </r>
  <r>
    <x v="264"/>
    <x v="45"/>
    <n v="2022"/>
    <x v="1"/>
    <n v="143.5"/>
    <n v="80.64"/>
    <x v="2"/>
    <x v="4"/>
  </r>
  <r>
    <x v="264"/>
    <x v="45"/>
    <n v="2022"/>
    <x v="4"/>
    <n v="112.75"/>
    <n v="63.36"/>
    <x v="2"/>
    <x v="4"/>
  </r>
  <r>
    <x v="266"/>
    <x v="45"/>
    <n v="2022"/>
    <x v="2"/>
    <n v="135.30000000000001"/>
    <n v="85.62"/>
    <x v="2"/>
    <x v="2"/>
  </r>
  <r>
    <x v="267"/>
    <x v="45"/>
    <n v="2022"/>
    <x v="0"/>
    <n v="136.33000000000001"/>
    <n v="75.94"/>
    <x v="2"/>
    <x v="5"/>
  </r>
  <r>
    <x v="267"/>
    <x v="45"/>
    <n v="2022"/>
    <x v="5"/>
    <n v="136.85"/>
    <n v="87.17"/>
    <x v="2"/>
    <x v="5"/>
  </r>
  <r>
    <x v="267"/>
    <x v="45"/>
    <n v="2022"/>
    <x v="3"/>
    <n v="150.5"/>
    <n v="95.3"/>
    <x v="2"/>
    <x v="5"/>
  </r>
  <r>
    <x v="267"/>
    <x v="45"/>
    <n v="2022"/>
    <x v="1"/>
    <n v="120.4"/>
    <n v="76.239999999999995"/>
    <x v="2"/>
    <x v="5"/>
  </r>
  <r>
    <x v="267"/>
    <x v="45"/>
    <n v="2022"/>
    <x v="4"/>
    <n v="135.44999999999999"/>
    <n v="85.78"/>
    <x v="2"/>
    <x v="5"/>
  </r>
  <r>
    <x v="253"/>
    <x v="45"/>
    <n v="2022"/>
    <x v="2"/>
    <n v="93"/>
    <n v="43.32"/>
    <x v="2"/>
    <x v="7"/>
  </r>
  <r>
    <x v="254"/>
    <x v="45"/>
    <n v="2022"/>
    <x v="0"/>
    <n v="68.25"/>
    <n v="35.130000000000003"/>
    <x v="2"/>
    <x v="1"/>
  </r>
  <r>
    <x v="254"/>
    <x v="45"/>
    <n v="2022"/>
    <x v="5"/>
    <n v="77.5"/>
    <n v="38.86"/>
    <x v="2"/>
    <x v="1"/>
  </r>
  <r>
    <x v="254"/>
    <x v="45"/>
    <n v="2022"/>
    <x v="3"/>
    <n v="96.25"/>
    <n v="57.61"/>
    <x v="2"/>
    <x v="1"/>
  </r>
  <r>
    <x v="254"/>
    <x v="45"/>
    <n v="2022"/>
    <x v="1"/>
    <n v="110"/>
    <n v="65.84"/>
    <x v="2"/>
    <x v="1"/>
  </r>
  <r>
    <x v="254"/>
    <x v="45"/>
    <n v="2022"/>
    <x v="4"/>
    <n v="55"/>
    <n v="32.92"/>
    <x v="2"/>
    <x v="1"/>
  </r>
  <r>
    <x v="238"/>
    <x v="45"/>
    <n v="2022"/>
    <x v="2"/>
    <n v="182"/>
    <n v="79.040000000000006"/>
    <x v="2"/>
    <x v="5"/>
  </r>
  <r>
    <x v="239"/>
    <x v="45"/>
    <n v="2022"/>
    <x v="0"/>
    <n v="171.2"/>
    <n v="70.75"/>
    <x v="2"/>
    <x v="1"/>
  </r>
  <r>
    <x v="239"/>
    <x v="45"/>
    <n v="2022"/>
    <x v="5"/>
    <n v="136.19999999999999"/>
    <n v="61.32"/>
    <x v="2"/>
    <x v="1"/>
  </r>
  <r>
    <x v="239"/>
    <x v="45"/>
    <n v="2022"/>
    <x v="3"/>
    <n v="164"/>
    <n v="89.12"/>
    <x v="2"/>
    <x v="1"/>
  </r>
  <r>
    <x v="239"/>
    <x v="45"/>
    <n v="2022"/>
    <x v="1"/>
    <n v="184.5"/>
    <n v="100.26"/>
    <x v="2"/>
    <x v="1"/>
  </r>
  <r>
    <x v="239"/>
    <x v="45"/>
    <n v="2022"/>
    <x v="4"/>
    <n v="184.5"/>
    <n v="100.25"/>
    <x v="2"/>
    <x v="1"/>
  </r>
  <r>
    <x v="30"/>
    <x v="45"/>
    <n v="2022"/>
    <x v="2"/>
    <n v="23.8"/>
    <n v="13.46"/>
    <x v="2"/>
    <x v="3"/>
  </r>
  <r>
    <x v="255"/>
    <x v="45"/>
    <n v="2022"/>
    <x v="0"/>
    <n v="23.8"/>
    <n v="13.46"/>
    <x v="2"/>
    <x v="1"/>
  </r>
  <r>
    <x v="255"/>
    <x v="45"/>
    <n v="2022"/>
    <x v="5"/>
    <n v="23.8"/>
    <n v="13.46"/>
    <x v="2"/>
    <x v="1"/>
  </r>
  <r>
    <x v="255"/>
    <x v="45"/>
    <n v="2022"/>
    <x v="3"/>
    <n v="23.8"/>
    <n v="-2.92"/>
    <x v="2"/>
    <x v="1"/>
  </r>
  <r>
    <x v="255"/>
    <x v="45"/>
    <n v="2022"/>
    <x v="1"/>
    <n v="23.8"/>
    <n v="13.46"/>
    <x v="2"/>
    <x v="1"/>
  </r>
  <r>
    <x v="31"/>
    <x v="45"/>
    <n v="2022"/>
    <x v="2"/>
    <n v="43"/>
    <n v="23.16"/>
    <x v="2"/>
    <x v="4"/>
  </r>
  <r>
    <x v="256"/>
    <x v="45"/>
    <n v="2022"/>
    <x v="5"/>
    <n v="21.5"/>
    <n v="11.58"/>
    <x v="2"/>
    <x v="2"/>
  </r>
  <r>
    <x v="256"/>
    <x v="45"/>
    <n v="2022"/>
    <x v="3"/>
    <n v="21.5"/>
    <n v="-0.83"/>
    <x v="2"/>
    <x v="2"/>
  </r>
  <r>
    <x v="32"/>
    <x v="45"/>
    <n v="2022"/>
    <x v="2"/>
    <n v="23"/>
    <n v="11.85"/>
    <x v="2"/>
    <x v="0"/>
  </r>
  <r>
    <x v="33"/>
    <x v="45"/>
    <n v="2022"/>
    <x v="0"/>
    <n v="78.650000000000006"/>
    <n v="29.4"/>
    <x v="2"/>
    <x v="6"/>
  </r>
  <r>
    <x v="33"/>
    <x v="45"/>
    <n v="2022"/>
    <x v="3"/>
    <n v="23"/>
    <n v="11.85"/>
    <x v="2"/>
    <x v="6"/>
  </r>
  <r>
    <x v="240"/>
    <x v="45"/>
    <n v="2022"/>
    <x v="2"/>
    <n v="156.75"/>
    <n v="79.63"/>
    <x v="2"/>
    <x v="4"/>
  </r>
  <r>
    <x v="88"/>
    <x v="45"/>
    <n v="2022"/>
    <x v="0"/>
    <n v="117.5"/>
    <n v="61.42"/>
    <x v="2"/>
    <x v="4"/>
  </r>
  <r>
    <x v="88"/>
    <x v="45"/>
    <n v="2022"/>
    <x v="5"/>
    <n v="144.25"/>
    <n v="74.150000000000006"/>
    <x v="2"/>
    <x v="4"/>
  </r>
  <r>
    <x v="88"/>
    <x v="45"/>
    <n v="2022"/>
    <x v="3"/>
    <n v="114"/>
    <n v="57.92"/>
    <x v="2"/>
    <x v="4"/>
  </r>
  <r>
    <x v="88"/>
    <x v="45"/>
    <n v="2022"/>
    <x v="1"/>
    <n v="144.75"/>
    <n v="74.650000000000006"/>
    <x v="2"/>
    <x v="4"/>
  </r>
  <r>
    <x v="88"/>
    <x v="45"/>
    <n v="2022"/>
    <x v="4"/>
    <n v="114"/>
    <n v="57.91"/>
    <x v="2"/>
    <x v="4"/>
  </r>
  <r>
    <x v="102"/>
    <x v="45"/>
    <n v="2022"/>
    <x v="2"/>
    <n v="237.25"/>
    <n v="148.99"/>
    <x v="2"/>
    <x v="0"/>
  </r>
  <r>
    <x v="73"/>
    <x v="45"/>
    <n v="2022"/>
    <x v="0"/>
    <n v="285.23"/>
    <n v="177.11"/>
    <x v="2"/>
    <x v="0"/>
  </r>
  <r>
    <x v="73"/>
    <x v="45"/>
    <n v="2022"/>
    <x v="5"/>
    <n v="229.75"/>
    <n v="148.87"/>
    <x v="2"/>
    <x v="0"/>
  </r>
  <r>
    <x v="73"/>
    <x v="45"/>
    <n v="2022"/>
    <x v="3"/>
    <n v="243.75"/>
    <n v="156.13"/>
    <x v="2"/>
    <x v="0"/>
  </r>
  <r>
    <x v="73"/>
    <x v="45"/>
    <n v="2022"/>
    <x v="1"/>
    <n v="182.5"/>
    <n v="115.1"/>
    <x v="2"/>
    <x v="0"/>
  </r>
  <r>
    <x v="73"/>
    <x v="45"/>
    <n v="2022"/>
    <x v="4"/>
    <n v="146"/>
    <n v="92.08"/>
    <x v="2"/>
    <x v="0"/>
  </r>
  <r>
    <x v="103"/>
    <x v="45"/>
    <n v="2022"/>
    <x v="3"/>
    <n v="17.25"/>
    <n v="4.79"/>
    <x v="2"/>
    <x v="5"/>
  </r>
  <r>
    <x v="104"/>
    <x v="45"/>
    <n v="2022"/>
    <x v="4"/>
    <n v="17.25"/>
    <n v="4.79"/>
    <x v="2"/>
    <x v="7"/>
  </r>
  <r>
    <x v="68"/>
    <x v="45"/>
    <n v="2022"/>
    <x v="5"/>
    <n v="13.2"/>
    <n v="10.75"/>
    <x v="2"/>
    <x v="4"/>
  </r>
  <r>
    <x v="60"/>
    <x v="45"/>
    <n v="2022"/>
    <x v="2"/>
    <n v="51.7"/>
    <n v="31.94"/>
    <x v="2"/>
    <x v="3"/>
  </r>
  <r>
    <x v="61"/>
    <x v="45"/>
    <n v="2022"/>
    <x v="3"/>
    <n v="34.1"/>
    <n v="24.22"/>
    <x v="2"/>
    <x v="6"/>
  </r>
  <r>
    <x v="62"/>
    <x v="45"/>
    <n v="2022"/>
    <x v="1"/>
    <n v="15.25"/>
    <n v="9.7100000000000009"/>
    <x v="2"/>
    <x v="1"/>
  </r>
  <r>
    <x v="72"/>
    <x v="45"/>
    <n v="2022"/>
    <x v="3"/>
    <n v="28.9"/>
    <n v="10.17"/>
    <x v="2"/>
    <x v="6"/>
  </r>
  <r>
    <x v="63"/>
    <x v="45"/>
    <n v="2022"/>
    <x v="0"/>
    <n v="17.600000000000001"/>
    <n v="3.62"/>
    <x v="2"/>
    <x v="7"/>
  </r>
  <r>
    <x v="64"/>
    <x v="45"/>
    <n v="2022"/>
    <x v="1"/>
    <n v="17.600000000000001"/>
    <n v="3.62"/>
    <x v="2"/>
    <x v="3"/>
  </r>
  <r>
    <x v="89"/>
    <x v="46"/>
    <n v="2022"/>
    <x v="3"/>
    <n v="360"/>
    <n v="225.74"/>
    <x v="4"/>
    <x v="7"/>
  </r>
  <r>
    <x v="149"/>
    <x v="46"/>
    <n v="2022"/>
    <x v="4"/>
    <n v="352"/>
    <n v="113.33"/>
    <x v="4"/>
    <x v="5"/>
  </r>
  <r>
    <x v="66"/>
    <x v="47"/>
    <n v="2022"/>
    <x v="0"/>
    <n v="14.58"/>
    <n v="9.26"/>
    <x v="3"/>
    <x v="0"/>
  </r>
  <r>
    <x v="68"/>
    <x v="47"/>
    <n v="2022"/>
    <x v="0"/>
    <n v="13.2"/>
    <n v="10.75"/>
    <x v="3"/>
    <x v="4"/>
  </r>
  <r>
    <x v="70"/>
    <x v="47"/>
    <n v="2022"/>
    <x v="0"/>
    <n v="15.13"/>
    <n v="12.01"/>
    <x v="3"/>
    <x v="5"/>
  </r>
  <r>
    <x v="257"/>
    <x v="47"/>
    <n v="2022"/>
    <x v="0"/>
    <n v="37"/>
    <n v="18.71"/>
    <x v="3"/>
    <x v="3"/>
  </r>
  <r>
    <x v="60"/>
    <x v="47"/>
    <n v="2022"/>
    <x v="0"/>
    <n v="136.4"/>
    <n v="96.89"/>
    <x v="3"/>
    <x v="3"/>
  </r>
  <r>
    <x v="72"/>
    <x v="47"/>
    <n v="2022"/>
    <x v="0"/>
    <n v="40.15"/>
    <n v="21.42"/>
    <x v="3"/>
    <x v="6"/>
  </r>
  <r>
    <x v="259"/>
    <x v="47"/>
    <n v="2022"/>
    <x v="0"/>
    <n v="95"/>
    <n v="52.9"/>
    <x v="3"/>
    <x v="1"/>
  </r>
  <r>
    <x v="278"/>
    <x v="47"/>
    <n v="2022"/>
    <x v="0"/>
    <n v="70"/>
    <n v="40.909999999999997"/>
    <x v="3"/>
    <x v="1"/>
  </r>
  <r>
    <x v="63"/>
    <x v="47"/>
    <n v="2022"/>
    <x v="0"/>
    <n v="23.93"/>
    <n v="9.9499999999999993"/>
    <x v="3"/>
    <x v="7"/>
  </r>
  <r>
    <x v="164"/>
    <x v="48"/>
    <n v="2022"/>
    <x v="0"/>
    <n v="24.76"/>
    <n v="14.56"/>
    <x v="0"/>
    <x v="3"/>
  </r>
  <r>
    <x v="279"/>
    <x v="48"/>
    <n v="2022"/>
    <x v="0"/>
    <n v="28"/>
    <n v="17.14"/>
    <x v="0"/>
    <x v="6"/>
  </r>
  <r>
    <x v="280"/>
    <x v="48"/>
    <n v="2022"/>
    <x v="3"/>
    <n v="17.329999999999998"/>
    <n v="8.19"/>
    <x v="0"/>
    <x v="0"/>
  </r>
  <r>
    <x v="273"/>
    <x v="48"/>
    <n v="2022"/>
    <x v="2"/>
    <n v="558"/>
    <n v="159.69"/>
    <x v="0"/>
    <x v="0"/>
  </r>
  <r>
    <x v="274"/>
    <x v="48"/>
    <n v="2022"/>
    <x v="0"/>
    <n v="427.35"/>
    <n v="128.19999999999999"/>
    <x v="0"/>
    <x v="3"/>
  </r>
  <r>
    <x v="274"/>
    <x v="48"/>
    <n v="2022"/>
    <x v="5"/>
    <n v="569.79999999999995"/>
    <n v="173.29"/>
    <x v="0"/>
    <x v="3"/>
  </r>
  <r>
    <x v="274"/>
    <x v="48"/>
    <n v="2022"/>
    <x v="3"/>
    <n v="529.1"/>
    <n v="171.47"/>
    <x v="0"/>
    <x v="3"/>
  </r>
  <r>
    <x v="274"/>
    <x v="48"/>
    <n v="2022"/>
    <x v="1"/>
    <n v="427.35"/>
    <n v="135.49"/>
    <x v="0"/>
    <x v="3"/>
  </r>
  <r>
    <x v="274"/>
    <x v="48"/>
    <n v="2022"/>
    <x v="4"/>
    <n v="325.60000000000002"/>
    <n v="99.45"/>
    <x v="0"/>
    <x v="3"/>
  </r>
  <r>
    <x v="5"/>
    <x v="48"/>
    <n v="2022"/>
    <x v="2"/>
    <n v="264"/>
    <n v="96.38"/>
    <x v="0"/>
    <x v="2"/>
  </r>
  <r>
    <x v="250"/>
    <x v="48"/>
    <n v="2022"/>
    <x v="0"/>
    <n v="173.32"/>
    <n v="89.65"/>
    <x v="0"/>
    <x v="7"/>
  </r>
  <r>
    <x v="250"/>
    <x v="48"/>
    <n v="2022"/>
    <x v="5"/>
    <n v="247.6"/>
    <n v="128.07"/>
    <x v="0"/>
    <x v="7"/>
  </r>
  <r>
    <x v="250"/>
    <x v="48"/>
    <n v="2022"/>
    <x v="3"/>
    <n v="173.32"/>
    <n v="89.65"/>
    <x v="0"/>
    <x v="7"/>
  </r>
  <r>
    <x v="250"/>
    <x v="48"/>
    <n v="2022"/>
    <x v="1"/>
    <n v="185.7"/>
    <n v="96.06"/>
    <x v="0"/>
    <x v="7"/>
  </r>
  <r>
    <x v="250"/>
    <x v="48"/>
    <n v="2022"/>
    <x v="4"/>
    <n v="99.04"/>
    <n v="51.23"/>
    <x v="0"/>
    <x v="7"/>
  </r>
  <r>
    <x v="251"/>
    <x v="48"/>
    <n v="2022"/>
    <x v="2"/>
    <n v="437"/>
    <n v="77.86"/>
    <x v="0"/>
    <x v="7"/>
  </r>
  <r>
    <x v="252"/>
    <x v="48"/>
    <n v="2022"/>
    <x v="0"/>
    <n v="408.54"/>
    <n v="85.54"/>
    <x v="0"/>
    <x v="5"/>
  </r>
  <r>
    <x v="252"/>
    <x v="48"/>
    <n v="2022"/>
    <x v="5"/>
    <n v="495.2"/>
    <n v="105.47"/>
    <x v="0"/>
    <x v="5"/>
  </r>
  <r>
    <x v="252"/>
    <x v="48"/>
    <n v="2022"/>
    <x v="3"/>
    <n v="333.66"/>
    <n v="82.07"/>
    <x v="0"/>
    <x v="5"/>
  </r>
  <r>
    <x v="252"/>
    <x v="48"/>
    <n v="2022"/>
    <x v="1"/>
    <n v="390"/>
    <n v="97.54"/>
    <x v="0"/>
    <x v="5"/>
  </r>
  <r>
    <x v="252"/>
    <x v="48"/>
    <n v="2022"/>
    <x v="4"/>
    <n v="377"/>
    <n v="92.85"/>
    <x v="0"/>
    <x v="5"/>
  </r>
  <r>
    <x v="266"/>
    <x v="48"/>
    <n v="2022"/>
    <x v="2"/>
    <n v="231"/>
    <n v="153.78"/>
    <x v="0"/>
    <x v="2"/>
  </r>
  <r>
    <x v="267"/>
    <x v="48"/>
    <n v="2022"/>
    <x v="0"/>
    <n v="259.68"/>
    <n v="171.44"/>
    <x v="0"/>
    <x v="5"/>
  </r>
  <r>
    <x v="267"/>
    <x v="48"/>
    <n v="2022"/>
    <x v="5"/>
    <n v="292.14"/>
    <n v="192.83"/>
    <x v="0"/>
    <x v="5"/>
  </r>
  <r>
    <x v="267"/>
    <x v="48"/>
    <n v="2022"/>
    <x v="3"/>
    <n v="279.14999999999998"/>
    <n v="185.37"/>
    <x v="0"/>
    <x v="5"/>
  </r>
  <r>
    <x v="267"/>
    <x v="48"/>
    <n v="2022"/>
    <x v="1"/>
    <n v="297"/>
    <n v="197.72"/>
    <x v="0"/>
    <x v="5"/>
  </r>
  <r>
    <x v="267"/>
    <x v="48"/>
    <n v="2022"/>
    <x v="4"/>
    <n v="214.5"/>
    <n v="142.79"/>
    <x v="0"/>
    <x v="5"/>
  </r>
  <r>
    <x v="281"/>
    <x v="48"/>
    <n v="2022"/>
    <x v="2"/>
    <n v="16.25"/>
    <n v="9.19"/>
    <x v="0"/>
    <x v="3"/>
  </r>
  <r>
    <x v="261"/>
    <x v="48"/>
    <n v="2022"/>
    <x v="2"/>
    <n v="180"/>
    <n v="76.03"/>
    <x v="0"/>
    <x v="5"/>
  </r>
  <r>
    <x v="262"/>
    <x v="48"/>
    <n v="2022"/>
    <x v="0"/>
    <n v="180"/>
    <n v="97.78"/>
    <x v="0"/>
    <x v="5"/>
  </r>
  <r>
    <x v="262"/>
    <x v="48"/>
    <n v="2022"/>
    <x v="5"/>
    <n v="200"/>
    <n v="108.63"/>
    <x v="0"/>
    <x v="5"/>
  </r>
  <r>
    <x v="262"/>
    <x v="48"/>
    <n v="2022"/>
    <x v="3"/>
    <n v="260"/>
    <n v="141.24"/>
    <x v="0"/>
    <x v="5"/>
  </r>
  <r>
    <x v="262"/>
    <x v="48"/>
    <n v="2022"/>
    <x v="1"/>
    <n v="240"/>
    <n v="130.34"/>
    <x v="0"/>
    <x v="5"/>
  </r>
  <r>
    <x v="262"/>
    <x v="48"/>
    <n v="2022"/>
    <x v="4"/>
    <n v="260"/>
    <n v="141.24"/>
    <x v="0"/>
    <x v="5"/>
  </r>
  <r>
    <x v="238"/>
    <x v="48"/>
    <n v="2022"/>
    <x v="2"/>
    <n v="440"/>
    <n v="223.36"/>
    <x v="0"/>
    <x v="5"/>
  </r>
  <r>
    <x v="239"/>
    <x v="48"/>
    <n v="2022"/>
    <x v="0"/>
    <n v="386.65"/>
    <n v="208.74"/>
    <x v="0"/>
    <x v="1"/>
  </r>
  <r>
    <x v="239"/>
    <x v="48"/>
    <n v="2022"/>
    <x v="5"/>
    <n v="346.55"/>
    <n v="187.36"/>
    <x v="0"/>
    <x v="1"/>
  </r>
  <r>
    <x v="239"/>
    <x v="48"/>
    <n v="2022"/>
    <x v="3"/>
    <n v="348.5"/>
    <n v="189.31"/>
    <x v="0"/>
    <x v="1"/>
  </r>
  <r>
    <x v="239"/>
    <x v="48"/>
    <n v="2022"/>
    <x v="1"/>
    <n v="328"/>
    <n v="178.19"/>
    <x v="0"/>
    <x v="1"/>
  </r>
  <r>
    <x v="239"/>
    <x v="48"/>
    <n v="2022"/>
    <x v="4"/>
    <n v="307.5"/>
    <n v="167.04"/>
    <x v="0"/>
    <x v="1"/>
  </r>
  <r>
    <x v="240"/>
    <x v="48"/>
    <n v="2022"/>
    <x v="2"/>
    <n v="330"/>
    <n v="180.26"/>
    <x v="0"/>
    <x v="4"/>
  </r>
  <r>
    <x v="88"/>
    <x v="48"/>
    <n v="2022"/>
    <x v="0"/>
    <n v="363"/>
    <n v="189.74"/>
    <x v="0"/>
    <x v="4"/>
  </r>
  <r>
    <x v="88"/>
    <x v="48"/>
    <n v="2022"/>
    <x v="5"/>
    <n v="280.5"/>
    <n v="161.26"/>
    <x v="0"/>
    <x v="4"/>
  </r>
  <r>
    <x v="88"/>
    <x v="48"/>
    <n v="2022"/>
    <x v="3"/>
    <n v="280.5"/>
    <n v="161.27000000000001"/>
    <x v="0"/>
    <x v="4"/>
  </r>
  <r>
    <x v="88"/>
    <x v="48"/>
    <n v="2022"/>
    <x v="1"/>
    <n v="214.5"/>
    <n v="123.33"/>
    <x v="0"/>
    <x v="4"/>
  </r>
  <r>
    <x v="88"/>
    <x v="48"/>
    <n v="2022"/>
    <x v="4"/>
    <n v="214.5"/>
    <n v="123.33"/>
    <x v="0"/>
    <x v="4"/>
  </r>
  <r>
    <x v="202"/>
    <x v="48"/>
    <n v="2022"/>
    <x v="1"/>
    <n v="63.75"/>
    <n v="40.950000000000003"/>
    <x v="0"/>
    <x v="7"/>
  </r>
  <r>
    <x v="102"/>
    <x v="48"/>
    <n v="2022"/>
    <x v="2"/>
    <n v="553.5"/>
    <n v="380.45"/>
    <x v="0"/>
    <x v="0"/>
  </r>
  <r>
    <x v="73"/>
    <x v="48"/>
    <n v="2022"/>
    <x v="0"/>
    <n v="599.05999999999995"/>
    <n v="450.78"/>
    <x v="0"/>
    <x v="0"/>
  </r>
  <r>
    <x v="73"/>
    <x v="48"/>
    <n v="2022"/>
    <x v="5"/>
    <n v="680.75"/>
    <n v="512.25"/>
    <x v="0"/>
    <x v="0"/>
  </r>
  <r>
    <x v="73"/>
    <x v="48"/>
    <n v="2022"/>
    <x v="3"/>
    <n v="353.99"/>
    <n v="266.37"/>
    <x v="0"/>
    <x v="0"/>
  </r>
  <r>
    <x v="73"/>
    <x v="48"/>
    <n v="2022"/>
    <x v="1"/>
    <n v="435.68"/>
    <n v="327.84"/>
    <x v="0"/>
    <x v="0"/>
  </r>
  <r>
    <x v="73"/>
    <x v="48"/>
    <n v="2022"/>
    <x v="4"/>
    <n v="381.22"/>
    <n v="286.86"/>
    <x v="0"/>
    <x v="0"/>
  </r>
  <r>
    <x v="103"/>
    <x v="48"/>
    <n v="2022"/>
    <x v="2"/>
    <n v="554.5"/>
    <n v="267.04000000000002"/>
    <x v="0"/>
    <x v="5"/>
  </r>
  <r>
    <x v="104"/>
    <x v="48"/>
    <n v="2022"/>
    <x v="0"/>
    <n v="554.4"/>
    <n v="351.22"/>
    <x v="0"/>
    <x v="7"/>
  </r>
  <r>
    <x v="104"/>
    <x v="48"/>
    <n v="2022"/>
    <x v="5"/>
    <n v="589.04999999999995"/>
    <n v="377.17"/>
    <x v="0"/>
    <x v="7"/>
  </r>
  <r>
    <x v="104"/>
    <x v="48"/>
    <n v="2022"/>
    <x v="3"/>
    <n v="485.1"/>
    <n v="310.61"/>
    <x v="0"/>
    <x v="7"/>
  </r>
  <r>
    <x v="104"/>
    <x v="48"/>
    <n v="2022"/>
    <x v="1"/>
    <n v="485.1"/>
    <n v="310.61"/>
    <x v="0"/>
    <x v="7"/>
  </r>
  <r>
    <x v="104"/>
    <x v="48"/>
    <n v="2022"/>
    <x v="4"/>
    <n v="311.85000000000002"/>
    <n v="199.68"/>
    <x v="0"/>
    <x v="7"/>
  </r>
  <r>
    <x v="282"/>
    <x v="48"/>
    <n v="2022"/>
    <x v="2"/>
    <n v="102"/>
    <n v="68.88"/>
    <x v="0"/>
    <x v="4"/>
  </r>
  <r>
    <x v="283"/>
    <x v="48"/>
    <n v="2022"/>
    <x v="0"/>
    <n v="70"/>
    <n v="47.92"/>
    <x v="0"/>
    <x v="3"/>
  </r>
  <r>
    <x v="283"/>
    <x v="48"/>
    <n v="2022"/>
    <x v="5"/>
    <n v="140"/>
    <n v="95.84"/>
    <x v="0"/>
    <x v="3"/>
  </r>
  <r>
    <x v="283"/>
    <x v="48"/>
    <n v="2022"/>
    <x v="3"/>
    <n v="122.5"/>
    <n v="83.86"/>
    <x v="0"/>
    <x v="3"/>
  </r>
  <r>
    <x v="283"/>
    <x v="48"/>
    <n v="2022"/>
    <x v="1"/>
    <n v="175"/>
    <n v="119.81"/>
    <x v="0"/>
    <x v="3"/>
  </r>
  <r>
    <x v="283"/>
    <x v="48"/>
    <n v="2022"/>
    <x v="4"/>
    <n v="87.5"/>
    <n v="59.9"/>
    <x v="0"/>
    <x v="3"/>
  </r>
  <r>
    <x v="58"/>
    <x v="48"/>
    <n v="2022"/>
    <x v="0"/>
    <n v="9.25"/>
    <n v="34.5"/>
    <x v="0"/>
    <x v="5"/>
  </r>
  <r>
    <x v="284"/>
    <x v="48"/>
    <n v="2022"/>
    <x v="2"/>
    <n v="17"/>
    <n v="8.82"/>
    <x v="0"/>
    <x v="5"/>
  </r>
  <r>
    <x v="74"/>
    <x v="48"/>
    <n v="2022"/>
    <x v="0"/>
    <n v="34"/>
    <n v="17.64"/>
    <x v="0"/>
    <x v="5"/>
  </r>
  <r>
    <x v="74"/>
    <x v="48"/>
    <n v="2022"/>
    <x v="5"/>
    <n v="17"/>
    <n v="8.82"/>
    <x v="0"/>
    <x v="5"/>
  </r>
  <r>
    <x v="245"/>
    <x v="49"/>
    <n v="2022"/>
    <x v="3"/>
    <n v="27.84"/>
    <n v="21.02"/>
    <x v="5"/>
    <x v="4"/>
  </r>
  <r>
    <x v="273"/>
    <x v="49"/>
    <n v="2022"/>
    <x v="2"/>
    <n v="453"/>
    <n v="125.89"/>
    <x v="5"/>
    <x v="0"/>
  </r>
  <r>
    <x v="274"/>
    <x v="49"/>
    <n v="2022"/>
    <x v="0"/>
    <n v="323.05"/>
    <n v="95.13"/>
    <x v="5"/>
    <x v="3"/>
  </r>
  <r>
    <x v="274"/>
    <x v="49"/>
    <n v="2022"/>
    <x v="5"/>
    <n v="234"/>
    <n v="63.71"/>
    <x v="5"/>
    <x v="3"/>
  </r>
  <r>
    <x v="274"/>
    <x v="49"/>
    <n v="2022"/>
    <x v="3"/>
    <n v="362.25"/>
    <n v="-8.64"/>
    <x v="5"/>
    <x v="3"/>
  </r>
  <r>
    <x v="274"/>
    <x v="49"/>
    <n v="2022"/>
    <x v="1"/>
    <n v="263.25"/>
    <n v="81.02"/>
    <x v="5"/>
    <x v="3"/>
  </r>
  <r>
    <x v="274"/>
    <x v="49"/>
    <n v="2022"/>
    <x v="4"/>
    <n v="202.5"/>
    <n v="61.08"/>
    <x v="5"/>
    <x v="3"/>
  </r>
  <r>
    <x v="5"/>
    <x v="49"/>
    <n v="2022"/>
    <x v="2"/>
    <n v="348"/>
    <n v="174.72"/>
    <x v="5"/>
    <x v="2"/>
  </r>
  <r>
    <x v="250"/>
    <x v="49"/>
    <n v="2022"/>
    <x v="0"/>
    <n v="270.45999999999998"/>
    <n v="139"/>
    <x v="5"/>
    <x v="7"/>
  </r>
  <r>
    <x v="250"/>
    <x v="49"/>
    <n v="2022"/>
    <x v="5"/>
    <n v="336"/>
    <n v="168.7"/>
    <x v="5"/>
    <x v="7"/>
  </r>
  <r>
    <x v="250"/>
    <x v="49"/>
    <n v="2022"/>
    <x v="3"/>
    <n v="249"/>
    <n v="129.5"/>
    <x v="5"/>
    <x v="7"/>
  </r>
  <r>
    <x v="250"/>
    <x v="49"/>
    <n v="2022"/>
    <x v="1"/>
    <n v="275"/>
    <n v="143.55000000000001"/>
    <x v="5"/>
    <x v="7"/>
  </r>
  <r>
    <x v="250"/>
    <x v="49"/>
    <n v="2022"/>
    <x v="4"/>
    <n v="162.5"/>
    <n v="84.82"/>
    <x v="5"/>
    <x v="7"/>
  </r>
  <r>
    <x v="251"/>
    <x v="49"/>
    <n v="2022"/>
    <x v="2"/>
    <n v="1034"/>
    <n v="231.23"/>
    <x v="5"/>
    <x v="7"/>
  </r>
  <r>
    <x v="252"/>
    <x v="49"/>
    <n v="2022"/>
    <x v="0"/>
    <n v="927.28"/>
    <n v="203.9"/>
    <x v="5"/>
    <x v="5"/>
  </r>
  <r>
    <x v="252"/>
    <x v="49"/>
    <n v="2022"/>
    <x v="5"/>
    <n v="988"/>
    <n v="248.11"/>
    <x v="5"/>
    <x v="5"/>
  </r>
  <r>
    <x v="252"/>
    <x v="49"/>
    <n v="2022"/>
    <x v="3"/>
    <n v="1014"/>
    <n v="257.11"/>
    <x v="5"/>
    <x v="5"/>
  </r>
  <r>
    <x v="252"/>
    <x v="49"/>
    <n v="2022"/>
    <x v="1"/>
    <n v="871"/>
    <n v="221.72"/>
    <x v="5"/>
    <x v="5"/>
  </r>
  <r>
    <x v="252"/>
    <x v="49"/>
    <n v="2022"/>
    <x v="4"/>
    <n v="559"/>
    <n v="137.68"/>
    <x v="5"/>
    <x v="5"/>
  </r>
  <r>
    <x v="266"/>
    <x v="49"/>
    <n v="2022"/>
    <x v="2"/>
    <n v="456"/>
    <n v="302.27999999999997"/>
    <x v="5"/>
    <x v="2"/>
  </r>
  <r>
    <x v="267"/>
    <x v="49"/>
    <n v="2022"/>
    <x v="0"/>
    <n v="303.52999999999997"/>
    <n v="215.28"/>
    <x v="5"/>
    <x v="5"/>
  </r>
  <r>
    <x v="267"/>
    <x v="49"/>
    <n v="2022"/>
    <x v="5"/>
    <n v="400"/>
    <n v="311.76"/>
    <x v="5"/>
    <x v="5"/>
  </r>
  <r>
    <x v="267"/>
    <x v="49"/>
    <n v="2022"/>
    <x v="3"/>
    <n v="400"/>
    <n v="311.75"/>
    <x v="5"/>
    <x v="5"/>
  </r>
  <r>
    <x v="267"/>
    <x v="49"/>
    <n v="2022"/>
    <x v="1"/>
    <n v="475"/>
    <n v="370.21"/>
    <x v="5"/>
    <x v="5"/>
  </r>
  <r>
    <x v="267"/>
    <x v="49"/>
    <n v="2022"/>
    <x v="4"/>
    <n v="350"/>
    <n v="272.77999999999997"/>
    <x v="5"/>
    <x v="5"/>
  </r>
  <r>
    <x v="261"/>
    <x v="49"/>
    <n v="2022"/>
    <x v="2"/>
    <n v="300"/>
    <n v="162.96"/>
    <x v="5"/>
    <x v="5"/>
  </r>
  <r>
    <x v="262"/>
    <x v="49"/>
    <n v="2022"/>
    <x v="0"/>
    <n v="80"/>
    <n v="43.46"/>
    <x v="5"/>
    <x v="5"/>
  </r>
  <r>
    <x v="262"/>
    <x v="49"/>
    <n v="2022"/>
    <x v="5"/>
    <n v="220"/>
    <n v="119.51"/>
    <x v="5"/>
    <x v="5"/>
  </r>
  <r>
    <x v="262"/>
    <x v="49"/>
    <n v="2022"/>
    <x v="3"/>
    <n v="240"/>
    <n v="130.37"/>
    <x v="5"/>
    <x v="5"/>
  </r>
  <r>
    <x v="262"/>
    <x v="49"/>
    <n v="2022"/>
    <x v="1"/>
    <n v="200"/>
    <n v="108.64"/>
    <x v="5"/>
    <x v="5"/>
  </r>
  <r>
    <x v="262"/>
    <x v="49"/>
    <n v="2022"/>
    <x v="4"/>
    <n v="260"/>
    <n v="141.24"/>
    <x v="5"/>
    <x v="5"/>
  </r>
  <r>
    <x v="238"/>
    <x v="49"/>
    <n v="2022"/>
    <x v="2"/>
    <n v="420"/>
    <n v="223.36"/>
    <x v="5"/>
    <x v="5"/>
  </r>
  <r>
    <x v="239"/>
    <x v="49"/>
    <n v="2022"/>
    <x v="0"/>
    <n v="304.55"/>
    <n v="164.08"/>
    <x v="5"/>
    <x v="1"/>
  </r>
  <r>
    <x v="239"/>
    <x v="49"/>
    <n v="2022"/>
    <x v="5"/>
    <n v="301.5"/>
    <n v="161.03"/>
    <x v="5"/>
    <x v="1"/>
  </r>
  <r>
    <x v="239"/>
    <x v="49"/>
    <n v="2022"/>
    <x v="3"/>
    <n v="225.5"/>
    <n v="122.49"/>
    <x v="5"/>
    <x v="1"/>
  </r>
  <r>
    <x v="239"/>
    <x v="49"/>
    <n v="2022"/>
    <x v="1"/>
    <n v="410"/>
    <n v="222.72"/>
    <x v="5"/>
    <x v="1"/>
  </r>
  <r>
    <x v="239"/>
    <x v="49"/>
    <n v="2022"/>
    <x v="4"/>
    <n v="184.5"/>
    <n v="100.23"/>
    <x v="5"/>
    <x v="1"/>
  </r>
  <r>
    <x v="240"/>
    <x v="49"/>
    <n v="2022"/>
    <x v="2"/>
    <n v="627"/>
    <n v="360.52"/>
    <x v="5"/>
    <x v="4"/>
  </r>
  <r>
    <x v="88"/>
    <x v="49"/>
    <n v="2022"/>
    <x v="0"/>
    <n v="561"/>
    <n v="322.56"/>
    <x v="5"/>
    <x v="4"/>
  </r>
  <r>
    <x v="88"/>
    <x v="49"/>
    <n v="2022"/>
    <x v="5"/>
    <n v="363"/>
    <n v="208.72"/>
    <x v="5"/>
    <x v="4"/>
  </r>
  <r>
    <x v="88"/>
    <x v="49"/>
    <n v="2022"/>
    <x v="3"/>
    <n v="495"/>
    <n v="284.62"/>
    <x v="5"/>
    <x v="4"/>
  </r>
  <r>
    <x v="88"/>
    <x v="49"/>
    <n v="2022"/>
    <x v="1"/>
    <n v="445.5"/>
    <n v="256.16000000000003"/>
    <x v="5"/>
    <x v="4"/>
  </r>
  <r>
    <x v="88"/>
    <x v="49"/>
    <n v="2022"/>
    <x v="4"/>
    <n v="231"/>
    <n v="132.82"/>
    <x v="5"/>
    <x v="4"/>
  </r>
  <r>
    <x v="285"/>
    <x v="49"/>
    <n v="2022"/>
    <x v="5"/>
    <n v="25"/>
    <n v="15.96"/>
    <x v="5"/>
    <x v="1"/>
  </r>
  <r>
    <x v="164"/>
    <x v="50"/>
    <n v="2022"/>
    <x v="3"/>
    <n v="12.38"/>
    <n v="7.28"/>
    <x v="0"/>
    <x v="3"/>
  </r>
  <r>
    <x v="273"/>
    <x v="50"/>
    <n v="2022"/>
    <x v="1"/>
    <n v="0"/>
    <n v="0"/>
    <x v="0"/>
    <x v="0"/>
  </r>
  <r>
    <x v="5"/>
    <x v="50"/>
    <n v="2022"/>
    <x v="2"/>
    <n v="60"/>
    <n v="30.11"/>
    <x v="0"/>
    <x v="2"/>
  </r>
  <r>
    <x v="250"/>
    <x v="50"/>
    <n v="2022"/>
    <x v="0"/>
    <n v="49.52"/>
    <n v="25.61"/>
    <x v="0"/>
    <x v="7"/>
  </r>
  <r>
    <x v="250"/>
    <x v="50"/>
    <n v="2022"/>
    <x v="5"/>
    <n v="49.52"/>
    <n v="25.6"/>
    <x v="0"/>
    <x v="7"/>
  </r>
  <r>
    <x v="250"/>
    <x v="50"/>
    <n v="2022"/>
    <x v="3"/>
    <n v="12.38"/>
    <n v="6.4"/>
    <x v="0"/>
    <x v="7"/>
  </r>
  <r>
    <x v="250"/>
    <x v="50"/>
    <n v="2022"/>
    <x v="1"/>
    <n v="49.52"/>
    <n v="25.6"/>
    <x v="0"/>
    <x v="7"/>
  </r>
  <r>
    <x v="250"/>
    <x v="50"/>
    <n v="2022"/>
    <x v="4"/>
    <n v="24.76"/>
    <n v="12.8"/>
    <x v="0"/>
    <x v="7"/>
  </r>
  <r>
    <x v="251"/>
    <x v="50"/>
    <n v="2022"/>
    <x v="2"/>
    <n v="168.75"/>
    <n v="21.87"/>
    <x v="0"/>
    <x v="7"/>
  </r>
  <r>
    <x v="252"/>
    <x v="50"/>
    <n v="2022"/>
    <x v="0"/>
    <n v="205.94"/>
    <n v="39.340000000000003"/>
    <x v="0"/>
    <x v="5"/>
  </r>
  <r>
    <x v="252"/>
    <x v="50"/>
    <n v="2022"/>
    <x v="5"/>
    <n v="184.52"/>
    <n v="27.96"/>
    <x v="0"/>
    <x v="5"/>
  </r>
  <r>
    <x v="252"/>
    <x v="50"/>
    <n v="2022"/>
    <x v="3"/>
    <n v="149"/>
    <n v="33.74"/>
    <x v="0"/>
    <x v="5"/>
  </r>
  <r>
    <x v="252"/>
    <x v="50"/>
    <n v="2022"/>
    <x v="1"/>
    <n v="208"/>
    <n v="27.02"/>
    <x v="0"/>
    <x v="5"/>
  </r>
  <r>
    <x v="252"/>
    <x v="50"/>
    <n v="2022"/>
    <x v="4"/>
    <n v="104"/>
    <n v="25.62"/>
    <x v="0"/>
    <x v="5"/>
  </r>
  <r>
    <x v="266"/>
    <x v="50"/>
    <n v="2022"/>
    <x v="2"/>
    <n v="43.5"/>
    <n v="26.95"/>
    <x v="0"/>
    <x v="2"/>
  </r>
  <r>
    <x v="267"/>
    <x v="50"/>
    <n v="2022"/>
    <x v="0"/>
    <n v="59.73"/>
    <n v="37.659999999999997"/>
    <x v="0"/>
    <x v="5"/>
  </r>
  <r>
    <x v="267"/>
    <x v="50"/>
    <n v="2022"/>
    <x v="5"/>
    <n v="59.73"/>
    <n v="37.65"/>
    <x v="0"/>
    <x v="5"/>
  </r>
  <r>
    <x v="267"/>
    <x v="50"/>
    <n v="2022"/>
    <x v="3"/>
    <n v="49.5"/>
    <n v="32.950000000000003"/>
    <x v="0"/>
    <x v="5"/>
  </r>
  <r>
    <x v="267"/>
    <x v="50"/>
    <n v="2022"/>
    <x v="1"/>
    <n v="33"/>
    <n v="21.96"/>
    <x v="0"/>
    <x v="5"/>
  </r>
  <r>
    <x v="261"/>
    <x v="50"/>
    <n v="2022"/>
    <x v="2"/>
    <n v="70"/>
    <n v="33.44"/>
    <x v="0"/>
    <x v="5"/>
  </r>
  <r>
    <x v="262"/>
    <x v="50"/>
    <n v="2022"/>
    <x v="0"/>
    <n v="37.5"/>
    <n v="19.22"/>
    <x v="0"/>
    <x v="5"/>
  </r>
  <r>
    <x v="262"/>
    <x v="50"/>
    <n v="2022"/>
    <x v="5"/>
    <n v="37.5"/>
    <n v="19.22"/>
    <x v="0"/>
    <x v="5"/>
  </r>
  <r>
    <x v="262"/>
    <x v="50"/>
    <n v="2022"/>
    <x v="3"/>
    <n v="37.5"/>
    <n v="19.22"/>
    <x v="0"/>
    <x v="5"/>
  </r>
  <r>
    <x v="262"/>
    <x v="50"/>
    <n v="2022"/>
    <x v="1"/>
    <n v="60"/>
    <n v="32.58"/>
    <x v="0"/>
    <x v="5"/>
  </r>
  <r>
    <x v="262"/>
    <x v="50"/>
    <n v="2022"/>
    <x v="4"/>
    <n v="20"/>
    <n v="10.86"/>
    <x v="0"/>
    <x v="5"/>
  </r>
  <r>
    <x v="253"/>
    <x v="50"/>
    <n v="2022"/>
    <x v="1"/>
    <n v="0"/>
    <n v="0"/>
    <x v="0"/>
    <x v="7"/>
  </r>
  <r>
    <x v="238"/>
    <x v="50"/>
    <n v="2022"/>
    <x v="2"/>
    <n v="35.4"/>
    <n v="16.68"/>
    <x v="0"/>
    <x v="5"/>
  </r>
  <r>
    <x v="239"/>
    <x v="50"/>
    <n v="2022"/>
    <x v="0"/>
    <n v="114.15"/>
    <n v="57.97"/>
    <x v="0"/>
    <x v="1"/>
  </r>
  <r>
    <x v="239"/>
    <x v="50"/>
    <n v="2022"/>
    <x v="5"/>
    <n v="73.599999999999994"/>
    <n v="36.15"/>
    <x v="0"/>
    <x v="1"/>
  </r>
  <r>
    <x v="239"/>
    <x v="50"/>
    <n v="2022"/>
    <x v="3"/>
    <n v="41"/>
    <n v="22.28"/>
    <x v="0"/>
    <x v="1"/>
  </r>
  <r>
    <x v="239"/>
    <x v="50"/>
    <n v="2022"/>
    <x v="1"/>
    <n v="102.5"/>
    <n v="55.69"/>
    <x v="0"/>
    <x v="1"/>
  </r>
  <r>
    <x v="239"/>
    <x v="50"/>
    <n v="2022"/>
    <x v="4"/>
    <n v="41"/>
    <n v="22.28"/>
    <x v="0"/>
    <x v="1"/>
  </r>
  <r>
    <x v="240"/>
    <x v="50"/>
    <n v="2022"/>
    <x v="2"/>
    <n v="44.25"/>
    <n v="23.22"/>
    <x v="0"/>
    <x v="4"/>
  </r>
  <r>
    <x v="88"/>
    <x v="50"/>
    <n v="2022"/>
    <x v="0"/>
    <n v="60.75"/>
    <n v="32.700000000000003"/>
    <x v="0"/>
    <x v="4"/>
  </r>
  <r>
    <x v="88"/>
    <x v="50"/>
    <n v="2022"/>
    <x v="5"/>
    <n v="46"/>
    <n v="24.97"/>
    <x v="0"/>
    <x v="4"/>
  </r>
  <r>
    <x v="88"/>
    <x v="50"/>
    <n v="2022"/>
    <x v="3"/>
    <n v="47.75"/>
    <n v="26.71"/>
    <x v="0"/>
    <x v="4"/>
  </r>
  <r>
    <x v="88"/>
    <x v="50"/>
    <n v="2022"/>
    <x v="1"/>
    <n v="49.5"/>
    <n v="28.47"/>
    <x v="0"/>
    <x v="4"/>
  </r>
  <r>
    <x v="88"/>
    <x v="50"/>
    <n v="2022"/>
    <x v="4"/>
    <n v="49.5"/>
    <n v="28.46"/>
    <x v="0"/>
    <x v="4"/>
  </r>
  <r>
    <x v="102"/>
    <x v="50"/>
    <n v="2022"/>
    <x v="2"/>
    <n v="93.75"/>
    <n v="66.790000000000006"/>
    <x v="0"/>
    <x v="0"/>
  </r>
  <r>
    <x v="73"/>
    <x v="50"/>
    <n v="2022"/>
    <x v="0"/>
    <n v="81.69"/>
    <n v="61.47"/>
    <x v="0"/>
    <x v="0"/>
  </r>
  <r>
    <x v="73"/>
    <x v="50"/>
    <n v="2022"/>
    <x v="5"/>
    <n v="108.92"/>
    <n v="81.96"/>
    <x v="0"/>
    <x v="0"/>
  </r>
  <r>
    <x v="73"/>
    <x v="50"/>
    <n v="2022"/>
    <x v="3"/>
    <n v="81.69"/>
    <n v="61.47"/>
    <x v="0"/>
    <x v="0"/>
  </r>
  <r>
    <x v="73"/>
    <x v="50"/>
    <n v="2022"/>
    <x v="1"/>
    <n v="108.92"/>
    <n v="81.96"/>
    <x v="0"/>
    <x v="0"/>
  </r>
  <r>
    <x v="73"/>
    <x v="50"/>
    <n v="2022"/>
    <x v="4"/>
    <n v="54.46"/>
    <n v="40.98"/>
    <x v="0"/>
    <x v="0"/>
  </r>
  <r>
    <x v="103"/>
    <x v="50"/>
    <n v="2022"/>
    <x v="2"/>
    <n v="121.25"/>
    <n v="58.93"/>
    <x v="0"/>
    <x v="5"/>
  </r>
  <r>
    <x v="104"/>
    <x v="50"/>
    <n v="2022"/>
    <x v="0"/>
    <n v="103.95"/>
    <n v="66.569999999999993"/>
    <x v="0"/>
    <x v="7"/>
  </r>
  <r>
    <x v="104"/>
    <x v="50"/>
    <n v="2022"/>
    <x v="5"/>
    <n v="138.6"/>
    <n v="88.76"/>
    <x v="0"/>
    <x v="7"/>
  </r>
  <r>
    <x v="104"/>
    <x v="50"/>
    <n v="2022"/>
    <x v="3"/>
    <n v="103.95"/>
    <n v="66.569999999999993"/>
    <x v="0"/>
    <x v="7"/>
  </r>
  <r>
    <x v="104"/>
    <x v="50"/>
    <n v="2022"/>
    <x v="1"/>
    <n v="138.6"/>
    <n v="88.76"/>
    <x v="0"/>
    <x v="7"/>
  </r>
  <r>
    <x v="104"/>
    <x v="50"/>
    <n v="2022"/>
    <x v="4"/>
    <n v="69.3"/>
    <n v="44.38"/>
    <x v="0"/>
    <x v="7"/>
  </r>
  <r>
    <x v="282"/>
    <x v="50"/>
    <n v="2022"/>
    <x v="1"/>
    <n v="0"/>
    <n v="0"/>
    <x v="0"/>
    <x v="4"/>
  </r>
  <r>
    <x v="273"/>
    <x v="51"/>
    <n v="2022"/>
    <x v="2"/>
    <n v="157.5"/>
    <n v="43.69"/>
    <x v="4"/>
    <x v="0"/>
  </r>
  <r>
    <x v="274"/>
    <x v="51"/>
    <n v="2022"/>
    <x v="0"/>
    <n v="78.849999999999994"/>
    <n v="21.86"/>
    <x v="4"/>
    <x v="3"/>
  </r>
  <r>
    <x v="274"/>
    <x v="51"/>
    <n v="2022"/>
    <x v="5"/>
    <n v="156.85"/>
    <n v="43.32"/>
    <x v="4"/>
    <x v="3"/>
  </r>
  <r>
    <x v="274"/>
    <x v="51"/>
    <n v="2022"/>
    <x v="3"/>
    <n v="98.25"/>
    <n v="29.3"/>
    <x v="4"/>
    <x v="3"/>
  </r>
  <r>
    <x v="274"/>
    <x v="51"/>
    <n v="2022"/>
    <x v="1"/>
    <n v="121.5"/>
    <n v="38.119999999999997"/>
    <x v="4"/>
    <x v="3"/>
  </r>
  <r>
    <x v="274"/>
    <x v="51"/>
    <n v="2022"/>
    <x v="4"/>
    <n v="121.5"/>
    <n v="36.67"/>
    <x v="4"/>
    <x v="3"/>
  </r>
  <r>
    <x v="251"/>
    <x v="51"/>
    <n v="2022"/>
    <x v="2"/>
    <n v="178"/>
    <n v="40.92"/>
    <x v="4"/>
    <x v="7"/>
  </r>
  <r>
    <x v="252"/>
    <x v="51"/>
    <n v="2022"/>
    <x v="0"/>
    <n v="217.9"/>
    <n v="51.3"/>
    <x v="4"/>
    <x v="5"/>
  </r>
  <r>
    <x v="252"/>
    <x v="51"/>
    <n v="2022"/>
    <x v="5"/>
    <n v="282.89999999999998"/>
    <n v="68.37"/>
    <x v="4"/>
    <x v="5"/>
  </r>
  <r>
    <x v="252"/>
    <x v="51"/>
    <n v="2022"/>
    <x v="3"/>
    <n v="234"/>
    <n v="61.69"/>
    <x v="4"/>
    <x v="5"/>
  </r>
  <r>
    <x v="252"/>
    <x v="51"/>
    <n v="2022"/>
    <x v="1"/>
    <n v="247"/>
    <n v="62.28"/>
    <x v="4"/>
    <x v="5"/>
  </r>
  <r>
    <x v="252"/>
    <x v="51"/>
    <n v="2022"/>
    <x v="4"/>
    <n v="156"/>
    <n v="38.42"/>
    <x v="4"/>
    <x v="5"/>
  </r>
  <r>
    <x v="266"/>
    <x v="51"/>
    <n v="2022"/>
    <x v="2"/>
    <n v="66"/>
    <n v="43.92"/>
    <x v="4"/>
    <x v="2"/>
  </r>
  <r>
    <x v="267"/>
    <x v="51"/>
    <n v="2022"/>
    <x v="0"/>
    <n v="97.38"/>
    <n v="64.28"/>
    <x v="4"/>
    <x v="5"/>
  </r>
  <r>
    <x v="267"/>
    <x v="51"/>
    <n v="2022"/>
    <x v="5"/>
    <n v="64.92"/>
    <n v="42.84"/>
    <x v="4"/>
    <x v="5"/>
  </r>
  <r>
    <x v="267"/>
    <x v="51"/>
    <n v="2022"/>
    <x v="3"/>
    <n v="65.19"/>
    <n v="43.12"/>
    <x v="4"/>
    <x v="5"/>
  </r>
  <r>
    <x v="267"/>
    <x v="51"/>
    <n v="2022"/>
    <x v="1"/>
    <n v="66"/>
    <n v="43.94"/>
    <x v="4"/>
    <x v="5"/>
  </r>
  <r>
    <x v="267"/>
    <x v="51"/>
    <n v="2022"/>
    <x v="4"/>
    <n v="99"/>
    <n v="65.91"/>
    <x v="4"/>
    <x v="5"/>
  </r>
  <r>
    <x v="261"/>
    <x v="51"/>
    <n v="2022"/>
    <x v="2"/>
    <n v="100"/>
    <n v="54.32"/>
    <x v="4"/>
    <x v="5"/>
  </r>
  <r>
    <x v="262"/>
    <x v="51"/>
    <n v="2022"/>
    <x v="0"/>
    <n v="40"/>
    <n v="21.73"/>
    <x v="4"/>
    <x v="5"/>
  </r>
  <r>
    <x v="262"/>
    <x v="51"/>
    <n v="2022"/>
    <x v="5"/>
    <n v="80"/>
    <n v="32.590000000000003"/>
    <x v="4"/>
    <x v="5"/>
  </r>
  <r>
    <x v="262"/>
    <x v="51"/>
    <n v="2022"/>
    <x v="3"/>
    <n v="80"/>
    <n v="43.45"/>
    <x v="4"/>
    <x v="5"/>
  </r>
  <r>
    <x v="262"/>
    <x v="51"/>
    <n v="2022"/>
    <x v="1"/>
    <n v="40"/>
    <n v="21.72"/>
    <x v="4"/>
    <x v="5"/>
  </r>
  <r>
    <x v="262"/>
    <x v="51"/>
    <n v="2022"/>
    <x v="4"/>
    <n v="60"/>
    <n v="32.58"/>
    <x v="4"/>
    <x v="5"/>
  </r>
  <r>
    <x v="238"/>
    <x v="51"/>
    <n v="2022"/>
    <x v="2"/>
    <n v="40"/>
    <n v="21.28"/>
    <x v="4"/>
    <x v="5"/>
  </r>
  <r>
    <x v="239"/>
    <x v="51"/>
    <n v="2022"/>
    <x v="0"/>
    <n v="80.349999999999994"/>
    <n v="42.9"/>
    <x v="4"/>
    <x v="1"/>
  </r>
  <r>
    <x v="239"/>
    <x v="51"/>
    <n v="2022"/>
    <x v="5"/>
    <n v="80.5"/>
    <n v="43.06"/>
    <x v="4"/>
    <x v="1"/>
  </r>
  <r>
    <x v="239"/>
    <x v="51"/>
    <n v="2022"/>
    <x v="3"/>
    <n v="41"/>
    <n v="22.28"/>
    <x v="4"/>
    <x v="1"/>
  </r>
  <r>
    <x v="239"/>
    <x v="51"/>
    <n v="2022"/>
    <x v="1"/>
    <n v="82"/>
    <n v="44.55"/>
    <x v="4"/>
    <x v="1"/>
  </r>
  <r>
    <x v="239"/>
    <x v="51"/>
    <n v="2022"/>
    <x v="4"/>
    <n v="82"/>
    <n v="44.55"/>
    <x v="4"/>
    <x v="1"/>
  </r>
  <r>
    <x v="31"/>
    <x v="51"/>
    <n v="2022"/>
    <x v="2"/>
    <n v="25.5"/>
    <n v="15.58"/>
    <x v="4"/>
    <x v="4"/>
  </r>
  <r>
    <x v="240"/>
    <x v="51"/>
    <n v="2022"/>
    <x v="2"/>
    <n v="49.5"/>
    <n v="28.47"/>
    <x v="4"/>
    <x v="4"/>
  </r>
  <r>
    <x v="88"/>
    <x v="51"/>
    <n v="2022"/>
    <x v="0"/>
    <n v="49.5"/>
    <n v="28.47"/>
    <x v="4"/>
    <x v="4"/>
  </r>
  <r>
    <x v="88"/>
    <x v="51"/>
    <n v="2022"/>
    <x v="5"/>
    <n v="49.5"/>
    <n v="28.47"/>
    <x v="4"/>
    <x v="4"/>
  </r>
  <r>
    <x v="88"/>
    <x v="51"/>
    <n v="2022"/>
    <x v="3"/>
    <n v="49.5"/>
    <n v="28.47"/>
    <x v="4"/>
    <x v="4"/>
  </r>
  <r>
    <x v="88"/>
    <x v="51"/>
    <n v="2022"/>
    <x v="1"/>
    <n v="16.5"/>
    <n v="9.49"/>
    <x v="4"/>
    <x v="4"/>
  </r>
  <r>
    <x v="88"/>
    <x v="51"/>
    <n v="2022"/>
    <x v="4"/>
    <n v="33"/>
    <n v="18.98"/>
    <x v="4"/>
    <x v="4"/>
  </r>
  <r>
    <x v="282"/>
    <x v="51"/>
    <n v="2022"/>
    <x v="2"/>
    <n v="47"/>
    <n v="30.44"/>
    <x v="4"/>
    <x v="4"/>
  </r>
  <r>
    <x v="283"/>
    <x v="51"/>
    <n v="2022"/>
    <x v="0"/>
    <n v="62.5"/>
    <n v="40.42"/>
    <x v="4"/>
    <x v="3"/>
  </r>
  <r>
    <x v="283"/>
    <x v="51"/>
    <n v="2022"/>
    <x v="5"/>
    <n v="77.5"/>
    <n v="40.93"/>
    <x v="4"/>
    <x v="3"/>
  </r>
  <r>
    <x v="283"/>
    <x v="51"/>
    <n v="2022"/>
    <x v="3"/>
    <n v="62.5"/>
    <n v="40.42"/>
    <x v="4"/>
    <x v="3"/>
  </r>
  <r>
    <x v="283"/>
    <x v="51"/>
    <n v="2022"/>
    <x v="1"/>
    <n v="87.5"/>
    <n v="59.92"/>
    <x v="4"/>
    <x v="3"/>
  </r>
  <r>
    <x v="283"/>
    <x v="51"/>
    <n v="2022"/>
    <x v="4"/>
    <n v="35"/>
    <n v="23.96"/>
    <x v="4"/>
    <x v="3"/>
  </r>
  <r>
    <x v="107"/>
    <x v="52"/>
    <n v="2022"/>
    <x v="3"/>
    <n v="1650"/>
    <n v="411.4"/>
    <x v="4"/>
    <x v="4"/>
  </r>
  <r>
    <x v="286"/>
    <x v="52"/>
    <n v="2022"/>
    <x v="2"/>
    <n v="2750"/>
    <n v="1079.8399999999999"/>
    <x v="4"/>
    <x v="6"/>
  </r>
  <r>
    <x v="277"/>
    <x v="53"/>
    <n v="2022"/>
    <x v="2"/>
    <n v="158"/>
    <n v="41.52"/>
    <x v="0"/>
    <x v="5"/>
  </r>
  <r>
    <x v="287"/>
    <x v="53"/>
    <n v="2022"/>
    <x v="0"/>
    <n v="186"/>
    <n v="45.15"/>
    <x v="0"/>
    <x v="5"/>
  </r>
  <r>
    <x v="287"/>
    <x v="53"/>
    <n v="2022"/>
    <x v="5"/>
    <n v="229"/>
    <n v="64.59"/>
    <x v="0"/>
    <x v="5"/>
  </r>
  <r>
    <x v="287"/>
    <x v="53"/>
    <n v="2022"/>
    <x v="3"/>
    <n v="204"/>
    <n v="63.04"/>
    <x v="0"/>
    <x v="5"/>
  </r>
  <r>
    <x v="287"/>
    <x v="53"/>
    <n v="2022"/>
    <x v="1"/>
    <n v="221"/>
    <n v="68.28"/>
    <x v="0"/>
    <x v="5"/>
  </r>
  <r>
    <x v="287"/>
    <x v="53"/>
    <n v="2022"/>
    <x v="4"/>
    <n v="170"/>
    <n v="52.52"/>
    <x v="0"/>
    <x v="5"/>
  </r>
  <r>
    <x v="275"/>
    <x v="53"/>
    <n v="2022"/>
    <x v="2"/>
    <n v="399"/>
    <n v="91.34"/>
    <x v="0"/>
    <x v="0"/>
  </r>
  <r>
    <x v="276"/>
    <x v="53"/>
    <n v="2022"/>
    <x v="0"/>
    <n v="539"/>
    <n v="159.44999999999999"/>
    <x v="0"/>
    <x v="2"/>
  </r>
  <r>
    <x v="276"/>
    <x v="53"/>
    <n v="2022"/>
    <x v="5"/>
    <n v="514.25"/>
    <n v="137.57"/>
    <x v="0"/>
    <x v="2"/>
  </r>
  <r>
    <x v="276"/>
    <x v="53"/>
    <n v="2022"/>
    <x v="3"/>
    <n v="371.25"/>
    <n v="121.34"/>
    <x v="0"/>
    <x v="2"/>
  </r>
  <r>
    <x v="276"/>
    <x v="53"/>
    <n v="2022"/>
    <x v="1"/>
    <n v="539"/>
    <n v="133.29"/>
    <x v="0"/>
    <x v="2"/>
  </r>
  <r>
    <x v="276"/>
    <x v="53"/>
    <n v="2022"/>
    <x v="4"/>
    <n v="385"/>
    <n v="136.1"/>
    <x v="0"/>
    <x v="2"/>
  </r>
  <r>
    <x v="288"/>
    <x v="53"/>
    <n v="2022"/>
    <x v="2"/>
    <n v="70.25"/>
    <n v="26.75"/>
    <x v="0"/>
    <x v="0"/>
  </r>
  <r>
    <x v="289"/>
    <x v="53"/>
    <n v="2022"/>
    <x v="0"/>
    <n v="103.36"/>
    <n v="45.36"/>
    <x v="0"/>
    <x v="5"/>
  </r>
  <r>
    <x v="289"/>
    <x v="53"/>
    <n v="2022"/>
    <x v="5"/>
    <n v="126.68"/>
    <n v="54.18"/>
    <x v="0"/>
    <x v="5"/>
  </r>
  <r>
    <x v="289"/>
    <x v="53"/>
    <n v="2022"/>
    <x v="3"/>
    <n v="105.25"/>
    <n v="47.25"/>
    <x v="0"/>
    <x v="5"/>
  </r>
  <r>
    <x v="289"/>
    <x v="53"/>
    <n v="2022"/>
    <x v="1"/>
    <n v="133.75"/>
    <n v="61.25"/>
    <x v="0"/>
    <x v="5"/>
  </r>
  <r>
    <x v="289"/>
    <x v="53"/>
    <n v="2022"/>
    <x v="4"/>
    <n v="53.5"/>
    <n v="24.5"/>
    <x v="0"/>
    <x v="5"/>
  </r>
  <r>
    <x v="290"/>
    <x v="53"/>
    <n v="2022"/>
    <x v="2"/>
    <n v="27"/>
    <n v="10.73"/>
    <x v="0"/>
    <x v="0"/>
  </r>
  <r>
    <x v="291"/>
    <x v="53"/>
    <n v="2022"/>
    <x v="2"/>
    <n v="172.1"/>
    <n v="68.87"/>
    <x v="0"/>
    <x v="7"/>
  </r>
  <r>
    <x v="292"/>
    <x v="53"/>
    <n v="2022"/>
    <x v="0"/>
    <n v="228.8"/>
    <n v="90.48"/>
    <x v="0"/>
    <x v="1"/>
  </r>
  <r>
    <x v="292"/>
    <x v="53"/>
    <n v="2022"/>
    <x v="5"/>
    <n v="171.6"/>
    <n v="67.34"/>
    <x v="0"/>
    <x v="1"/>
  </r>
  <r>
    <x v="292"/>
    <x v="53"/>
    <n v="2022"/>
    <x v="3"/>
    <n v="171.6"/>
    <n v="62.81"/>
    <x v="0"/>
    <x v="1"/>
  </r>
  <r>
    <x v="292"/>
    <x v="53"/>
    <n v="2022"/>
    <x v="1"/>
    <n v="171.6"/>
    <n v="60.45"/>
    <x v="0"/>
    <x v="1"/>
  </r>
  <r>
    <x v="292"/>
    <x v="53"/>
    <n v="2022"/>
    <x v="4"/>
    <n v="171.6"/>
    <n v="58.78"/>
    <x v="0"/>
    <x v="1"/>
  </r>
  <r>
    <x v="34"/>
    <x v="53"/>
    <n v="2022"/>
    <x v="1"/>
    <n v="75"/>
    <n v="35.299999999999997"/>
    <x v="0"/>
    <x v="4"/>
  </r>
  <r>
    <x v="35"/>
    <x v="53"/>
    <n v="2022"/>
    <x v="4"/>
    <n v="147"/>
    <n v="-11.81"/>
    <x v="0"/>
    <x v="2"/>
  </r>
  <r>
    <x v="240"/>
    <x v="53"/>
    <n v="2022"/>
    <x v="2"/>
    <n v="66"/>
    <n v="37.96"/>
    <x v="0"/>
    <x v="4"/>
  </r>
  <r>
    <x v="88"/>
    <x v="53"/>
    <n v="2022"/>
    <x v="0"/>
    <n v="66"/>
    <n v="37.96"/>
    <x v="0"/>
    <x v="4"/>
  </r>
  <r>
    <x v="88"/>
    <x v="53"/>
    <n v="2022"/>
    <x v="5"/>
    <n v="82.5"/>
    <n v="47.45"/>
    <x v="0"/>
    <x v="4"/>
  </r>
  <r>
    <x v="88"/>
    <x v="53"/>
    <n v="2022"/>
    <x v="3"/>
    <n v="66"/>
    <n v="37.950000000000003"/>
    <x v="0"/>
    <x v="4"/>
  </r>
  <r>
    <x v="88"/>
    <x v="53"/>
    <n v="2022"/>
    <x v="1"/>
    <n v="82.5"/>
    <n v="47.45"/>
    <x v="0"/>
    <x v="4"/>
  </r>
  <r>
    <x v="88"/>
    <x v="53"/>
    <n v="2022"/>
    <x v="4"/>
    <n v="66"/>
    <n v="37.96"/>
    <x v="0"/>
    <x v="4"/>
  </r>
  <r>
    <x v="102"/>
    <x v="53"/>
    <n v="2022"/>
    <x v="1"/>
    <n v="45"/>
    <n v="31.52"/>
    <x v="0"/>
    <x v="0"/>
  </r>
  <r>
    <x v="73"/>
    <x v="53"/>
    <n v="2022"/>
    <x v="4"/>
    <n v="67.5"/>
    <n v="47.28"/>
    <x v="0"/>
    <x v="0"/>
  </r>
  <r>
    <x v="70"/>
    <x v="53"/>
    <n v="2022"/>
    <x v="2"/>
    <n v="30"/>
    <n v="26.88"/>
    <x v="0"/>
    <x v="5"/>
  </r>
  <r>
    <x v="257"/>
    <x v="53"/>
    <n v="2022"/>
    <x v="2"/>
    <n v="37"/>
    <n v="18.73"/>
    <x v="0"/>
    <x v="3"/>
  </r>
  <r>
    <x v="60"/>
    <x v="53"/>
    <n v="2022"/>
    <x v="2"/>
    <n v="29.5"/>
    <n v="19.54"/>
    <x v="0"/>
    <x v="3"/>
  </r>
  <r>
    <x v="72"/>
    <x v="53"/>
    <n v="2022"/>
    <x v="2"/>
    <n v="44.8"/>
    <n v="27.16"/>
    <x v="0"/>
    <x v="6"/>
  </r>
  <r>
    <x v="63"/>
    <x v="53"/>
    <n v="2022"/>
    <x v="2"/>
    <n v="25"/>
    <n v="11.02"/>
    <x v="0"/>
    <x v="7"/>
  </r>
  <r>
    <x v="48"/>
    <x v="53"/>
    <n v="2022"/>
    <x v="2"/>
    <n v="21"/>
    <n v="7.75"/>
    <x v="0"/>
    <x v="6"/>
  </r>
  <r>
    <x v="49"/>
    <x v="53"/>
    <n v="2022"/>
    <x v="5"/>
    <n v="21"/>
    <n v="7.49"/>
    <x v="0"/>
    <x v="1"/>
  </r>
  <r>
    <x v="279"/>
    <x v="54"/>
    <n v="2022"/>
    <x v="2"/>
    <n v="14"/>
    <n v="8.57"/>
    <x v="3"/>
    <x v="6"/>
  </r>
  <r>
    <x v="100"/>
    <x v="54"/>
    <n v="2022"/>
    <x v="2"/>
    <n v="105.75"/>
    <n v="53.93"/>
    <x v="3"/>
    <x v="7"/>
  </r>
  <r>
    <x v="293"/>
    <x v="54"/>
    <n v="2022"/>
    <x v="2"/>
    <n v="78"/>
    <n v="11.86"/>
    <x v="3"/>
    <x v="6"/>
  </r>
  <r>
    <x v="19"/>
    <x v="54"/>
    <n v="2022"/>
    <x v="2"/>
    <n v="125.4"/>
    <n v="65.62"/>
    <x v="3"/>
    <x v="5"/>
  </r>
  <r>
    <x v="20"/>
    <x v="54"/>
    <n v="2022"/>
    <x v="0"/>
    <n v="105.6"/>
    <n v="45.83"/>
    <x v="3"/>
    <x v="6"/>
  </r>
  <r>
    <x v="20"/>
    <x v="54"/>
    <n v="2022"/>
    <x v="5"/>
    <n v="188"/>
    <n v="83.4"/>
    <x v="3"/>
    <x v="6"/>
  </r>
  <r>
    <x v="20"/>
    <x v="54"/>
    <n v="2022"/>
    <x v="3"/>
    <n v="88.05"/>
    <n v="43.22"/>
    <x v="3"/>
    <x v="6"/>
  </r>
  <r>
    <x v="20"/>
    <x v="54"/>
    <n v="2022"/>
    <x v="1"/>
    <n v="264"/>
    <n v="114.56"/>
    <x v="3"/>
    <x v="6"/>
  </r>
  <r>
    <x v="20"/>
    <x v="54"/>
    <n v="2022"/>
    <x v="4"/>
    <n v="211.2"/>
    <n v="91.66"/>
    <x v="3"/>
    <x v="6"/>
  </r>
  <r>
    <x v="188"/>
    <x v="54"/>
    <n v="2022"/>
    <x v="2"/>
    <n v="203.28"/>
    <n v="118.28"/>
    <x v="3"/>
    <x v="0"/>
  </r>
  <r>
    <x v="189"/>
    <x v="54"/>
    <n v="2022"/>
    <x v="0"/>
    <n v="135.52000000000001"/>
    <n v="70.510000000000005"/>
    <x v="3"/>
    <x v="2"/>
  </r>
  <r>
    <x v="189"/>
    <x v="54"/>
    <n v="2022"/>
    <x v="3"/>
    <n v="135.52000000000001"/>
    <n v="69.88"/>
    <x v="3"/>
    <x v="2"/>
  </r>
  <r>
    <x v="21"/>
    <x v="54"/>
    <n v="2022"/>
    <x v="2"/>
    <n v="89"/>
    <n v="-20.96"/>
    <x v="3"/>
    <x v="1"/>
  </r>
  <r>
    <x v="22"/>
    <x v="54"/>
    <n v="2022"/>
    <x v="0"/>
    <n v="66.75"/>
    <n v="-13.52"/>
    <x v="3"/>
    <x v="3"/>
  </r>
  <r>
    <x v="22"/>
    <x v="54"/>
    <n v="2022"/>
    <x v="5"/>
    <n v="93"/>
    <n v="33.340000000000003"/>
    <x v="3"/>
    <x v="3"/>
  </r>
  <r>
    <x v="22"/>
    <x v="54"/>
    <n v="2022"/>
    <x v="3"/>
    <n v="112.25"/>
    <n v="21.27"/>
    <x v="3"/>
    <x v="3"/>
  </r>
  <r>
    <x v="22"/>
    <x v="54"/>
    <n v="2022"/>
    <x v="1"/>
    <n v="45"/>
    <n v="14.64"/>
    <x v="3"/>
    <x v="3"/>
  </r>
  <r>
    <x v="22"/>
    <x v="54"/>
    <n v="2022"/>
    <x v="4"/>
    <n v="22.25"/>
    <n v="-7.68"/>
    <x v="3"/>
    <x v="3"/>
  </r>
  <r>
    <x v="23"/>
    <x v="54"/>
    <n v="2022"/>
    <x v="5"/>
    <n v="26.4"/>
    <n v="22.39"/>
    <x v="3"/>
    <x v="5"/>
  </r>
  <r>
    <x v="24"/>
    <x v="54"/>
    <n v="2022"/>
    <x v="1"/>
    <n v="26.4"/>
    <n v="22.39"/>
    <x v="3"/>
    <x v="5"/>
  </r>
  <r>
    <x v="24"/>
    <x v="54"/>
    <n v="2022"/>
    <x v="4"/>
    <n v="26.4"/>
    <n v="22.39"/>
    <x v="3"/>
    <x v="5"/>
  </r>
  <r>
    <x v="25"/>
    <x v="54"/>
    <n v="2022"/>
    <x v="2"/>
    <n v="0"/>
    <n v="0"/>
    <x v="3"/>
    <x v="0"/>
  </r>
  <r>
    <x v="26"/>
    <x v="54"/>
    <n v="2022"/>
    <x v="0"/>
    <n v="96"/>
    <n v="8.69"/>
    <x v="3"/>
    <x v="0"/>
  </r>
  <r>
    <x v="26"/>
    <x v="54"/>
    <n v="2022"/>
    <x v="3"/>
    <n v="64"/>
    <n v="4.0199999999999996"/>
    <x v="3"/>
    <x v="0"/>
  </r>
  <r>
    <x v="26"/>
    <x v="54"/>
    <n v="2022"/>
    <x v="4"/>
    <n v="32"/>
    <n v="1.71"/>
    <x v="3"/>
    <x v="0"/>
  </r>
  <r>
    <x v="27"/>
    <x v="54"/>
    <n v="2022"/>
    <x v="5"/>
    <n v="25.85"/>
    <n v="21.97"/>
    <x v="3"/>
    <x v="2"/>
  </r>
  <r>
    <x v="80"/>
    <x v="54"/>
    <n v="2022"/>
    <x v="1"/>
    <n v="25.85"/>
    <n v="21.97"/>
    <x v="3"/>
    <x v="6"/>
  </r>
  <r>
    <x v="248"/>
    <x v="54"/>
    <n v="2022"/>
    <x v="2"/>
    <n v="83.5"/>
    <n v="48.94"/>
    <x v="3"/>
    <x v="7"/>
  </r>
  <r>
    <x v="249"/>
    <x v="54"/>
    <n v="2022"/>
    <x v="0"/>
    <n v="27.5"/>
    <n v="15.98"/>
    <x v="3"/>
    <x v="0"/>
  </r>
  <r>
    <x v="249"/>
    <x v="54"/>
    <n v="2022"/>
    <x v="5"/>
    <n v="56"/>
    <n v="32.96"/>
    <x v="3"/>
    <x v="0"/>
  </r>
  <r>
    <x v="249"/>
    <x v="54"/>
    <n v="2022"/>
    <x v="3"/>
    <n v="56"/>
    <n v="32.96"/>
    <x v="3"/>
    <x v="0"/>
  </r>
  <r>
    <x v="249"/>
    <x v="54"/>
    <n v="2022"/>
    <x v="1"/>
    <n v="70"/>
    <n v="41.2"/>
    <x v="3"/>
    <x v="0"/>
  </r>
  <r>
    <x v="249"/>
    <x v="54"/>
    <n v="2022"/>
    <x v="4"/>
    <n v="56"/>
    <n v="32.96"/>
    <x v="3"/>
    <x v="0"/>
  </r>
  <r>
    <x v="5"/>
    <x v="54"/>
    <n v="2022"/>
    <x v="2"/>
    <n v="60"/>
    <n v="30.1"/>
    <x v="3"/>
    <x v="2"/>
  </r>
  <r>
    <x v="250"/>
    <x v="54"/>
    <n v="2022"/>
    <x v="0"/>
    <n v="37.14"/>
    <n v="19.2"/>
    <x v="3"/>
    <x v="7"/>
  </r>
  <r>
    <x v="250"/>
    <x v="54"/>
    <n v="2022"/>
    <x v="5"/>
    <n v="48"/>
    <n v="24.08"/>
    <x v="3"/>
    <x v="7"/>
  </r>
  <r>
    <x v="250"/>
    <x v="54"/>
    <n v="2022"/>
    <x v="3"/>
    <n v="37.380000000000003"/>
    <n v="19.45"/>
    <x v="3"/>
    <x v="7"/>
  </r>
  <r>
    <x v="251"/>
    <x v="54"/>
    <n v="2022"/>
    <x v="2"/>
    <n v="76"/>
    <n v="17.27"/>
    <x v="3"/>
    <x v="7"/>
  </r>
  <r>
    <x v="252"/>
    <x v="54"/>
    <n v="2022"/>
    <x v="0"/>
    <n v="61.27"/>
    <n v="12.33"/>
    <x v="3"/>
    <x v="5"/>
  </r>
  <r>
    <x v="252"/>
    <x v="54"/>
    <n v="2022"/>
    <x v="5"/>
    <n v="52"/>
    <n v="12.99"/>
    <x v="3"/>
    <x v="5"/>
  </r>
  <r>
    <x v="252"/>
    <x v="54"/>
    <n v="2022"/>
    <x v="3"/>
    <n v="50.76"/>
    <n v="12.44"/>
    <x v="3"/>
    <x v="5"/>
  </r>
  <r>
    <x v="252"/>
    <x v="54"/>
    <n v="2022"/>
    <x v="1"/>
    <n v="104"/>
    <n v="25.99"/>
    <x v="3"/>
    <x v="5"/>
  </r>
  <r>
    <x v="252"/>
    <x v="54"/>
    <n v="2022"/>
    <x v="4"/>
    <n v="65"/>
    <n v="16"/>
    <x v="3"/>
    <x v="5"/>
  </r>
  <r>
    <x v="266"/>
    <x v="54"/>
    <n v="2022"/>
    <x v="2"/>
    <n v="66"/>
    <n v="43.92"/>
    <x v="3"/>
    <x v="2"/>
  </r>
  <r>
    <x v="267"/>
    <x v="54"/>
    <n v="2022"/>
    <x v="0"/>
    <n v="63.44"/>
    <n v="41.36"/>
    <x v="3"/>
    <x v="5"/>
  </r>
  <r>
    <x v="267"/>
    <x v="54"/>
    <n v="2022"/>
    <x v="5"/>
    <n v="49.5"/>
    <n v="32.94"/>
    <x v="3"/>
    <x v="5"/>
  </r>
  <r>
    <x v="267"/>
    <x v="54"/>
    <n v="2022"/>
    <x v="3"/>
    <n v="66"/>
    <n v="43.92"/>
    <x v="3"/>
    <x v="5"/>
  </r>
  <r>
    <x v="267"/>
    <x v="54"/>
    <n v="2022"/>
    <x v="1"/>
    <n v="82.5"/>
    <n v="54.9"/>
    <x v="3"/>
    <x v="5"/>
  </r>
  <r>
    <x v="267"/>
    <x v="54"/>
    <n v="2022"/>
    <x v="4"/>
    <n v="49.5"/>
    <n v="32.94"/>
    <x v="3"/>
    <x v="5"/>
  </r>
  <r>
    <x v="261"/>
    <x v="54"/>
    <n v="2022"/>
    <x v="2"/>
    <n v="100"/>
    <n v="54.31"/>
    <x v="3"/>
    <x v="5"/>
  </r>
  <r>
    <x v="262"/>
    <x v="54"/>
    <n v="2022"/>
    <x v="0"/>
    <n v="60"/>
    <n v="32.58"/>
    <x v="3"/>
    <x v="5"/>
  </r>
  <r>
    <x v="262"/>
    <x v="54"/>
    <n v="2022"/>
    <x v="5"/>
    <n v="80"/>
    <n v="43.44"/>
    <x v="3"/>
    <x v="5"/>
  </r>
  <r>
    <x v="262"/>
    <x v="54"/>
    <n v="2022"/>
    <x v="3"/>
    <n v="55.5"/>
    <n v="28.08"/>
    <x v="3"/>
    <x v="5"/>
  </r>
  <r>
    <x v="262"/>
    <x v="54"/>
    <n v="2022"/>
    <x v="1"/>
    <n v="91"/>
    <n v="45.3"/>
    <x v="3"/>
    <x v="5"/>
  </r>
  <r>
    <x v="262"/>
    <x v="54"/>
    <n v="2022"/>
    <x v="4"/>
    <n v="80"/>
    <n v="43.44"/>
    <x v="3"/>
    <x v="5"/>
  </r>
  <r>
    <x v="253"/>
    <x v="54"/>
    <n v="2022"/>
    <x v="2"/>
    <n v="52"/>
    <n v="29.92"/>
    <x v="3"/>
    <x v="7"/>
  </r>
  <r>
    <x v="254"/>
    <x v="54"/>
    <n v="2022"/>
    <x v="0"/>
    <n v="37.9"/>
    <n v="21.34"/>
    <x v="3"/>
    <x v="1"/>
  </r>
  <r>
    <x v="254"/>
    <x v="54"/>
    <n v="2022"/>
    <x v="5"/>
    <n v="39"/>
    <n v="22.44"/>
    <x v="3"/>
    <x v="1"/>
  </r>
  <r>
    <x v="254"/>
    <x v="54"/>
    <n v="2022"/>
    <x v="3"/>
    <n v="54.25"/>
    <n v="32.17"/>
    <x v="3"/>
    <x v="1"/>
  </r>
  <r>
    <x v="254"/>
    <x v="54"/>
    <n v="2022"/>
    <x v="1"/>
    <n v="55"/>
    <n v="32.93"/>
    <x v="3"/>
    <x v="1"/>
  </r>
  <r>
    <x v="254"/>
    <x v="54"/>
    <n v="2022"/>
    <x v="4"/>
    <n v="26"/>
    <n v="14.96"/>
    <x v="3"/>
    <x v="1"/>
  </r>
  <r>
    <x v="291"/>
    <x v="54"/>
    <n v="2022"/>
    <x v="3"/>
    <n v="114.4"/>
    <n v="41.19"/>
    <x v="3"/>
    <x v="7"/>
  </r>
  <r>
    <x v="238"/>
    <x v="54"/>
    <n v="2022"/>
    <x v="2"/>
    <n v="100.35"/>
    <n v="53.54"/>
    <x v="3"/>
    <x v="5"/>
  </r>
  <r>
    <x v="239"/>
    <x v="54"/>
    <n v="2022"/>
    <x v="0"/>
    <n v="116.8"/>
    <n v="60.62"/>
    <x v="3"/>
    <x v="1"/>
  </r>
  <r>
    <x v="239"/>
    <x v="54"/>
    <n v="2022"/>
    <x v="5"/>
    <n v="100"/>
    <n v="53.18"/>
    <x v="3"/>
    <x v="1"/>
  </r>
  <r>
    <x v="239"/>
    <x v="54"/>
    <n v="2022"/>
    <x v="3"/>
    <n v="102"/>
    <n v="55.19"/>
    <x v="3"/>
    <x v="1"/>
  </r>
  <r>
    <x v="239"/>
    <x v="54"/>
    <n v="2022"/>
    <x v="1"/>
    <n v="122"/>
    <n v="65.819999999999993"/>
    <x v="3"/>
    <x v="1"/>
  </r>
  <r>
    <x v="239"/>
    <x v="54"/>
    <n v="2022"/>
    <x v="4"/>
    <n v="60"/>
    <n v="31.91"/>
    <x v="3"/>
    <x v="1"/>
  </r>
  <r>
    <x v="240"/>
    <x v="54"/>
    <n v="2022"/>
    <x v="2"/>
    <n v="82.5"/>
    <n v="47.45"/>
    <x v="3"/>
    <x v="4"/>
  </r>
  <r>
    <x v="88"/>
    <x v="54"/>
    <n v="2022"/>
    <x v="0"/>
    <n v="64.25"/>
    <n v="36.21"/>
    <x v="3"/>
    <x v="4"/>
  </r>
  <r>
    <x v="88"/>
    <x v="54"/>
    <n v="2022"/>
    <x v="5"/>
    <n v="49.5"/>
    <n v="28.47"/>
    <x v="3"/>
    <x v="4"/>
  </r>
  <r>
    <x v="88"/>
    <x v="54"/>
    <n v="2022"/>
    <x v="3"/>
    <n v="33"/>
    <n v="18.98"/>
    <x v="3"/>
    <x v="4"/>
  </r>
  <r>
    <x v="88"/>
    <x v="54"/>
    <n v="2022"/>
    <x v="1"/>
    <n v="49.5"/>
    <n v="28.47"/>
    <x v="3"/>
    <x v="4"/>
  </r>
  <r>
    <x v="88"/>
    <x v="54"/>
    <n v="2022"/>
    <x v="4"/>
    <n v="49.5"/>
    <n v="28.47"/>
    <x v="3"/>
    <x v="4"/>
  </r>
  <r>
    <x v="102"/>
    <x v="54"/>
    <n v="2022"/>
    <x v="2"/>
    <n v="140.47999999999999"/>
    <n v="98.76"/>
    <x v="3"/>
    <x v="0"/>
  </r>
  <r>
    <x v="73"/>
    <x v="54"/>
    <n v="2022"/>
    <x v="0"/>
    <n v="128.41999999999999"/>
    <n v="94.72"/>
    <x v="3"/>
    <x v="0"/>
  </r>
  <r>
    <x v="73"/>
    <x v="54"/>
    <n v="2022"/>
    <x v="5"/>
    <n v="97.5"/>
    <n v="63.8"/>
    <x v="3"/>
    <x v="0"/>
  </r>
  <r>
    <x v="73"/>
    <x v="54"/>
    <n v="2022"/>
    <x v="3"/>
    <n v="67.5"/>
    <n v="47.28"/>
    <x v="3"/>
    <x v="0"/>
  </r>
  <r>
    <x v="73"/>
    <x v="54"/>
    <n v="2022"/>
    <x v="1"/>
    <n v="132"/>
    <n v="91.56"/>
    <x v="3"/>
    <x v="0"/>
  </r>
  <r>
    <x v="73"/>
    <x v="54"/>
    <n v="2022"/>
    <x v="4"/>
    <n v="78"/>
    <n v="51.04"/>
    <x v="3"/>
    <x v="0"/>
  </r>
  <r>
    <x v="103"/>
    <x v="54"/>
    <n v="2022"/>
    <x v="2"/>
    <n v="130.15"/>
    <n v="67.88"/>
    <x v="3"/>
    <x v="5"/>
  </r>
  <r>
    <x v="104"/>
    <x v="54"/>
    <n v="2022"/>
    <x v="0"/>
    <n v="156.85"/>
    <n v="94.54"/>
    <x v="3"/>
    <x v="7"/>
  </r>
  <r>
    <x v="104"/>
    <x v="54"/>
    <n v="2022"/>
    <x v="5"/>
    <n v="88"/>
    <n v="38.15"/>
    <x v="3"/>
    <x v="7"/>
  </r>
  <r>
    <x v="104"/>
    <x v="54"/>
    <n v="2022"/>
    <x v="3"/>
    <n v="106"/>
    <n v="43.69"/>
    <x v="3"/>
    <x v="7"/>
  </r>
  <r>
    <x v="104"/>
    <x v="54"/>
    <n v="2022"/>
    <x v="1"/>
    <n v="105"/>
    <n v="42.69"/>
    <x v="3"/>
    <x v="7"/>
  </r>
  <r>
    <x v="104"/>
    <x v="54"/>
    <n v="2022"/>
    <x v="4"/>
    <n v="88"/>
    <n v="38.159999999999997"/>
    <x v="3"/>
    <x v="7"/>
  </r>
  <r>
    <x v="41"/>
    <x v="54"/>
    <n v="2022"/>
    <x v="2"/>
    <n v="147"/>
    <n v="99.59"/>
    <x v="3"/>
    <x v="3"/>
  </r>
  <r>
    <x v="60"/>
    <x v="54"/>
    <n v="2022"/>
    <x v="2"/>
    <n v="25.85"/>
    <n v="15.97"/>
    <x v="3"/>
    <x v="3"/>
  </r>
  <r>
    <x v="61"/>
    <x v="54"/>
    <n v="2022"/>
    <x v="0"/>
    <n v="34.1"/>
    <n v="24.22"/>
    <x v="3"/>
    <x v="6"/>
  </r>
  <r>
    <x v="61"/>
    <x v="54"/>
    <n v="2022"/>
    <x v="5"/>
    <n v="34.1"/>
    <n v="24.22"/>
    <x v="3"/>
    <x v="6"/>
  </r>
  <r>
    <x v="61"/>
    <x v="54"/>
    <n v="2022"/>
    <x v="3"/>
    <n v="34.1"/>
    <n v="24.22"/>
    <x v="3"/>
    <x v="6"/>
  </r>
  <r>
    <x v="61"/>
    <x v="54"/>
    <n v="2022"/>
    <x v="4"/>
    <n v="34.1"/>
    <n v="24.22"/>
    <x v="3"/>
    <x v="6"/>
  </r>
  <r>
    <x v="72"/>
    <x v="54"/>
    <n v="2022"/>
    <x v="2"/>
    <n v="39.6"/>
    <n v="20.87"/>
    <x v="3"/>
    <x v="6"/>
  </r>
  <r>
    <x v="259"/>
    <x v="54"/>
    <n v="2022"/>
    <x v="2"/>
    <n v="95"/>
    <n v="52.9"/>
    <x v="3"/>
    <x v="1"/>
  </r>
  <r>
    <x v="294"/>
    <x v="54"/>
    <n v="2022"/>
    <x v="2"/>
    <n v="210"/>
    <n v="60.05"/>
    <x v="3"/>
    <x v="5"/>
  </r>
  <r>
    <x v="63"/>
    <x v="54"/>
    <n v="2022"/>
    <x v="2"/>
    <n v="25"/>
    <n v="11.02"/>
    <x v="3"/>
    <x v="7"/>
  </r>
  <r>
    <x v="64"/>
    <x v="54"/>
    <n v="2022"/>
    <x v="5"/>
    <n v="23.93"/>
    <n v="9.9499999999999993"/>
    <x v="3"/>
    <x v="3"/>
  </r>
  <r>
    <x v="64"/>
    <x v="54"/>
    <n v="2022"/>
    <x v="4"/>
    <n v="23.93"/>
    <n v="9.9499999999999993"/>
    <x v="3"/>
    <x v="3"/>
  </r>
  <r>
    <x v="42"/>
    <x v="54"/>
    <n v="2022"/>
    <x v="2"/>
    <n v="336.25"/>
    <n v="153.22999999999999"/>
    <x v="3"/>
    <x v="2"/>
  </r>
  <r>
    <x v="295"/>
    <x v="54"/>
    <n v="2022"/>
    <x v="0"/>
    <n v="368"/>
    <n v="168.14"/>
    <x v="3"/>
    <x v="0"/>
  </r>
  <r>
    <x v="295"/>
    <x v="54"/>
    <n v="2022"/>
    <x v="5"/>
    <n v="77.75"/>
    <n v="35.01"/>
    <x v="3"/>
    <x v="0"/>
  </r>
  <r>
    <x v="296"/>
    <x v="54"/>
    <n v="2022"/>
    <x v="2"/>
    <n v="114"/>
    <n v="33.340000000000003"/>
    <x v="3"/>
    <x v="7"/>
  </r>
  <r>
    <x v="297"/>
    <x v="54"/>
    <n v="2022"/>
    <x v="3"/>
    <n v="139"/>
    <n v="58.34"/>
    <x v="3"/>
    <x v="2"/>
  </r>
  <r>
    <x v="297"/>
    <x v="54"/>
    <n v="2022"/>
    <x v="1"/>
    <n v="417"/>
    <n v="175.02"/>
    <x v="3"/>
    <x v="2"/>
  </r>
  <r>
    <x v="282"/>
    <x v="54"/>
    <n v="2022"/>
    <x v="2"/>
    <n v="127"/>
    <n v="82.31"/>
    <x v="3"/>
    <x v="4"/>
  </r>
  <r>
    <x v="283"/>
    <x v="54"/>
    <n v="2022"/>
    <x v="0"/>
    <n v="52.5"/>
    <n v="35.950000000000003"/>
    <x v="3"/>
    <x v="3"/>
  </r>
  <r>
    <x v="283"/>
    <x v="54"/>
    <n v="2022"/>
    <x v="5"/>
    <n v="124"/>
    <n v="79.87"/>
    <x v="3"/>
    <x v="3"/>
  </r>
  <r>
    <x v="283"/>
    <x v="54"/>
    <n v="2022"/>
    <x v="3"/>
    <n v="31"/>
    <n v="19.97"/>
    <x v="3"/>
    <x v="3"/>
  </r>
  <r>
    <x v="283"/>
    <x v="54"/>
    <n v="2022"/>
    <x v="4"/>
    <n v="15.5"/>
    <n v="9.98"/>
    <x v="3"/>
    <x v="3"/>
  </r>
  <r>
    <x v="91"/>
    <x v="54"/>
    <n v="2022"/>
    <x v="0"/>
    <n v="52.5"/>
    <n v="33.979999999999997"/>
    <x v="3"/>
    <x v="3"/>
  </r>
  <r>
    <x v="46"/>
    <x v="54"/>
    <n v="2022"/>
    <x v="2"/>
    <n v="18.98"/>
    <n v="12.49"/>
    <x v="3"/>
    <x v="6"/>
  </r>
  <r>
    <x v="116"/>
    <x v="54"/>
    <n v="2022"/>
    <x v="0"/>
    <n v="37.96"/>
    <n v="24.99"/>
    <x v="3"/>
    <x v="7"/>
  </r>
  <r>
    <x v="116"/>
    <x v="54"/>
    <n v="2022"/>
    <x v="5"/>
    <n v="38"/>
    <n v="25.03"/>
    <x v="3"/>
    <x v="7"/>
  </r>
  <r>
    <x v="116"/>
    <x v="54"/>
    <n v="2022"/>
    <x v="3"/>
    <n v="37.96"/>
    <n v="24.98"/>
    <x v="3"/>
    <x v="7"/>
  </r>
  <r>
    <x v="116"/>
    <x v="54"/>
    <n v="2022"/>
    <x v="1"/>
    <n v="37.96"/>
    <n v="24.98"/>
    <x v="3"/>
    <x v="7"/>
  </r>
  <r>
    <x v="116"/>
    <x v="54"/>
    <n v="2022"/>
    <x v="4"/>
    <n v="56.94"/>
    <n v="37.47"/>
    <x v="3"/>
    <x v="7"/>
  </r>
  <r>
    <x v="48"/>
    <x v="54"/>
    <n v="2022"/>
    <x v="2"/>
    <n v="126"/>
    <n v="45.08"/>
    <x v="3"/>
    <x v="6"/>
  </r>
  <r>
    <x v="49"/>
    <x v="54"/>
    <n v="2022"/>
    <x v="0"/>
    <n v="126.25"/>
    <n v="58.65"/>
    <x v="3"/>
    <x v="1"/>
  </r>
  <r>
    <x v="49"/>
    <x v="54"/>
    <n v="2022"/>
    <x v="5"/>
    <n v="63"/>
    <n v="22.48"/>
    <x v="3"/>
    <x v="1"/>
  </r>
  <r>
    <x v="49"/>
    <x v="54"/>
    <n v="2022"/>
    <x v="3"/>
    <n v="71.5"/>
    <n v="31"/>
    <x v="3"/>
    <x v="1"/>
  </r>
  <r>
    <x v="49"/>
    <x v="54"/>
    <n v="2022"/>
    <x v="1"/>
    <n v="75.75"/>
    <n v="46.04"/>
    <x v="3"/>
    <x v="1"/>
  </r>
  <r>
    <x v="49"/>
    <x v="54"/>
    <n v="2022"/>
    <x v="4"/>
    <n v="63"/>
    <n v="24.18"/>
    <x v="3"/>
    <x v="1"/>
  </r>
  <r>
    <x v="157"/>
    <x v="54"/>
    <n v="2022"/>
    <x v="2"/>
    <n v="16.25"/>
    <n v="8.5"/>
    <x v="3"/>
    <x v="1"/>
  </r>
  <r>
    <x v="210"/>
    <x v="54"/>
    <n v="2022"/>
    <x v="2"/>
    <n v="10.75"/>
    <n v="6.49"/>
    <x v="3"/>
    <x v="2"/>
  </r>
  <r>
    <x v="298"/>
    <x v="55"/>
    <n v="2022"/>
    <x v="3"/>
    <n v="34.1"/>
    <n v="16.45"/>
    <x v="1"/>
    <x v="5"/>
  </r>
  <r>
    <x v="214"/>
    <x v="55"/>
    <n v="2022"/>
    <x v="2"/>
    <n v="810"/>
    <n v="212.19"/>
    <x v="1"/>
    <x v="3"/>
  </r>
  <r>
    <x v="8"/>
    <x v="55"/>
    <n v="2022"/>
    <x v="0"/>
    <n v="664.95"/>
    <n v="194.43"/>
    <x v="1"/>
    <x v="1"/>
  </r>
  <r>
    <x v="8"/>
    <x v="55"/>
    <n v="2022"/>
    <x v="5"/>
    <n v="635.79999999999995"/>
    <n v="159.61000000000001"/>
    <x v="1"/>
    <x v="1"/>
  </r>
  <r>
    <x v="8"/>
    <x v="55"/>
    <n v="2022"/>
    <x v="3"/>
    <n v="762"/>
    <n v="209.82"/>
    <x v="1"/>
    <x v="1"/>
  </r>
  <r>
    <x v="8"/>
    <x v="55"/>
    <n v="2022"/>
    <x v="1"/>
    <n v="783.75"/>
    <n v="236.75"/>
    <x v="1"/>
    <x v="1"/>
  </r>
  <r>
    <x v="8"/>
    <x v="55"/>
    <n v="2022"/>
    <x v="4"/>
    <n v="584.25"/>
    <n v="176.54"/>
    <x v="1"/>
    <x v="1"/>
  </r>
  <r>
    <x v="75"/>
    <x v="55"/>
    <n v="2022"/>
    <x v="2"/>
    <n v="1440.25"/>
    <n v="466.13"/>
    <x v="1"/>
    <x v="6"/>
  </r>
  <r>
    <x v="299"/>
    <x v="55"/>
    <n v="2022"/>
    <x v="0"/>
    <n v="1475"/>
    <n v="492.77"/>
    <x v="1"/>
    <x v="6"/>
  </r>
  <r>
    <x v="299"/>
    <x v="55"/>
    <n v="2022"/>
    <x v="5"/>
    <n v="1327.5"/>
    <n v="446.02"/>
    <x v="1"/>
    <x v="6"/>
  </r>
  <r>
    <x v="299"/>
    <x v="55"/>
    <n v="2022"/>
    <x v="3"/>
    <n v="1425"/>
    <n v="456.38"/>
    <x v="1"/>
    <x v="6"/>
  </r>
  <r>
    <x v="299"/>
    <x v="55"/>
    <n v="2022"/>
    <x v="1"/>
    <n v="1240"/>
    <n v="421.31"/>
    <x v="1"/>
    <x v="6"/>
  </r>
  <r>
    <x v="299"/>
    <x v="55"/>
    <n v="2022"/>
    <x v="4"/>
    <n v="1240"/>
    <n v="456.82"/>
    <x v="1"/>
    <x v="6"/>
  </r>
  <r>
    <x v="300"/>
    <x v="55"/>
    <n v="2022"/>
    <x v="2"/>
    <n v="28.5"/>
    <n v="2"/>
    <x v="1"/>
    <x v="0"/>
  </r>
  <r>
    <x v="273"/>
    <x v="55"/>
    <n v="2022"/>
    <x v="2"/>
    <n v="196.5"/>
    <n v="54.3"/>
    <x v="1"/>
    <x v="0"/>
  </r>
  <r>
    <x v="274"/>
    <x v="55"/>
    <n v="2022"/>
    <x v="0"/>
    <n v="161.94999999999999"/>
    <n v="41.87"/>
    <x v="1"/>
    <x v="3"/>
  </r>
  <r>
    <x v="274"/>
    <x v="55"/>
    <n v="2022"/>
    <x v="5"/>
    <n v="195.85"/>
    <n v="34.520000000000003"/>
    <x v="1"/>
    <x v="3"/>
  </r>
  <r>
    <x v="274"/>
    <x v="55"/>
    <n v="2022"/>
    <x v="3"/>
    <n v="180"/>
    <n v="55.63"/>
    <x v="1"/>
    <x v="3"/>
  </r>
  <r>
    <x v="274"/>
    <x v="55"/>
    <n v="2022"/>
    <x v="1"/>
    <n v="182.35"/>
    <n v="56.65"/>
    <x v="1"/>
    <x v="3"/>
  </r>
  <r>
    <x v="274"/>
    <x v="55"/>
    <n v="2022"/>
    <x v="4"/>
    <n v="121.5"/>
    <n v="36.74"/>
    <x v="1"/>
    <x v="3"/>
  </r>
  <r>
    <x v="277"/>
    <x v="55"/>
    <n v="2022"/>
    <x v="3"/>
    <n v="28"/>
    <n v="4.51"/>
    <x v="1"/>
    <x v="5"/>
  </r>
  <r>
    <x v="5"/>
    <x v="55"/>
    <n v="2022"/>
    <x v="2"/>
    <n v="108"/>
    <n v="54.19"/>
    <x v="1"/>
    <x v="2"/>
  </r>
  <r>
    <x v="250"/>
    <x v="55"/>
    <n v="2022"/>
    <x v="0"/>
    <n v="73.52"/>
    <n v="37.64"/>
    <x v="1"/>
    <x v="7"/>
  </r>
  <r>
    <x v="250"/>
    <x v="55"/>
    <n v="2022"/>
    <x v="5"/>
    <n v="84"/>
    <n v="42.14"/>
    <x v="1"/>
    <x v="7"/>
  </r>
  <r>
    <x v="250"/>
    <x v="55"/>
    <n v="2022"/>
    <x v="3"/>
    <n v="86.5"/>
    <n v="44.65"/>
    <x v="1"/>
    <x v="7"/>
  </r>
  <r>
    <x v="250"/>
    <x v="55"/>
    <n v="2022"/>
    <x v="1"/>
    <n v="87.5"/>
    <n v="45.65"/>
    <x v="1"/>
    <x v="7"/>
  </r>
  <r>
    <x v="250"/>
    <x v="55"/>
    <n v="2022"/>
    <x v="4"/>
    <n v="62.5"/>
    <n v="32.61"/>
    <x v="1"/>
    <x v="7"/>
  </r>
  <r>
    <x v="275"/>
    <x v="55"/>
    <n v="2022"/>
    <x v="3"/>
    <n v="77"/>
    <n v="27.05"/>
    <x v="1"/>
    <x v="0"/>
  </r>
  <r>
    <x v="251"/>
    <x v="55"/>
    <n v="2022"/>
    <x v="2"/>
    <n v="215"/>
    <n v="48.51"/>
    <x v="1"/>
    <x v="7"/>
  </r>
  <r>
    <x v="252"/>
    <x v="55"/>
    <n v="2022"/>
    <x v="0"/>
    <n v="225.32"/>
    <n v="36.6"/>
    <x v="1"/>
    <x v="5"/>
  </r>
  <r>
    <x v="252"/>
    <x v="55"/>
    <n v="2022"/>
    <x v="5"/>
    <n v="232.76"/>
    <n v="57.42"/>
    <x v="1"/>
    <x v="5"/>
  </r>
  <r>
    <x v="252"/>
    <x v="55"/>
    <n v="2022"/>
    <x v="3"/>
    <n v="169"/>
    <n v="43.63"/>
    <x v="1"/>
    <x v="5"/>
  </r>
  <r>
    <x v="252"/>
    <x v="55"/>
    <n v="2022"/>
    <x v="1"/>
    <n v="156"/>
    <n v="40.1"/>
    <x v="1"/>
    <x v="5"/>
  </r>
  <r>
    <x v="252"/>
    <x v="55"/>
    <n v="2022"/>
    <x v="4"/>
    <n v="116.38"/>
    <n v="28.18"/>
    <x v="1"/>
    <x v="5"/>
  </r>
  <r>
    <x v="266"/>
    <x v="55"/>
    <n v="2022"/>
    <x v="2"/>
    <n v="132"/>
    <n v="87.84"/>
    <x v="1"/>
    <x v="2"/>
  </r>
  <r>
    <x v="267"/>
    <x v="55"/>
    <n v="2022"/>
    <x v="0"/>
    <n v="65.19"/>
    <n v="43.11"/>
    <x v="1"/>
    <x v="5"/>
  </r>
  <r>
    <x v="267"/>
    <x v="55"/>
    <n v="2022"/>
    <x v="5"/>
    <n v="131.72999999999999"/>
    <n v="87.57"/>
    <x v="1"/>
    <x v="5"/>
  </r>
  <r>
    <x v="267"/>
    <x v="55"/>
    <n v="2022"/>
    <x v="3"/>
    <n v="99"/>
    <n v="65.88"/>
    <x v="1"/>
    <x v="5"/>
  </r>
  <r>
    <x v="267"/>
    <x v="55"/>
    <n v="2022"/>
    <x v="1"/>
    <n v="132"/>
    <n v="87.84"/>
    <x v="1"/>
    <x v="5"/>
  </r>
  <r>
    <x v="267"/>
    <x v="55"/>
    <n v="2022"/>
    <x v="4"/>
    <n v="82.5"/>
    <n v="54.9"/>
    <x v="1"/>
    <x v="5"/>
  </r>
  <r>
    <x v="261"/>
    <x v="55"/>
    <n v="2022"/>
    <x v="2"/>
    <n v="140"/>
    <n v="76.03"/>
    <x v="1"/>
    <x v="5"/>
  </r>
  <r>
    <x v="262"/>
    <x v="55"/>
    <n v="2022"/>
    <x v="0"/>
    <n v="120"/>
    <n v="65.16"/>
    <x v="1"/>
    <x v="5"/>
  </r>
  <r>
    <x v="262"/>
    <x v="55"/>
    <n v="2022"/>
    <x v="5"/>
    <n v="140"/>
    <n v="76.02"/>
    <x v="1"/>
    <x v="5"/>
  </r>
  <r>
    <x v="262"/>
    <x v="55"/>
    <n v="2022"/>
    <x v="3"/>
    <n v="160"/>
    <n v="86.89"/>
    <x v="1"/>
    <x v="5"/>
  </r>
  <r>
    <x v="262"/>
    <x v="55"/>
    <n v="2022"/>
    <x v="1"/>
    <n v="180"/>
    <n v="97.78"/>
    <x v="1"/>
    <x v="5"/>
  </r>
  <r>
    <x v="262"/>
    <x v="55"/>
    <n v="2022"/>
    <x v="4"/>
    <n v="200"/>
    <n v="108.62"/>
    <x v="1"/>
    <x v="5"/>
  </r>
  <r>
    <x v="253"/>
    <x v="55"/>
    <n v="2022"/>
    <x v="0"/>
    <n v="0"/>
    <n v="0"/>
    <x v="1"/>
    <x v="7"/>
  </r>
  <r>
    <x v="301"/>
    <x v="55"/>
    <n v="2022"/>
    <x v="1"/>
    <n v="32"/>
    <n v="32"/>
    <x v="1"/>
    <x v="4"/>
  </r>
  <r>
    <x v="240"/>
    <x v="55"/>
    <n v="2022"/>
    <x v="2"/>
    <n v="165"/>
    <n v="94.88"/>
    <x v="1"/>
    <x v="4"/>
  </r>
  <r>
    <x v="88"/>
    <x v="55"/>
    <n v="2022"/>
    <x v="0"/>
    <n v="115.5"/>
    <n v="66.42"/>
    <x v="1"/>
    <x v="4"/>
  </r>
  <r>
    <x v="88"/>
    <x v="55"/>
    <n v="2022"/>
    <x v="5"/>
    <n v="132"/>
    <n v="75.92"/>
    <x v="1"/>
    <x v="4"/>
  </r>
  <r>
    <x v="88"/>
    <x v="55"/>
    <n v="2022"/>
    <x v="3"/>
    <n v="115.5"/>
    <n v="66.42"/>
    <x v="1"/>
    <x v="4"/>
  </r>
  <r>
    <x v="88"/>
    <x v="55"/>
    <n v="2022"/>
    <x v="1"/>
    <n v="115.5"/>
    <n v="66.430000000000007"/>
    <x v="1"/>
    <x v="4"/>
  </r>
  <r>
    <x v="88"/>
    <x v="55"/>
    <n v="2022"/>
    <x v="4"/>
    <n v="99"/>
    <n v="56.94"/>
    <x v="1"/>
    <x v="4"/>
  </r>
  <r>
    <x v="102"/>
    <x v="55"/>
    <n v="2022"/>
    <x v="2"/>
    <n v="337.5"/>
    <n v="243.14"/>
    <x v="1"/>
    <x v="0"/>
  </r>
  <r>
    <x v="73"/>
    <x v="55"/>
    <n v="2022"/>
    <x v="0"/>
    <n v="321.8"/>
    <n v="240.92"/>
    <x v="1"/>
    <x v="0"/>
  </r>
  <r>
    <x v="73"/>
    <x v="55"/>
    <n v="2022"/>
    <x v="5"/>
    <n v="321.75"/>
    <n v="234.13"/>
    <x v="1"/>
    <x v="0"/>
  </r>
  <r>
    <x v="73"/>
    <x v="55"/>
    <n v="2022"/>
    <x v="3"/>
    <n v="376.21"/>
    <n v="275.11"/>
    <x v="1"/>
    <x v="0"/>
  </r>
  <r>
    <x v="73"/>
    <x v="55"/>
    <n v="2022"/>
    <x v="1"/>
    <n v="321.75"/>
    <n v="234.13"/>
    <x v="1"/>
    <x v="0"/>
  </r>
  <r>
    <x v="73"/>
    <x v="55"/>
    <n v="2022"/>
    <x v="4"/>
    <n v="222.75"/>
    <n v="162.09"/>
    <x v="1"/>
    <x v="0"/>
  </r>
  <r>
    <x v="66"/>
    <x v="55"/>
    <n v="2022"/>
    <x v="2"/>
    <n v="14"/>
    <n v="8.68"/>
    <x v="1"/>
    <x v="0"/>
  </r>
  <r>
    <x v="67"/>
    <x v="55"/>
    <n v="2022"/>
    <x v="5"/>
    <n v="14.58"/>
    <n v="9.26"/>
    <x v="1"/>
    <x v="2"/>
  </r>
  <r>
    <x v="67"/>
    <x v="55"/>
    <n v="2022"/>
    <x v="3"/>
    <n v="14.58"/>
    <n v="9.26"/>
    <x v="1"/>
    <x v="2"/>
  </r>
  <r>
    <x v="67"/>
    <x v="55"/>
    <n v="2022"/>
    <x v="1"/>
    <n v="14.58"/>
    <n v="9.26"/>
    <x v="1"/>
    <x v="2"/>
  </r>
  <r>
    <x v="67"/>
    <x v="55"/>
    <n v="2022"/>
    <x v="4"/>
    <n v="29.16"/>
    <n v="18.579999999999998"/>
    <x v="1"/>
    <x v="2"/>
  </r>
  <r>
    <x v="68"/>
    <x v="55"/>
    <n v="2022"/>
    <x v="2"/>
    <n v="12.5"/>
    <n v="10.050000000000001"/>
    <x v="1"/>
    <x v="4"/>
  </r>
  <r>
    <x v="69"/>
    <x v="55"/>
    <n v="2022"/>
    <x v="0"/>
    <n v="13.2"/>
    <n v="10.75"/>
    <x v="1"/>
    <x v="7"/>
  </r>
  <r>
    <x v="69"/>
    <x v="55"/>
    <n v="2022"/>
    <x v="3"/>
    <n v="13.2"/>
    <n v="10.75"/>
    <x v="1"/>
    <x v="7"/>
  </r>
  <r>
    <x v="69"/>
    <x v="55"/>
    <n v="2022"/>
    <x v="4"/>
    <n v="13.2"/>
    <n v="10.75"/>
    <x v="1"/>
    <x v="7"/>
  </r>
  <r>
    <x v="70"/>
    <x v="55"/>
    <n v="2022"/>
    <x v="5"/>
    <n v="30.26"/>
    <n v="24.02"/>
    <x v="1"/>
    <x v="5"/>
  </r>
  <r>
    <x v="71"/>
    <x v="55"/>
    <n v="2022"/>
    <x v="4"/>
    <n v="15.13"/>
    <n v="12.01"/>
    <x v="1"/>
    <x v="0"/>
  </r>
  <r>
    <x v="60"/>
    <x v="55"/>
    <n v="2022"/>
    <x v="2"/>
    <n v="51.7"/>
    <n v="31.94"/>
    <x v="1"/>
    <x v="3"/>
  </r>
  <r>
    <x v="61"/>
    <x v="55"/>
    <n v="2022"/>
    <x v="0"/>
    <n v="102.3"/>
    <n v="72.66"/>
    <x v="1"/>
    <x v="6"/>
  </r>
  <r>
    <x v="61"/>
    <x v="55"/>
    <n v="2022"/>
    <x v="5"/>
    <n v="68.2"/>
    <n v="48.44"/>
    <x v="1"/>
    <x v="6"/>
  </r>
  <r>
    <x v="61"/>
    <x v="55"/>
    <n v="2022"/>
    <x v="3"/>
    <n v="102.3"/>
    <n v="72.66"/>
    <x v="1"/>
    <x v="6"/>
  </r>
  <r>
    <x v="61"/>
    <x v="55"/>
    <n v="2022"/>
    <x v="1"/>
    <n v="34.1"/>
    <n v="24.22"/>
    <x v="1"/>
    <x v="6"/>
  </r>
  <r>
    <x v="61"/>
    <x v="55"/>
    <n v="2022"/>
    <x v="4"/>
    <n v="34.1"/>
    <n v="24.22"/>
    <x v="1"/>
    <x v="6"/>
  </r>
  <r>
    <x v="302"/>
    <x v="55"/>
    <n v="2022"/>
    <x v="0"/>
    <n v="41.25"/>
    <n v="34.6"/>
    <x v="1"/>
    <x v="4"/>
  </r>
  <r>
    <x v="303"/>
    <x v="55"/>
    <n v="2022"/>
    <x v="5"/>
    <n v="41.25"/>
    <n v="34.64"/>
    <x v="1"/>
    <x v="6"/>
  </r>
  <r>
    <x v="63"/>
    <x v="55"/>
    <n v="2022"/>
    <x v="2"/>
    <n v="75"/>
    <n v="33.06"/>
    <x v="1"/>
    <x v="7"/>
  </r>
  <r>
    <x v="64"/>
    <x v="55"/>
    <n v="2022"/>
    <x v="0"/>
    <n v="71.790000000000006"/>
    <n v="29.85"/>
    <x v="1"/>
    <x v="3"/>
  </r>
  <r>
    <x v="64"/>
    <x v="55"/>
    <n v="2022"/>
    <x v="5"/>
    <n v="47.86"/>
    <n v="19.899999999999999"/>
    <x v="1"/>
    <x v="3"/>
  </r>
  <r>
    <x v="64"/>
    <x v="55"/>
    <n v="2022"/>
    <x v="3"/>
    <n v="23.93"/>
    <n v="9.9499999999999993"/>
    <x v="1"/>
    <x v="3"/>
  </r>
  <r>
    <x v="64"/>
    <x v="55"/>
    <n v="2022"/>
    <x v="1"/>
    <n v="23.93"/>
    <n v="9.9499999999999993"/>
    <x v="1"/>
    <x v="3"/>
  </r>
  <r>
    <x v="64"/>
    <x v="55"/>
    <n v="2022"/>
    <x v="4"/>
    <n v="47.86"/>
    <n v="19.899999999999999"/>
    <x v="1"/>
    <x v="3"/>
  </r>
  <r>
    <x v="282"/>
    <x v="55"/>
    <n v="2022"/>
    <x v="5"/>
    <n v="15"/>
    <n v="9.48"/>
    <x v="1"/>
    <x v="4"/>
  </r>
  <r>
    <x v="113"/>
    <x v="55"/>
    <n v="2022"/>
    <x v="1"/>
    <n v="46.75"/>
    <n v="0"/>
    <x v="1"/>
    <x v="4"/>
  </r>
  <r>
    <x v="46"/>
    <x v="55"/>
    <n v="2022"/>
    <x v="0"/>
    <n v="18.98"/>
    <n v="12.49"/>
    <x v="1"/>
    <x v="6"/>
  </r>
  <r>
    <x v="273"/>
    <x v="56"/>
    <n v="2022"/>
    <x v="2"/>
    <n v="624"/>
    <n v="168.79"/>
    <x v="3"/>
    <x v="0"/>
  </r>
  <r>
    <x v="274"/>
    <x v="56"/>
    <n v="2022"/>
    <x v="0"/>
    <n v="852.1"/>
    <n v="225.29"/>
    <x v="3"/>
    <x v="3"/>
  </r>
  <r>
    <x v="274"/>
    <x v="56"/>
    <n v="2022"/>
    <x v="5"/>
    <n v="891.95"/>
    <n v="212.58"/>
    <x v="3"/>
    <x v="3"/>
  </r>
  <r>
    <x v="274"/>
    <x v="56"/>
    <n v="2022"/>
    <x v="3"/>
    <n v="715"/>
    <n v="220.12"/>
    <x v="3"/>
    <x v="3"/>
  </r>
  <r>
    <x v="274"/>
    <x v="56"/>
    <n v="2022"/>
    <x v="1"/>
    <n v="648"/>
    <n v="201.87"/>
    <x v="3"/>
    <x v="3"/>
  </r>
  <r>
    <x v="274"/>
    <x v="56"/>
    <n v="2022"/>
    <x v="4"/>
    <n v="383"/>
    <n v="100.26"/>
    <x v="3"/>
    <x v="3"/>
  </r>
  <r>
    <x v="5"/>
    <x v="56"/>
    <n v="2022"/>
    <x v="2"/>
    <n v="492"/>
    <n v="205.2"/>
    <x v="3"/>
    <x v="2"/>
  </r>
  <r>
    <x v="250"/>
    <x v="56"/>
    <n v="2022"/>
    <x v="0"/>
    <n v="601.16"/>
    <n v="290.44"/>
    <x v="3"/>
    <x v="7"/>
  </r>
  <r>
    <x v="250"/>
    <x v="56"/>
    <n v="2022"/>
    <x v="5"/>
    <n v="599.16"/>
    <n v="258.56"/>
    <x v="3"/>
    <x v="7"/>
  </r>
  <r>
    <x v="250"/>
    <x v="56"/>
    <n v="2022"/>
    <x v="3"/>
    <n v="637.75"/>
    <n v="321.07"/>
    <x v="3"/>
    <x v="7"/>
  </r>
  <r>
    <x v="250"/>
    <x v="56"/>
    <n v="2022"/>
    <x v="1"/>
    <n v="625"/>
    <n v="326.25"/>
    <x v="3"/>
    <x v="7"/>
  </r>
  <r>
    <x v="250"/>
    <x v="56"/>
    <n v="2022"/>
    <x v="4"/>
    <n v="402.5"/>
    <n v="199.34"/>
    <x v="3"/>
    <x v="7"/>
  </r>
  <r>
    <x v="251"/>
    <x v="56"/>
    <n v="2022"/>
    <x v="2"/>
    <n v="312"/>
    <n v="76.989999999999995"/>
    <x v="3"/>
    <x v="7"/>
  </r>
  <r>
    <x v="252"/>
    <x v="56"/>
    <n v="2022"/>
    <x v="0"/>
    <n v="339.46"/>
    <n v="65.36"/>
    <x v="3"/>
    <x v="5"/>
  </r>
  <r>
    <x v="252"/>
    <x v="56"/>
    <n v="2022"/>
    <x v="5"/>
    <n v="374.27"/>
    <n v="72.23"/>
    <x v="3"/>
    <x v="5"/>
  </r>
  <r>
    <x v="252"/>
    <x v="56"/>
    <n v="2022"/>
    <x v="3"/>
    <n v="345.75"/>
    <n v="46.55"/>
    <x v="3"/>
    <x v="5"/>
  </r>
  <r>
    <x v="252"/>
    <x v="56"/>
    <n v="2022"/>
    <x v="1"/>
    <n v="351"/>
    <n v="88.65"/>
    <x v="3"/>
    <x v="5"/>
  </r>
  <r>
    <x v="252"/>
    <x v="56"/>
    <n v="2022"/>
    <x v="4"/>
    <n v="301.5"/>
    <n v="66.36"/>
    <x v="3"/>
    <x v="5"/>
  </r>
  <r>
    <x v="263"/>
    <x v="56"/>
    <n v="2022"/>
    <x v="2"/>
    <n v="480"/>
    <n v="300.32"/>
    <x v="3"/>
    <x v="7"/>
  </r>
  <r>
    <x v="264"/>
    <x v="56"/>
    <n v="2022"/>
    <x v="0"/>
    <n v="587.1"/>
    <n v="389.46"/>
    <x v="3"/>
    <x v="4"/>
  </r>
  <r>
    <x v="264"/>
    <x v="56"/>
    <n v="2022"/>
    <x v="5"/>
    <n v="596.04999999999995"/>
    <n v="375.95"/>
    <x v="3"/>
    <x v="4"/>
  </r>
  <r>
    <x v="264"/>
    <x v="56"/>
    <n v="2022"/>
    <x v="3"/>
    <n v="626.25"/>
    <n v="400.11"/>
    <x v="3"/>
    <x v="4"/>
  </r>
  <r>
    <x v="264"/>
    <x v="56"/>
    <n v="2022"/>
    <x v="1"/>
    <n v="623.5"/>
    <n v="430.34"/>
    <x v="3"/>
    <x v="4"/>
  </r>
  <r>
    <x v="264"/>
    <x v="56"/>
    <n v="2022"/>
    <x v="4"/>
    <n v="465.5"/>
    <n v="312.76"/>
    <x v="3"/>
    <x v="4"/>
  </r>
  <r>
    <x v="261"/>
    <x v="56"/>
    <n v="2022"/>
    <x v="2"/>
    <n v="320"/>
    <n v="173.84"/>
    <x v="3"/>
    <x v="5"/>
  </r>
  <r>
    <x v="262"/>
    <x v="56"/>
    <n v="2022"/>
    <x v="0"/>
    <n v="310"/>
    <n v="163.84"/>
    <x v="3"/>
    <x v="5"/>
  </r>
  <r>
    <x v="262"/>
    <x v="56"/>
    <n v="2022"/>
    <x v="5"/>
    <n v="340"/>
    <n v="175.57"/>
    <x v="3"/>
    <x v="5"/>
  </r>
  <r>
    <x v="262"/>
    <x v="56"/>
    <n v="2022"/>
    <x v="3"/>
    <n v="355"/>
    <n v="190.57"/>
    <x v="3"/>
    <x v="5"/>
  </r>
  <r>
    <x v="262"/>
    <x v="56"/>
    <n v="2022"/>
    <x v="1"/>
    <n v="360"/>
    <n v="195.57"/>
    <x v="3"/>
    <x v="5"/>
  </r>
  <r>
    <x v="262"/>
    <x v="56"/>
    <n v="2022"/>
    <x v="4"/>
    <n v="310"/>
    <n v="163.84"/>
    <x v="3"/>
    <x v="5"/>
  </r>
  <r>
    <x v="238"/>
    <x v="56"/>
    <n v="2022"/>
    <x v="2"/>
    <n v="320"/>
    <n v="170.16"/>
    <x v="3"/>
    <x v="5"/>
  </r>
  <r>
    <x v="239"/>
    <x v="56"/>
    <n v="2022"/>
    <x v="0"/>
    <n v="390.4"/>
    <n v="203.12"/>
    <x v="3"/>
    <x v="1"/>
  </r>
  <r>
    <x v="239"/>
    <x v="56"/>
    <n v="2022"/>
    <x v="5"/>
    <n v="416.75"/>
    <n v="210.74"/>
    <x v="3"/>
    <x v="1"/>
  </r>
  <r>
    <x v="239"/>
    <x v="56"/>
    <n v="2022"/>
    <x v="3"/>
    <n v="363.4"/>
    <n v="194.83"/>
    <x v="3"/>
    <x v="1"/>
  </r>
  <r>
    <x v="239"/>
    <x v="56"/>
    <n v="2022"/>
    <x v="1"/>
    <n v="369"/>
    <n v="200.43"/>
    <x v="3"/>
    <x v="1"/>
  </r>
  <r>
    <x v="239"/>
    <x v="56"/>
    <n v="2022"/>
    <x v="4"/>
    <n v="316.8"/>
    <n v="166.96"/>
    <x v="3"/>
    <x v="1"/>
  </r>
  <r>
    <x v="240"/>
    <x v="56"/>
    <n v="2022"/>
    <x v="2"/>
    <n v="264"/>
    <n v="151.76"/>
    <x v="3"/>
    <x v="4"/>
  </r>
  <r>
    <x v="88"/>
    <x v="56"/>
    <n v="2022"/>
    <x v="0"/>
    <n v="382"/>
    <n v="194.71"/>
    <x v="3"/>
    <x v="4"/>
  </r>
  <r>
    <x v="88"/>
    <x v="56"/>
    <n v="2022"/>
    <x v="5"/>
    <n v="404.5"/>
    <n v="222.15"/>
    <x v="3"/>
    <x v="4"/>
  </r>
  <r>
    <x v="88"/>
    <x v="56"/>
    <n v="2022"/>
    <x v="3"/>
    <n v="293.5"/>
    <n v="167.23"/>
    <x v="3"/>
    <x v="4"/>
  </r>
  <r>
    <x v="88"/>
    <x v="56"/>
    <n v="2022"/>
    <x v="1"/>
    <n v="297"/>
    <n v="170.73"/>
    <x v="3"/>
    <x v="4"/>
  </r>
  <r>
    <x v="88"/>
    <x v="56"/>
    <n v="2022"/>
    <x v="4"/>
    <n v="257"/>
    <n v="144.76"/>
    <x v="3"/>
    <x v="4"/>
  </r>
  <r>
    <x v="102"/>
    <x v="56"/>
    <n v="2022"/>
    <x v="2"/>
    <n v="540"/>
    <n v="378.24"/>
    <x v="3"/>
    <x v="0"/>
  </r>
  <r>
    <x v="73"/>
    <x v="56"/>
    <n v="2022"/>
    <x v="0"/>
    <n v="686.41"/>
    <n v="497.69"/>
    <x v="3"/>
    <x v="0"/>
  </r>
  <r>
    <x v="73"/>
    <x v="56"/>
    <n v="2022"/>
    <x v="5"/>
    <n v="671.42"/>
    <n v="462.48"/>
    <x v="3"/>
    <x v="0"/>
  </r>
  <r>
    <x v="73"/>
    <x v="56"/>
    <n v="2022"/>
    <x v="3"/>
    <n v="598.5"/>
    <n v="416.52"/>
    <x v="3"/>
    <x v="0"/>
  </r>
  <r>
    <x v="73"/>
    <x v="56"/>
    <n v="2022"/>
    <x v="1"/>
    <n v="607.5"/>
    <n v="425.52"/>
    <x v="3"/>
    <x v="0"/>
  </r>
  <r>
    <x v="73"/>
    <x v="56"/>
    <n v="2022"/>
    <x v="4"/>
    <n v="522"/>
    <n v="360.24"/>
    <x v="3"/>
    <x v="0"/>
  </r>
  <r>
    <x v="68"/>
    <x v="56"/>
    <n v="2022"/>
    <x v="2"/>
    <n v="12.5"/>
    <n v="10.050000000000001"/>
    <x v="3"/>
    <x v="4"/>
  </r>
  <r>
    <x v="69"/>
    <x v="56"/>
    <n v="2022"/>
    <x v="0"/>
    <n v="39.6"/>
    <n v="32.25"/>
    <x v="3"/>
    <x v="7"/>
  </r>
  <r>
    <x v="70"/>
    <x v="56"/>
    <n v="2022"/>
    <x v="2"/>
    <n v="39"/>
    <n v="32.770000000000003"/>
    <x v="3"/>
    <x v="5"/>
  </r>
  <r>
    <x v="71"/>
    <x v="56"/>
    <n v="2022"/>
    <x v="0"/>
    <n v="99.52"/>
    <n v="80.83"/>
    <x v="3"/>
    <x v="0"/>
  </r>
  <r>
    <x v="60"/>
    <x v="56"/>
    <n v="2022"/>
    <x v="2"/>
    <n v="77.55"/>
    <n v="47.92"/>
    <x v="3"/>
    <x v="3"/>
  </r>
  <r>
    <x v="61"/>
    <x v="56"/>
    <n v="2022"/>
    <x v="0"/>
    <n v="276.60000000000002"/>
    <n v="187.71"/>
    <x v="3"/>
    <x v="6"/>
  </r>
  <r>
    <x v="302"/>
    <x v="56"/>
    <n v="2022"/>
    <x v="4"/>
    <n v="41.25"/>
    <n v="34.64"/>
    <x v="3"/>
    <x v="4"/>
  </r>
  <r>
    <x v="304"/>
    <x v="57"/>
    <n v="2022"/>
    <x v="4"/>
    <n v="60"/>
    <n v="38.44"/>
    <x v="1"/>
    <x v="3"/>
  </r>
  <r>
    <x v="164"/>
    <x v="57"/>
    <n v="2022"/>
    <x v="5"/>
    <n v="18"/>
    <n v="7.8"/>
    <x v="1"/>
    <x v="3"/>
  </r>
  <r>
    <x v="7"/>
    <x v="57"/>
    <n v="2022"/>
    <x v="5"/>
    <n v="11.7"/>
    <n v="2.14"/>
    <x v="1"/>
    <x v="4"/>
  </r>
  <r>
    <x v="145"/>
    <x v="57"/>
    <n v="2022"/>
    <x v="2"/>
    <n v="18.2"/>
    <n v="-1.32"/>
    <x v="1"/>
    <x v="0"/>
  </r>
  <r>
    <x v="305"/>
    <x v="57"/>
    <n v="2022"/>
    <x v="5"/>
    <n v="27.3"/>
    <n v="-1.98"/>
    <x v="1"/>
    <x v="7"/>
  </r>
  <r>
    <x v="305"/>
    <x v="57"/>
    <n v="2022"/>
    <x v="3"/>
    <n v="18.2"/>
    <n v="-1.32"/>
    <x v="1"/>
    <x v="7"/>
  </r>
  <r>
    <x v="305"/>
    <x v="57"/>
    <n v="2022"/>
    <x v="1"/>
    <n v="30.5"/>
    <n v="10.98"/>
    <x v="1"/>
    <x v="7"/>
  </r>
  <r>
    <x v="11"/>
    <x v="57"/>
    <n v="2022"/>
    <x v="2"/>
    <n v="142.44999999999999"/>
    <n v="40.950000000000003"/>
    <x v="1"/>
    <x v="3"/>
  </r>
  <r>
    <x v="12"/>
    <x v="57"/>
    <n v="2022"/>
    <x v="0"/>
    <n v="147.4"/>
    <n v="45.17"/>
    <x v="1"/>
    <x v="0"/>
  </r>
  <r>
    <x v="12"/>
    <x v="57"/>
    <n v="2022"/>
    <x v="5"/>
    <n v="112.2"/>
    <n v="24.33"/>
    <x v="1"/>
    <x v="0"/>
  </r>
  <r>
    <x v="12"/>
    <x v="57"/>
    <n v="2022"/>
    <x v="3"/>
    <n v="93.5"/>
    <n v="20.81"/>
    <x v="1"/>
    <x v="0"/>
  </r>
  <r>
    <x v="12"/>
    <x v="57"/>
    <n v="2022"/>
    <x v="1"/>
    <n v="220"/>
    <n v="73.58"/>
    <x v="1"/>
    <x v="0"/>
  </r>
  <r>
    <x v="12"/>
    <x v="57"/>
    <n v="2022"/>
    <x v="4"/>
    <n v="132"/>
    <n v="44.12"/>
    <x v="1"/>
    <x v="0"/>
  </r>
  <r>
    <x v="280"/>
    <x v="57"/>
    <n v="2022"/>
    <x v="3"/>
    <n v="17.75"/>
    <n v="8.61"/>
    <x v="1"/>
    <x v="0"/>
  </r>
  <r>
    <x v="306"/>
    <x v="57"/>
    <n v="2022"/>
    <x v="4"/>
    <n v="35.5"/>
    <n v="17.23"/>
    <x v="1"/>
    <x v="3"/>
  </r>
  <r>
    <x v="19"/>
    <x v="57"/>
    <n v="2022"/>
    <x v="4"/>
    <n v="26.4"/>
    <n v="11.46"/>
    <x v="1"/>
    <x v="5"/>
  </r>
  <r>
    <x v="265"/>
    <x v="57"/>
    <n v="2022"/>
    <x v="2"/>
    <n v="25"/>
    <n v="11.59"/>
    <x v="1"/>
    <x v="1"/>
  </r>
  <r>
    <x v="5"/>
    <x v="57"/>
    <n v="2022"/>
    <x v="5"/>
    <n v="24.76"/>
    <n v="12.81"/>
    <x v="1"/>
    <x v="2"/>
  </r>
  <r>
    <x v="251"/>
    <x v="57"/>
    <n v="2022"/>
    <x v="5"/>
    <n v="24.76"/>
    <n v="5.54"/>
    <x v="1"/>
    <x v="7"/>
  </r>
  <r>
    <x v="291"/>
    <x v="57"/>
    <n v="2022"/>
    <x v="2"/>
    <n v="479.75"/>
    <n v="169.57"/>
    <x v="1"/>
    <x v="7"/>
  </r>
  <r>
    <x v="292"/>
    <x v="57"/>
    <n v="2022"/>
    <x v="0"/>
    <n v="499.9"/>
    <n v="188.71"/>
    <x v="1"/>
    <x v="1"/>
  </r>
  <r>
    <x v="292"/>
    <x v="57"/>
    <n v="2022"/>
    <x v="5"/>
    <n v="361.75"/>
    <n v="117.12"/>
    <x v="1"/>
    <x v="1"/>
  </r>
  <r>
    <x v="292"/>
    <x v="57"/>
    <n v="2022"/>
    <x v="3"/>
    <n v="452"/>
    <n v="161.24"/>
    <x v="1"/>
    <x v="1"/>
  </r>
  <r>
    <x v="292"/>
    <x v="57"/>
    <n v="2022"/>
    <x v="1"/>
    <n v="678"/>
    <n v="230.88"/>
    <x v="1"/>
    <x v="1"/>
  </r>
  <r>
    <x v="292"/>
    <x v="57"/>
    <n v="2022"/>
    <x v="4"/>
    <n v="226"/>
    <n v="75.739999999999995"/>
    <x v="1"/>
    <x v="1"/>
  </r>
  <r>
    <x v="240"/>
    <x v="57"/>
    <n v="2022"/>
    <x v="2"/>
    <n v="231.75"/>
    <n v="126.55"/>
    <x v="1"/>
    <x v="4"/>
  </r>
  <r>
    <x v="88"/>
    <x v="57"/>
    <n v="2022"/>
    <x v="0"/>
    <n v="217"/>
    <n v="118.8"/>
    <x v="1"/>
    <x v="4"/>
  </r>
  <r>
    <x v="88"/>
    <x v="57"/>
    <n v="2022"/>
    <x v="5"/>
    <n v="162.25"/>
    <n v="85.1"/>
    <x v="1"/>
    <x v="4"/>
  </r>
  <r>
    <x v="88"/>
    <x v="57"/>
    <n v="2022"/>
    <x v="3"/>
    <n v="197"/>
    <n v="105.82"/>
    <x v="1"/>
    <x v="4"/>
  </r>
  <r>
    <x v="88"/>
    <x v="57"/>
    <n v="2022"/>
    <x v="1"/>
    <n v="198"/>
    <n v="113.83"/>
    <x v="1"/>
    <x v="4"/>
  </r>
  <r>
    <x v="88"/>
    <x v="57"/>
    <n v="2022"/>
    <x v="4"/>
    <n v="148.5"/>
    <n v="85.37"/>
    <x v="1"/>
    <x v="4"/>
  </r>
  <r>
    <x v="102"/>
    <x v="57"/>
    <n v="2022"/>
    <x v="2"/>
    <n v="274.5"/>
    <n v="184.96"/>
    <x v="1"/>
    <x v="0"/>
  </r>
  <r>
    <x v="73"/>
    <x v="57"/>
    <n v="2022"/>
    <x v="0"/>
    <n v="346.61"/>
    <n v="245.51"/>
    <x v="1"/>
    <x v="0"/>
  </r>
  <r>
    <x v="73"/>
    <x v="57"/>
    <n v="2022"/>
    <x v="5"/>
    <n v="163.72999999999999"/>
    <n v="109.81"/>
    <x v="1"/>
    <x v="0"/>
  </r>
  <r>
    <x v="73"/>
    <x v="57"/>
    <n v="2022"/>
    <x v="3"/>
    <n v="181.5"/>
    <n v="120.84"/>
    <x v="1"/>
    <x v="0"/>
  </r>
  <r>
    <x v="73"/>
    <x v="57"/>
    <n v="2022"/>
    <x v="1"/>
    <n v="270"/>
    <n v="189.12"/>
    <x v="1"/>
    <x v="0"/>
  </r>
  <r>
    <x v="73"/>
    <x v="57"/>
    <n v="2022"/>
    <x v="4"/>
    <n v="180"/>
    <n v="126.08"/>
    <x v="1"/>
    <x v="0"/>
  </r>
  <r>
    <x v="103"/>
    <x v="57"/>
    <n v="2022"/>
    <x v="2"/>
    <n v="153.5"/>
    <n v="53.82"/>
    <x v="1"/>
    <x v="5"/>
  </r>
  <r>
    <x v="104"/>
    <x v="57"/>
    <n v="2022"/>
    <x v="0"/>
    <n v="388.55"/>
    <n v="201.59"/>
    <x v="1"/>
    <x v="7"/>
  </r>
  <r>
    <x v="104"/>
    <x v="57"/>
    <n v="2022"/>
    <x v="5"/>
    <n v="109.5"/>
    <n v="34.71"/>
    <x v="1"/>
    <x v="7"/>
  </r>
  <r>
    <x v="104"/>
    <x v="57"/>
    <n v="2022"/>
    <x v="3"/>
    <n v="188"/>
    <n v="63.35"/>
    <x v="1"/>
    <x v="7"/>
  </r>
  <r>
    <x v="104"/>
    <x v="57"/>
    <n v="2022"/>
    <x v="1"/>
    <n v="273"/>
    <n v="110.96"/>
    <x v="1"/>
    <x v="7"/>
  </r>
  <r>
    <x v="104"/>
    <x v="57"/>
    <n v="2022"/>
    <x v="4"/>
    <n v="168"/>
    <n v="68.28"/>
    <x v="1"/>
    <x v="7"/>
  </r>
  <r>
    <x v="72"/>
    <x v="57"/>
    <n v="2022"/>
    <x v="2"/>
    <n v="89.6"/>
    <n v="54.3"/>
    <x v="1"/>
    <x v="6"/>
  </r>
  <r>
    <x v="73"/>
    <x v="57"/>
    <n v="2022"/>
    <x v="1"/>
    <n v="40.15"/>
    <n v="21.42"/>
    <x v="1"/>
    <x v="0"/>
  </r>
  <r>
    <x v="259"/>
    <x v="57"/>
    <n v="2022"/>
    <x v="3"/>
    <n v="95"/>
    <n v="52.9"/>
    <x v="1"/>
    <x v="1"/>
  </r>
  <r>
    <x v="216"/>
    <x v="57"/>
    <n v="2022"/>
    <x v="1"/>
    <n v="95"/>
    <n v="52.9"/>
    <x v="1"/>
    <x v="6"/>
  </r>
  <r>
    <x v="46"/>
    <x v="57"/>
    <n v="2022"/>
    <x v="0"/>
    <n v="37.96"/>
    <n v="24.99"/>
    <x v="1"/>
    <x v="6"/>
  </r>
  <r>
    <x v="116"/>
    <x v="57"/>
    <n v="2022"/>
    <x v="5"/>
    <n v="37.96"/>
    <n v="24.99"/>
    <x v="1"/>
    <x v="7"/>
  </r>
  <r>
    <x v="116"/>
    <x v="57"/>
    <n v="2022"/>
    <x v="3"/>
    <n v="18.98"/>
    <n v="12.49"/>
    <x v="1"/>
    <x v="7"/>
  </r>
  <r>
    <x v="116"/>
    <x v="57"/>
    <n v="2022"/>
    <x v="1"/>
    <n v="37.96"/>
    <n v="24.99"/>
    <x v="1"/>
    <x v="7"/>
  </r>
  <r>
    <x v="164"/>
    <x v="58"/>
    <n v="2022"/>
    <x v="5"/>
    <n v="24"/>
    <n v="13.8"/>
    <x v="3"/>
    <x v="3"/>
  </r>
  <r>
    <x v="307"/>
    <x v="58"/>
    <n v="2022"/>
    <x v="4"/>
    <n v="25"/>
    <n v="14.8"/>
    <x v="3"/>
    <x v="0"/>
  </r>
  <r>
    <x v="14"/>
    <x v="58"/>
    <n v="2022"/>
    <x v="4"/>
    <n v="58.4"/>
    <n v="21.09"/>
    <x v="3"/>
    <x v="5"/>
  </r>
  <r>
    <x v="5"/>
    <x v="58"/>
    <n v="2022"/>
    <x v="2"/>
    <n v="132"/>
    <n v="66.27"/>
    <x v="3"/>
    <x v="2"/>
  </r>
  <r>
    <x v="250"/>
    <x v="58"/>
    <n v="2022"/>
    <x v="0"/>
    <n v="122.28"/>
    <n v="62.53"/>
    <x v="3"/>
    <x v="7"/>
  </r>
  <r>
    <x v="250"/>
    <x v="58"/>
    <n v="2022"/>
    <x v="5"/>
    <n v="72"/>
    <n v="36.15"/>
    <x v="3"/>
    <x v="7"/>
  </r>
  <r>
    <x v="250"/>
    <x v="58"/>
    <n v="2022"/>
    <x v="3"/>
    <n v="85"/>
    <n v="43.17"/>
    <x v="3"/>
    <x v="7"/>
  </r>
  <r>
    <x v="250"/>
    <x v="58"/>
    <n v="2022"/>
    <x v="1"/>
    <n v="125"/>
    <n v="65.25"/>
    <x v="3"/>
    <x v="7"/>
  </r>
  <r>
    <x v="250"/>
    <x v="58"/>
    <n v="2022"/>
    <x v="4"/>
    <n v="100"/>
    <n v="52.2"/>
    <x v="3"/>
    <x v="7"/>
  </r>
  <r>
    <x v="251"/>
    <x v="58"/>
    <n v="2022"/>
    <x v="4"/>
    <n v="24.76"/>
    <n v="5.16"/>
    <x v="3"/>
    <x v="7"/>
  </r>
  <r>
    <x v="263"/>
    <x v="58"/>
    <n v="2022"/>
    <x v="2"/>
    <n v="148.5"/>
    <n v="99.11"/>
    <x v="3"/>
    <x v="7"/>
  </r>
  <r>
    <x v="264"/>
    <x v="58"/>
    <n v="2022"/>
    <x v="0"/>
    <n v="139.80000000000001"/>
    <n v="94.9"/>
    <x v="3"/>
    <x v="4"/>
  </r>
  <r>
    <x v="264"/>
    <x v="58"/>
    <n v="2022"/>
    <x v="5"/>
    <n v="94.5"/>
    <n v="63.07"/>
    <x v="3"/>
    <x v="4"/>
  </r>
  <r>
    <x v="264"/>
    <x v="58"/>
    <n v="2022"/>
    <x v="3"/>
    <n v="110"/>
    <n v="74.08"/>
    <x v="3"/>
    <x v="4"/>
  </r>
  <r>
    <x v="264"/>
    <x v="58"/>
    <n v="2022"/>
    <x v="1"/>
    <n v="145"/>
    <n v="100.1"/>
    <x v="3"/>
    <x v="4"/>
  </r>
  <r>
    <x v="264"/>
    <x v="58"/>
    <n v="2022"/>
    <x v="4"/>
    <n v="116"/>
    <n v="80.08"/>
    <x v="3"/>
    <x v="4"/>
  </r>
  <r>
    <x v="34"/>
    <x v="58"/>
    <n v="2022"/>
    <x v="4"/>
    <n v="12"/>
    <n v="-1.23"/>
    <x v="3"/>
    <x v="4"/>
  </r>
  <r>
    <x v="240"/>
    <x v="58"/>
    <n v="2022"/>
    <x v="2"/>
    <n v="181.5"/>
    <n v="104.34"/>
    <x v="3"/>
    <x v="4"/>
  </r>
  <r>
    <x v="88"/>
    <x v="58"/>
    <n v="2022"/>
    <x v="0"/>
    <n v="165"/>
    <n v="94.85"/>
    <x v="3"/>
    <x v="4"/>
  </r>
  <r>
    <x v="88"/>
    <x v="58"/>
    <n v="2022"/>
    <x v="5"/>
    <n v="115.5"/>
    <n v="66.400000000000006"/>
    <x v="3"/>
    <x v="4"/>
  </r>
  <r>
    <x v="88"/>
    <x v="58"/>
    <n v="2022"/>
    <x v="3"/>
    <n v="115.5"/>
    <n v="66.400000000000006"/>
    <x v="3"/>
    <x v="4"/>
  </r>
  <r>
    <x v="88"/>
    <x v="58"/>
    <n v="2022"/>
    <x v="1"/>
    <n v="165"/>
    <n v="94.85"/>
    <x v="3"/>
    <x v="4"/>
  </r>
  <r>
    <x v="88"/>
    <x v="58"/>
    <n v="2022"/>
    <x v="4"/>
    <n v="148.5"/>
    <n v="85.37"/>
    <x v="3"/>
    <x v="4"/>
  </r>
  <r>
    <x v="102"/>
    <x v="58"/>
    <n v="2022"/>
    <x v="2"/>
    <n v="276"/>
    <n v="193.84"/>
    <x v="3"/>
    <x v="0"/>
  </r>
  <r>
    <x v="73"/>
    <x v="58"/>
    <n v="2022"/>
    <x v="0"/>
    <n v="241.38"/>
    <n v="173.98"/>
    <x v="3"/>
    <x v="0"/>
  </r>
  <r>
    <x v="73"/>
    <x v="58"/>
    <n v="2022"/>
    <x v="5"/>
    <n v="175.5"/>
    <n v="114.84"/>
    <x v="3"/>
    <x v="0"/>
  </r>
  <r>
    <x v="73"/>
    <x v="58"/>
    <n v="2022"/>
    <x v="3"/>
    <n v="181.5"/>
    <n v="120.84"/>
    <x v="3"/>
    <x v="0"/>
  </r>
  <r>
    <x v="73"/>
    <x v="58"/>
    <n v="2022"/>
    <x v="1"/>
    <n v="315"/>
    <n v="220.64"/>
    <x v="3"/>
    <x v="0"/>
  </r>
  <r>
    <x v="73"/>
    <x v="58"/>
    <n v="2022"/>
    <x v="4"/>
    <n v="180"/>
    <n v="126.08"/>
    <x v="3"/>
    <x v="0"/>
  </r>
  <r>
    <x v="103"/>
    <x v="58"/>
    <n v="2022"/>
    <x v="2"/>
    <n v="268.25"/>
    <n v="131.22"/>
    <x v="3"/>
    <x v="5"/>
  </r>
  <r>
    <x v="104"/>
    <x v="58"/>
    <n v="2022"/>
    <x v="0"/>
    <n v="191.95"/>
    <n v="104.7"/>
    <x v="3"/>
    <x v="7"/>
  </r>
  <r>
    <x v="104"/>
    <x v="58"/>
    <n v="2022"/>
    <x v="5"/>
    <n v="132"/>
    <n v="57.22"/>
    <x v="3"/>
    <x v="7"/>
  </r>
  <r>
    <x v="104"/>
    <x v="58"/>
    <n v="2022"/>
    <x v="3"/>
    <n v="110"/>
    <n v="47.69"/>
    <x v="3"/>
    <x v="7"/>
  </r>
  <r>
    <x v="104"/>
    <x v="58"/>
    <n v="2022"/>
    <x v="1"/>
    <n v="198"/>
    <n v="85.82"/>
    <x v="3"/>
    <x v="7"/>
  </r>
  <r>
    <x v="104"/>
    <x v="58"/>
    <n v="2022"/>
    <x v="4"/>
    <n v="154"/>
    <n v="66.760000000000005"/>
    <x v="3"/>
    <x v="7"/>
  </r>
  <r>
    <x v="66"/>
    <x v="58"/>
    <n v="2022"/>
    <x v="0"/>
    <n v="14.58"/>
    <n v="9.25"/>
    <x v="3"/>
    <x v="0"/>
  </r>
  <r>
    <x v="60"/>
    <x v="58"/>
    <n v="2022"/>
    <x v="2"/>
    <n v="29.5"/>
    <n v="19.53"/>
    <x v="3"/>
    <x v="3"/>
  </r>
  <r>
    <x v="72"/>
    <x v="58"/>
    <n v="2022"/>
    <x v="3"/>
    <n v="44.8"/>
    <n v="26.07"/>
    <x v="3"/>
    <x v="6"/>
  </r>
  <r>
    <x v="259"/>
    <x v="58"/>
    <n v="2022"/>
    <x v="3"/>
    <n v="95"/>
    <n v="52.9"/>
    <x v="3"/>
    <x v="1"/>
  </r>
  <r>
    <x v="63"/>
    <x v="58"/>
    <n v="2022"/>
    <x v="2"/>
    <n v="25"/>
    <n v="10.98"/>
    <x v="3"/>
    <x v="7"/>
  </r>
  <r>
    <x v="64"/>
    <x v="58"/>
    <n v="2022"/>
    <x v="0"/>
    <n v="23.93"/>
    <n v="9.9499999999999993"/>
    <x v="3"/>
    <x v="3"/>
  </r>
  <r>
    <x v="64"/>
    <x v="58"/>
    <n v="2022"/>
    <x v="4"/>
    <n v="23.93"/>
    <n v="9.9499999999999993"/>
    <x v="3"/>
    <x v="3"/>
  </r>
  <r>
    <x v="282"/>
    <x v="58"/>
    <n v="2022"/>
    <x v="2"/>
    <n v="63.5"/>
    <n v="41.43"/>
    <x v="3"/>
    <x v="4"/>
  </r>
  <r>
    <x v="283"/>
    <x v="58"/>
    <n v="2022"/>
    <x v="0"/>
    <n v="17.5"/>
    <n v="11.98"/>
    <x v="3"/>
    <x v="3"/>
  </r>
  <r>
    <x v="283"/>
    <x v="58"/>
    <n v="2022"/>
    <x v="5"/>
    <n v="62"/>
    <n v="39.92"/>
    <x v="3"/>
    <x v="3"/>
  </r>
  <r>
    <x v="283"/>
    <x v="58"/>
    <n v="2022"/>
    <x v="3"/>
    <n v="33"/>
    <n v="21.96"/>
    <x v="3"/>
    <x v="3"/>
  </r>
  <r>
    <x v="283"/>
    <x v="58"/>
    <n v="2022"/>
    <x v="1"/>
    <n v="87.5"/>
    <n v="59.9"/>
    <x v="3"/>
    <x v="3"/>
  </r>
  <r>
    <x v="283"/>
    <x v="58"/>
    <n v="2022"/>
    <x v="4"/>
    <n v="70"/>
    <n v="47.92"/>
    <x v="3"/>
    <x v="3"/>
  </r>
  <r>
    <x v="46"/>
    <x v="58"/>
    <n v="2022"/>
    <x v="2"/>
    <n v="18"/>
    <n v="11.52"/>
    <x v="3"/>
    <x v="6"/>
  </r>
  <r>
    <x v="116"/>
    <x v="58"/>
    <n v="2022"/>
    <x v="5"/>
    <n v="18"/>
    <n v="11.51"/>
    <x v="3"/>
    <x v="7"/>
  </r>
  <r>
    <x v="116"/>
    <x v="58"/>
    <n v="2022"/>
    <x v="3"/>
    <n v="18"/>
    <n v="11.51"/>
    <x v="3"/>
    <x v="7"/>
  </r>
  <r>
    <x v="116"/>
    <x v="58"/>
    <n v="2022"/>
    <x v="1"/>
    <n v="43"/>
    <n v="30.02"/>
    <x v="3"/>
    <x v="7"/>
  </r>
  <r>
    <x v="116"/>
    <x v="58"/>
    <n v="2022"/>
    <x v="4"/>
    <n v="61.98"/>
    <n v="42.52"/>
    <x v="3"/>
    <x v="7"/>
  </r>
  <r>
    <x v="132"/>
    <x v="59"/>
    <n v="2022"/>
    <x v="0"/>
    <n v="80"/>
    <n v="45.71"/>
    <x v="2"/>
    <x v="6"/>
  </r>
  <r>
    <x v="206"/>
    <x v="59"/>
    <n v="2022"/>
    <x v="3"/>
    <n v="160"/>
    <n v="91.36"/>
    <x v="2"/>
    <x v="2"/>
  </r>
  <r>
    <x v="206"/>
    <x v="59"/>
    <n v="2022"/>
    <x v="1"/>
    <n v="100"/>
    <n v="57.04"/>
    <x v="2"/>
    <x v="2"/>
  </r>
  <r>
    <x v="207"/>
    <x v="59"/>
    <n v="2022"/>
    <x v="0"/>
    <n v="260"/>
    <n v="69.11"/>
    <x v="2"/>
    <x v="5"/>
  </r>
  <r>
    <x v="143"/>
    <x v="59"/>
    <n v="2022"/>
    <x v="1"/>
    <n v="720"/>
    <n v="397.4"/>
    <x v="2"/>
    <x v="1"/>
  </r>
  <r>
    <x v="214"/>
    <x v="60"/>
    <n v="2022"/>
    <x v="2"/>
    <n v="268.75"/>
    <n v="59.56"/>
    <x v="2"/>
    <x v="3"/>
  </r>
  <r>
    <x v="8"/>
    <x v="60"/>
    <n v="2022"/>
    <x v="0"/>
    <n v="185.9"/>
    <n v="55.76"/>
    <x v="2"/>
    <x v="1"/>
  </r>
  <r>
    <x v="8"/>
    <x v="60"/>
    <n v="2022"/>
    <x v="5"/>
    <n v="270.25"/>
    <n v="40.28"/>
    <x v="2"/>
    <x v="1"/>
  </r>
  <r>
    <x v="8"/>
    <x v="60"/>
    <n v="2022"/>
    <x v="3"/>
    <n v="47"/>
    <n v="7.13"/>
    <x v="2"/>
    <x v="1"/>
  </r>
  <r>
    <x v="7"/>
    <x v="60"/>
    <n v="2022"/>
    <x v="2"/>
    <n v="212.4"/>
    <n v="60.92"/>
    <x v="2"/>
    <x v="4"/>
  </r>
  <r>
    <x v="8"/>
    <x v="60"/>
    <n v="2022"/>
    <x v="0"/>
    <n v="155"/>
    <n v="59.25"/>
    <x v="2"/>
    <x v="1"/>
  </r>
  <r>
    <x v="8"/>
    <x v="60"/>
    <n v="2022"/>
    <x v="5"/>
    <n v="187.2"/>
    <n v="33.770000000000003"/>
    <x v="2"/>
    <x v="1"/>
  </r>
  <r>
    <x v="8"/>
    <x v="60"/>
    <n v="2022"/>
    <x v="3"/>
    <n v="23.4"/>
    <n v="4.09"/>
    <x v="2"/>
    <x v="1"/>
  </r>
  <r>
    <x v="280"/>
    <x v="60"/>
    <n v="2022"/>
    <x v="2"/>
    <n v="157.75"/>
    <n v="65.81"/>
    <x v="2"/>
    <x v="0"/>
  </r>
  <r>
    <x v="306"/>
    <x v="60"/>
    <n v="2022"/>
    <x v="0"/>
    <n v="51.99"/>
    <n v="24.58"/>
    <x v="2"/>
    <x v="3"/>
  </r>
  <r>
    <x v="306"/>
    <x v="60"/>
    <n v="2022"/>
    <x v="5"/>
    <n v="88.8"/>
    <n v="33.97"/>
    <x v="2"/>
    <x v="3"/>
  </r>
  <r>
    <x v="306"/>
    <x v="60"/>
    <n v="2022"/>
    <x v="3"/>
    <n v="14.8"/>
    <n v="5.66"/>
    <x v="2"/>
    <x v="3"/>
  </r>
  <r>
    <x v="198"/>
    <x v="60"/>
    <n v="2022"/>
    <x v="0"/>
    <n v="88"/>
    <n v="53.04"/>
    <x v="2"/>
    <x v="1"/>
  </r>
  <r>
    <x v="247"/>
    <x v="60"/>
    <n v="2022"/>
    <x v="3"/>
    <n v="40"/>
    <n v="21.85"/>
    <x v="2"/>
    <x v="1"/>
  </r>
  <r>
    <x v="201"/>
    <x v="60"/>
    <n v="2022"/>
    <x v="2"/>
    <n v="77.5"/>
    <n v="35.97"/>
    <x v="2"/>
    <x v="1"/>
  </r>
  <r>
    <x v="308"/>
    <x v="60"/>
    <n v="2022"/>
    <x v="0"/>
    <n v="15.5"/>
    <n v="7.2"/>
    <x v="2"/>
    <x v="5"/>
  </r>
  <r>
    <x v="308"/>
    <x v="60"/>
    <n v="2022"/>
    <x v="5"/>
    <n v="62"/>
    <n v="28.8"/>
    <x v="2"/>
    <x v="5"/>
  </r>
  <r>
    <x v="5"/>
    <x v="60"/>
    <n v="2022"/>
    <x v="2"/>
    <n v="301.25"/>
    <n v="139.91"/>
    <x v="2"/>
    <x v="2"/>
  </r>
  <r>
    <x v="250"/>
    <x v="60"/>
    <n v="2022"/>
    <x v="0"/>
    <n v="235.22"/>
    <n v="121.69"/>
    <x v="2"/>
    <x v="7"/>
  </r>
  <r>
    <x v="250"/>
    <x v="60"/>
    <n v="2022"/>
    <x v="5"/>
    <n v="328"/>
    <n v="136.79"/>
    <x v="2"/>
    <x v="7"/>
  </r>
  <r>
    <x v="250"/>
    <x v="60"/>
    <n v="2022"/>
    <x v="3"/>
    <n v="61.5"/>
    <n v="25.65"/>
    <x v="2"/>
    <x v="7"/>
  </r>
  <r>
    <x v="309"/>
    <x v="60"/>
    <n v="2022"/>
    <x v="2"/>
    <n v="72.599999999999994"/>
    <n v="35.4"/>
    <x v="2"/>
    <x v="2"/>
  </r>
  <r>
    <x v="310"/>
    <x v="60"/>
    <n v="2022"/>
    <x v="0"/>
    <n v="50.25"/>
    <n v="22.35"/>
    <x v="2"/>
    <x v="7"/>
  </r>
  <r>
    <x v="310"/>
    <x v="60"/>
    <n v="2022"/>
    <x v="5"/>
    <n v="69.2"/>
    <n v="32"/>
    <x v="2"/>
    <x v="7"/>
  </r>
  <r>
    <x v="310"/>
    <x v="60"/>
    <n v="2022"/>
    <x v="3"/>
    <n v="18.5"/>
    <n v="9.1999999999999993"/>
    <x v="2"/>
    <x v="7"/>
  </r>
  <r>
    <x v="103"/>
    <x v="61"/>
    <n v="2022"/>
    <x v="5"/>
    <n v="278.25"/>
    <n v="-68.239999999999995"/>
    <x v="5"/>
    <x v="5"/>
  </r>
  <r>
    <x v="311"/>
    <x v="61"/>
    <n v="2022"/>
    <x v="5"/>
    <n v="52.5"/>
    <n v="30"/>
    <x v="5"/>
    <x v="7"/>
  </r>
  <r>
    <x v="58"/>
    <x v="61"/>
    <n v="2022"/>
    <x v="5"/>
    <n v="27.75"/>
    <n v="-10.35"/>
    <x v="5"/>
    <x v="5"/>
  </r>
  <r>
    <x v="5"/>
    <x v="62"/>
    <n v="2022"/>
    <x v="2"/>
    <n v="164.25"/>
    <n v="74.599999999999994"/>
    <x v="1"/>
    <x v="2"/>
  </r>
  <r>
    <x v="250"/>
    <x v="62"/>
    <n v="2022"/>
    <x v="0"/>
    <n v="148.56"/>
    <n v="76.84"/>
    <x v="1"/>
    <x v="7"/>
  </r>
  <r>
    <x v="250"/>
    <x v="62"/>
    <n v="2022"/>
    <x v="5"/>
    <n v="123"/>
    <n v="51.28"/>
    <x v="1"/>
    <x v="7"/>
  </r>
  <r>
    <x v="250"/>
    <x v="62"/>
    <n v="2022"/>
    <x v="3"/>
    <n v="143.25"/>
    <n v="71.53"/>
    <x v="1"/>
    <x v="7"/>
  </r>
  <r>
    <x v="250"/>
    <x v="62"/>
    <n v="2022"/>
    <x v="1"/>
    <n v="187.5"/>
    <n v="97.85"/>
    <x v="1"/>
    <x v="7"/>
  </r>
  <r>
    <x v="250"/>
    <x v="62"/>
    <n v="2022"/>
    <x v="4"/>
    <n v="150"/>
    <n v="78.28"/>
    <x v="1"/>
    <x v="7"/>
  </r>
  <r>
    <x v="251"/>
    <x v="62"/>
    <n v="2022"/>
    <x v="2"/>
    <n v="115.5"/>
    <n v="17.57"/>
    <x v="1"/>
    <x v="7"/>
  </r>
  <r>
    <x v="252"/>
    <x v="62"/>
    <n v="2022"/>
    <x v="0"/>
    <n v="99.04"/>
    <n v="20.76"/>
    <x v="1"/>
    <x v="5"/>
  </r>
  <r>
    <x v="252"/>
    <x v="62"/>
    <n v="2022"/>
    <x v="5"/>
    <n v="90"/>
    <n v="11.98"/>
    <x v="1"/>
    <x v="5"/>
  </r>
  <r>
    <x v="252"/>
    <x v="62"/>
    <n v="2022"/>
    <x v="3"/>
    <n v="100.5"/>
    <n v="23.84"/>
    <x v="1"/>
    <x v="5"/>
  </r>
  <r>
    <x v="252"/>
    <x v="62"/>
    <n v="2022"/>
    <x v="1"/>
    <n v="130"/>
    <n v="32.74"/>
    <x v="1"/>
    <x v="5"/>
  </r>
  <r>
    <x v="252"/>
    <x v="62"/>
    <n v="2022"/>
    <x v="4"/>
    <n v="104"/>
    <n v="25.61"/>
    <x v="1"/>
    <x v="5"/>
  </r>
  <r>
    <x v="263"/>
    <x v="62"/>
    <n v="2022"/>
    <x v="2"/>
    <n v="186.75"/>
    <n v="119.4"/>
    <x v="1"/>
    <x v="7"/>
  </r>
  <r>
    <x v="264"/>
    <x v="62"/>
    <n v="2022"/>
    <x v="0"/>
    <n v="171.6"/>
    <n v="117.72"/>
    <x v="1"/>
    <x v="4"/>
  </r>
  <r>
    <x v="264"/>
    <x v="62"/>
    <n v="2022"/>
    <x v="5"/>
    <n v="141"/>
    <n v="87.12"/>
    <x v="1"/>
    <x v="4"/>
  </r>
  <r>
    <x v="264"/>
    <x v="62"/>
    <n v="2022"/>
    <x v="3"/>
    <n v="165.75"/>
    <n v="111.87"/>
    <x v="1"/>
    <x v="4"/>
  </r>
  <r>
    <x v="264"/>
    <x v="62"/>
    <n v="2022"/>
    <x v="1"/>
    <n v="217.5"/>
    <n v="150.15"/>
    <x v="1"/>
    <x v="4"/>
  </r>
  <r>
    <x v="264"/>
    <x v="62"/>
    <n v="2022"/>
    <x v="4"/>
    <n v="174"/>
    <n v="120.12"/>
    <x v="1"/>
    <x v="4"/>
  </r>
  <r>
    <x v="266"/>
    <x v="62"/>
    <n v="2022"/>
    <x v="2"/>
    <n v="76.5"/>
    <n v="48.9"/>
    <x v="1"/>
    <x v="2"/>
  </r>
  <r>
    <x v="267"/>
    <x v="62"/>
    <n v="2022"/>
    <x v="0"/>
    <n v="64.92"/>
    <n v="42.84"/>
    <x v="1"/>
    <x v="5"/>
  </r>
  <r>
    <x v="267"/>
    <x v="62"/>
    <n v="2022"/>
    <x v="5"/>
    <n v="58"/>
    <n v="35.92"/>
    <x v="1"/>
    <x v="5"/>
  </r>
  <r>
    <x v="267"/>
    <x v="62"/>
    <n v="2022"/>
    <x v="3"/>
    <n v="64"/>
    <n v="41.92"/>
    <x v="1"/>
    <x v="5"/>
  </r>
  <r>
    <x v="267"/>
    <x v="62"/>
    <n v="2022"/>
    <x v="1"/>
    <n v="82.5"/>
    <n v="54.9"/>
    <x v="1"/>
    <x v="5"/>
  </r>
  <r>
    <x v="267"/>
    <x v="62"/>
    <n v="2022"/>
    <x v="4"/>
    <n v="66"/>
    <n v="43.92"/>
    <x v="1"/>
    <x v="5"/>
  </r>
  <r>
    <x v="261"/>
    <x v="62"/>
    <n v="2022"/>
    <x v="2"/>
    <n v="92.5"/>
    <n v="46.8"/>
    <x v="1"/>
    <x v="5"/>
  </r>
  <r>
    <x v="262"/>
    <x v="62"/>
    <n v="2022"/>
    <x v="0"/>
    <n v="80"/>
    <n v="43.44"/>
    <x v="1"/>
    <x v="5"/>
  </r>
  <r>
    <x v="262"/>
    <x v="62"/>
    <n v="2022"/>
    <x v="5"/>
    <n v="70"/>
    <n v="33.44"/>
    <x v="1"/>
    <x v="5"/>
  </r>
  <r>
    <x v="262"/>
    <x v="62"/>
    <n v="2022"/>
    <x v="3"/>
    <n v="77.5"/>
    <n v="40.94"/>
    <x v="1"/>
    <x v="5"/>
  </r>
  <r>
    <x v="262"/>
    <x v="62"/>
    <n v="2022"/>
    <x v="1"/>
    <n v="100"/>
    <n v="54.3"/>
    <x v="1"/>
    <x v="5"/>
  </r>
  <r>
    <x v="262"/>
    <x v="62"/>
    <n v="2022"/>
    <x v="4"/>
    <n v="80"/>
    <n v="43.44"/>
    <x v="1"/>
    <x v="5"/>
  </r>
  <r>
    <x v="253"/>
    <x v="62"/>
    <n v="2022"/>
    <x v="2"/>
    <n v="60.5"/>
    <n v="32.9"/>
    <x v="1"/>
    <x v="7"/>
  </r>
  <r>
    <x v="254"/>
    <x v="62"/>
    <n v="2022"/>
    <x v="0"/>
    <n v="52.8"/>
    <n v="30.72"/>
    <x v="1"/>
    <x v="1"/>
  </r>
  <r>
    <x v="254"/>
    <x v="62"/>
    <n v="2022"/>
    <x v="5"/>
    <n v="48.25"/>
    <n v="26.17"/>
    <x v="1"/>
    <x v="1"/>
  </r>
  <r>
    <x v="254"/>
    <x v="62"/>
    <n v="2022"/>
    <x v="3"/>
    <n v="55"/>
    <n v="32.92"/>
    <x v="1"/>
    <x v="1"/>
  </r>
  <r>
    <x v="254"/>
    <x v="62"/>
    <n v="2022"/>
    <x v="1"/>
    <n v="68.75"/>
    <n v="41.15"/>
    <x v="1"/>
    <x v="1"/>
  </r>
  <r>
    <x v="254"/>
    <x v="62"/>
    <n v="2022"/>
    <x v="4"/>
    <n v="55"/>
    <n v="32.92"/>
    <x v="1"/>
    <x v="1"/>
  </r>
  <r>
    <x v="240"/>
    <x v="62"/>
    <n v="2022"/>
    <x v="2"/>
    <n v="77.25"/>
    <n v="42.2"/>
    <x v="1"/>
    <x v="4"/>
  </r>
  <r>
    <x v="88"/>
    <x v="62"/>
    <n v="2022"/>
    <x v="0"/>
    <n v="66"/>
    <n v="37.96"/>
    <x v="1"/>
    <x v="4"/>
  </r>
  <r>
    <x v="88"/>
    <x v="62"/>
    <n v="2022"/>
    <x v="5"/>
    <n v="59"/>
    <n v="30.96"/>
    <x v="1"/>
    <x v="4"/>
  </r>
  <r>
    <x v="88"/>
    <x v="62"/>
    <n v="2022"/>
    <x v="3"/>
    <n v="64.25"/>
    <n v="36.21"/>
    <x v="1"/>
    <x v="4"/>
  </r>
  <r>
    <x v="88"/>
    <x v="62"/>
    <n v="2022"/>
    <x v="1"/>
    <n v="82.5"/>
    <n v="47.45"/>
    <x v="1"/>
    <x v="4"/>
  </r>
  <r>
    <x v="88"/>
    <x v="62"/>
    <n v="2022"/>
    <x v="4"/>
    <n v="66"/>
    <n v="37.96"/>
    <x v="1"/>
    <x v="4"/>
  </r>
  <r>
    <x v="102"/>
    <x v="62"/>
    <n v="2022"/>
    <x v="2"/>
    <n v="216"/>
    <n v="148.6"/>
    <x v="1"/>
    <x v="0"/>
  </r>
  <r>
    <x v="73"/>
    <x v="62"/>
    <n v="2022"/>
    <x v="0"/>
    <n v="217.84"/>
    <n v="163.92"/>
    <x v="1"/>
    <x v="0"/>
  </r>
  <r>
    <x v="73"/>
    <x v="62"/>
    <n v="2022"/>
    <x v="5"/>
    <n v="156"/>
    <n v="102.08"/>
    <x v="1"/>
    <x v="0"/>
  </r>
  <r>
    <x v="73"/>
    <x v="62"/>
    <n v="2022"/>
    <x v="3"/>
    <n v="174"/>
    <n v="120.08"/>
    <x v="1"/>
    <x v="0"/>
  </r>
  <r>
    <x v="73"/>
    <x v="62"/>
    <n v="2022"/>
    <x v="1"/>
    <n v="225"/>
    <n v="157.6"/>
    <x v="1"/>
    <x v="0"/>
  </r>
  <r>
    <x v="73"/>
    <x v="62"/>
    <n v="2022"/>
    <x v="4"/>
    <n v="180"/>
    <n v="126.08"/>
    <x v="1"/>
    <x v="0"/>
  </r>
  <r>
    <x v="103"/>
    <x v="62"/>
    <n v="2022"/>
    <x v="2"/>
    <n v="212.5"/>
    <n v="87.85"/>
    <x v="1"/>
    <x v="5"/>
  </r>
  <r>
    <x v="104"/>
    <x v="62"/>
    <n v="2022"/>
    <x v="0"/>
    <n v="277.2"/>
    <n v="177.48"/>
    <x v="1"/>
    <x v="7"/>
  </r>
  <r>
    <x v="104"/>
    <x v="62"/>
    <n v="2022"/>
    <x v="5"/>
    <n v="146"/>
    <n v="46.28"/>
    <x v="1"/>
    <x v="7"/>
  </r>
  <r>
    <x v="104"/>
    <x v="62"/>
    <n v="2022"/>
    <x v="3"/>
    <n v="162.5"/>
    <n v="62.78"/>
    <x v="1"/>
    <x v="7"/>
  </r>
  <r>
    <x v="104"/>
    <x v="62"/>
    <n v="2022"/>
    <x v="1"/>
    <n v="210"/>
    <n v="85.35"/>
    <x v="1"/>
    <x v="7"/>
  </r>
  <r>
    <x v="104"/>
    <x v="62"/>
    <n v="2022"/>
    <x v="4"/>
    <n v="168"/>
    <n v="68.28"/>
    <x v="1"/>
    <x v="7"/>
  </r>
  <r>
    <x v="304"/>
    <x v="63"/>
    <n v="2022"/>
    <x v="0"/>
    <n v="15.13"/>
    <n v="9.74"/>
    <x v="0"/>
    <x v="3"/>
  </r>
  <r>
    <x v="164"/>
    <x v="63"/>
    <n v="2022"/>
    <x v="2"/>
    <n v="12"/>
    <n v="6.9"/>
    <x v="0"/>
    <x v="3"/>
  </r>
  <r>
    <x v="307"/>
    <x v="63"/>
    <n v="2022"/>
    <x v="0"/>
    <n v="12.38"/>
    <n v="7.28"/>
    <x v="0"/>
    <x v="0"/>
  </r>
  <r>
    <x v="307"/>
    <x v="63"/>
    <n v="2022"/>
    <x v="5"/>
    <n v="12"/>
    <n v="6.9"/>
    <x v="0"/>
    <x v="0"/>
  </r>
  <r>
    <x v="7"/>
    <x v="63"/>
    <n v="2022"/>
    <x v="2"/>
    <n v="93"/>
    <n v="35.450000000000003"/>
    <x v="0"/>
    <x v="4"/>
  </r>
  <r>
    <x v="145"/>
    <x v="63"/>
    <n v="2022"/>
    <x v="0"/>
    <n v="15.13"/>
    <n v="5.37"/>
    <x v="0"/>
    <x v="0"/>
  </r>
  <r>
    <x v="241"/>
    <x v="63"/>
    <n v="2022"/>
    <x v="2"/>
    <n v="12"/>
    <n v="7.52"/>
    <x v="0"/>
    <x v="2"/>
  </r>
  <r>
    <x v="242"/>
    <x v="63"/>
    <n v="2022"/>
    <x v="0"/>
    <n v="13.2"/>
    <n v="8.7200000000000006"/>
    <x v="0"/>
    <x v="6"/>
  </r>
  <r>
    <x v="242"/>
    <x v="63"/>
    <n v="2022"/>
    <x v="5"/>
    <n v="12"/>
    <n v="7.52"/>
    <x v="0"/>
    <x v="6"/>
  </r>
  <r>
    <x v="228"/>
    <x v="63"/>
    <n v="2022"/>
    <x v="0"/>
    <n v="11.5"/>
    <n v="-0.42"/>
    <x v="0"/>
    <x v="0"/>
  </r>
  <r>
    <x v="28"/>
    <x v="63"/>
    <n v="2022"/>
    <x v="2"/>
    <n v="11.88"/>
    <n v="7.75"/>
    <x v="0"/>
    <x v="7"/>
  </r>
  <r>
    <x v="29"/>
    <x v="63"/>
    <n v="2022"/>
    <x v="3"/>
    <n v="11.88"/>
    <n v="7.75"/>
    <x v="0"/>
    <x v="2"/>
  </r>
  <r>
    <x v="5"/>
    <x v="63"/>
    <n v="2022"/>
    <x v="3"/>
    <n v="12.38"/>
    <n v="6.4"/>
    <x v="0"/>
    <x v="2"/>
  </r>
  <r>
    <x v="263"/>
    <x v="63"/>
    <n v="2022"/>
    <x v="3"/>
    <n v="14.3"/>
    <n v="9.81"/>
    <x v="0"/>
    <x v="7"/>
  </r>
  <r>
    <x v="31"/>
    <x v="63"/>
    <n v="2022"/>
    <x v="5"/>
    <n v="25.85"/>
    <n v="15.93"/>
    <x v="0"/>
    <x v="4"/>
  </r>
  <r>
    <x v="32"/>
    <x v="63"/>
    <n v="2022"/>
    <x v="5"/>
    <n v="27"/>
    <n v="15.85"/>
    <x v="0"/>
    <x v="0"/>
  </r>
  <r>
    <x v="33"/>
    <x v="63"/>
    <n v="2022"/>
    <x v="3"/>
    <n v="54"/>
    <n v="31.7"/>
    <x v="0"/>
    <x v="6"/>
  </r>
  <r>
    <x v="240"/>
    <x v="63"/>
    <n v="2022"/>
    <x v="2"/>
    <n v="33"/>
    <n v="18.97"/>
    <x v="0"/>
    <x v="4"/>
  </r>
  <r>
    <x v="88"/>
    <x v="63"/>
    <n v="2022"/>
    <x v="0"/>
    <n v="33"/>
    <n v="18.97"/>
    <x v="0"/>
    <x v="4"/>
  </r>
  <r>
    <x v="88"/>
    <x v="63"/>
    <n v="2022"/>
    <x v="5"/>
    <n v="33"/>
    <n v="18.97"/>
    <x v="0"/>
    <x v="4"/>
  </r>
  <r>
    <x v="88"/>
    <x v="63"/>
    <n v="2022"/>
    <x v="3"/>
    <n v="33"/>
    <n v="18.97"/>
    <x v="0"/>
    <x v="4"/>
  </r>
  <r>
    <x v="102"/>
    <x v="63"/>
    <n v="2022"/>
    <x v="2"/>
    <n v="22.5"/>
    <n v="15.76"/>
    <x v="0"/>
    <x v="0"/>
  </r>
  <r>
    <x v="73"/>
    <x v="63"/>
    <n v="2022"/>
    <x v="0"/>
    <n v="27.23"/>
    <n v="20.49"/>
    <x v="0"/>
    <x v="0"/>
  </r>
  <r>
    <x v="73"/>
    <x v="63"/>
    <n v="2022"/>
    <x v="5"/>
    <n v="45"/>
    <n v="31.52"/>
    <x v="0"/>
    <x v="0"/>
  </r>
  <r>
    <x v="73"/>
    <x v="63"/>
    <n v="2022"/>
    <x v="3"/>
    <n v="45"/>
    <n v="31.52"/>
    <x v="0"/>
    <x v="0"/>
  </r>
  <r>
    <x v="103"/>
    <x v="63"/>
    <n v="2022"/>
    <x v="2"/>
    <n v="22"/>
    <n v="9.5399999999999991"/>
    <x v="0"/>
    <x v="5"/>
  </r>
  <r>
    <x v="104"/>
    <x v="63"/>
    <n v="2022"/>
    <x v="0"/>
    <n v="34.65"/>
    <n v="22.19"/>
    <x v="0"/>
    <x v="7"/>
  </r>
  <r>
    <x v="104"/>
    <x v="63"/>
    <n v="2022"/>
    <x v="5"/>
    <n v="44"/>
    <n v="19.07"/>
    <x v="0"/>
    <x v="7"/>
  </r>
  <r>
    <x v="104"/>
    <x v="63"/>
    <n v="2022"/>
    <x v="3"/>
    <n v="44"/>
    <n v="19.07"/>
    <x v="0"/>
    <x v="7"/>
  </r>
  <r>
    <x v="198"/>
    <x v="64"/>
    <n v="2022"/>
    <x v="1"/>
    <n v="88"/>
    <n v="26.14"/>
    <x v="1"/>
    <x v="1"/>
  </r>
  <r>
    <x v="228"/>
    <x v="64"/>
    <n v="2022"/>
    <x v="1"/>
    <n v="23"/>
    <n v="-0.84"/>
    <x v="1"/>
    <x v="0"/>
  </r>
  <r>
    <x v="28"/>
    <x v="64"/>
    <n v="2022"/>
    <x v="0"/>
    <n v="23.76"/>
    <n v="15.49"/>
    <x v="1"/>
    <x v="7"/>
  </r>
  <r>
    <x v="29"/>
    <x v="64"/>
    <n v="2022"/>
    <x v="5"/>
    <n v="59.4"/>
    <n v="38.729999999999997"/>
    <x v="1"/>
    <x v="2"/>
  </r>
  <r>
    <x v="29"/>
    <x v="64"/>
    <n v="2022"/>
    <x v="3"/>
    <n v="35.64"/>
    <n v="23.24"/>
    <x v="1"/>
    <x v="2"/>
  </r>
  <r>
    <x v="29"/>
    <x v="64"/>
    <n v="2022"/>
    <x v="1"/>
    <n v="35.64"/>
    <n v="23.24"/>
    <x v="1"/>
    <x v="2"/>
  </r>
  <r>
    <x v="29"/>
    <x v="64"/>
    <n v="2022"/>
    <x v="4"/>
    <n v="59.4"/>
    <n v="38.729999999999997"/>
    <x v="1"/>
    <x v="2"/>
  </r>
  <r>
    <x v="265"/>
    <x v="64"/>
    <n v="2022"/>
    <x v="2"/>
    <n v="85"/>
    <n v="38.06"/>
    <x v="1"/>
    <x v="1"/>
  </r>
  <r>
    <x v="272"/>
    <x v="64"/>
    <n v="2022"/>
    <x v="0"/>
    <n v="51.72"/>
    <n v="24.9"/>
    <x v="1"/>
    <x v="1"/>
  </r>
  <r>
    <x v="272"/>
    <x v="64"/>
    <n v="2022"/>
    <x v="5"/>
    <n v="36"/>
    <n v="15.88"/>
    <x v="1"/>
    <x v="1"/>
  </r>
  <r>
    <x v="272"/>
    <x v="64"/>
    <n v="2022"/>
    <x v="3"/>
    <n v="48"/>
    <n v="21.18"/>
    <x v="1"/>
    <x v="1"/>
  </r>
  <r>
    <x v="272"/>
    <x v="64"/>
    <n v="2022"/>
    <x v="1"/>
    <n v="78"/>
    <n v="37.770000000000003"/>
    <x v="1"/>
    <x v="1"/>
  </r>
  <r>
    <x v="272"/>
    <x v="64"/>
    <n v="2022"/>
    <x v="4"/>
    <n v="78"/>
    <n v="37.770000000000003"/>
    <x v="1"/>
    <x v="1"/>
  </r>
  <r>
    <x v="5"/>
    <x v="64"/>
    <n v="2022"/>
    <x v="2"/>
    <n v="96"/>
    <n v="48.19"/>
    <x v="1"/>
    <x v="2"/>
  </r>
  <r>
    <x v="250"/>
    <x v="64"/>
    <n v="2022"/>
    <x v="0"/>
    <n v="61.9"/>
    <n v="32.020000000000003"/>
    <x v="1"/>
    <x v="7"/>
  </r>
  <r>
    <x v="250"/>
    <x v="64"/>
    <n v="2022"/>
    <x v="5"/>
    <n v="60"/>
    <n v="30.12"/>
    <x v="1"/>
    <x v="7"/>
  </r>
  <r>
    <x v="250"/>
    <x v="64"/>
    <n v="2022"/>
    <x v="3"/>
    <n v="96"/>
    <n v="48.19"/>
    <x v="1"/>
    <x v="7"/>
  </r>
  <r>
    <x v="250"/>
    <x v="64"/>
    <n v="2022"/>
    <x v="1"/>
    <n v="130.5"/>
    <n v="76.709999999999994"/>
    <x v="1"/>
    <x v="7"/>
  </r>
  <r>
    <x v="250"/>
    <x v="64"/>
    <n v="2022"/>
    <x v="4"/>
    <n v="116"/>
    <n v="68.19"/>
    <x v="1"/>
    <x v="7"/>
  </r>
  <r>
    <x v="251"/>
    <x v="64"/>
    <n v="2022"/>
    <x v="2"/>
    <n v="114"/>
    <n v="25.87"/>
    <x v="1"/>
    <x v="7"/>
  </r>
  <r>
    <x v="252"/>
    <x v="64"/>
    <n v="2022"/>
    <x v="0"/>
    <n v="111.42"/>
    <n v="23.22"/>
    <x v="1"/>
    <x v="5"/>
  </r>
  <r>
    <x v="252"/>
    <x v="64"/>
    <n v="2022"/>
    <x v="5"/>
    <n v="117"/>
    <n v="29.49"/>
    <x v="1"/>
    <x v="5"/>
  </r>
  <r>
    <x v="252"/>
    <x v="64"/>
    <n v="2022"/>
    <x v="3"/>
    <n v="117"/>
    <n v="29.68"/>
    <x v="1"/>
    <x v="5"/>
  </r>
  <r>
    <x v="252"/>
    <x v="64"/>
    <n v="2022"/>
    <x v="1"/>
    <n v="104"/>
    <n v="26.68"/>
    <x v="1"/>
    <x v="5"/>
  </r>
  <r>
    <x v="252"/>
    <x v="64"/>
    <n v="2022"/>
    <x v="4"/>
    <n v="117"/>
    <n v="28.82"/>
    <x v="1"/>
    <x v="5"/>
  </r>
  <r>
    <x v="263"/>
    <x v="64"/>
    <n v="2022"/>
    <x v="2"/>
    <n v="121.5"/>
    <n v="81.09"/>
    <x v="1"/>
    <x v="7"/>
  </r>
  <r>
    <x v="264"/>
    <x v="64"/>
    <n v="2022"/>
    <x v="0"/>
    <n v="128.69999999999999"/>
    <n v="88.29"/>
    <x v="1"/>
    <x v="4"/>
  </r>
  <r>
    <x v="264"/>
    <x v="64"/>
    <n v="2022"/>
    <x v="5"/>
    <n v="123.9"/>
    <n v="83.49"/>
    <x v="1"/>
    <x v="4"/>
  </r>
  <r>
    <x v="264"/>
    <x v="64"/>
    <n v="2022"/>
    <x v="3"/>
    <n v="121.5"/>
    <n v="81.09"/>
    <x v="1"/>
    <x v="4"/>
  </r>
  <r>
    <x v="264"/>
    <x v="64"/>
    <n v="2022"/>
    <x v="1"/>
    <n v="130.5"/>
    <n v="90.09"/>
    <x v="1"/>
    <x v="4"/>
  </r>
  <r>
    <x v="264"/>
    <x v="64"/>
    <n v="2022"/>
    <x v="4"/>
    <n v="130.5"/>
    <n v="90.09"/>
    <x v="1"/>
    <x v="4"/>
  </r>
  <r>
    <x v="253"/>
    <x v="64"/>
    <n v="2022"/>
    <x v="2"/>
    <n v="65"/>
    <n v="37.42"/>
    <x v="1"/>
    <x v="7"/>
  </r>
  <r>
    <x v="254"/>
    <x v="64"/>
    <n v="2022"/>
    <x v="0"/>
    <n v="52.8"/>
    <n v="30.74"/>
    <x v="1"/>
    <x v="1"/>
  </r>
  <r>
    <x v="254"/>
    <x v="64"/>
    <n v="2022"/>
    <x v="5"/>
    <n v="52.5"/>
    <n v="30.43"/>
    <x v="1"/>
    <x v="1"/>
  </r>
  <r>
    <x v="254"/>
    <x v="64"/>
    <n v="2022"/>
    <x v="3"/>
    <n v="54"/>
    <n v="31.94"/>
    <x v="1"/>
    <x v="1"/>
  </r>
  <r>
    <x v="254"/>
    <x v="64"/>
    <n v="2022"/>
    <x v="1"/>
    <n v="55"/>
    <n v="32.94"/>
    <x v="1"/>
    <x v="1"/>
  </r>
  <r>
    <x v="254"/>
    <x v="64"/>
    <n v="2022"/>
    <x v="4"/>
    <n v="41.25"/>
    <n v="24.7"/>
    <x v="1"/>
    <x v="1"/>
  </r>
  <r>
    <x v="238"/>
    <x v="64"/>
    <n v="2022"/>
    <x v="2"/>
    <n v="100"/>
    <n v="53.18"/>
    <x v="1"/>
    <x v="5"/>
  </r>
  <r>
    <x v="239"/>
    <x v="64"/>
    <n v="2022"/>
    <x v="0"/>
    <n v="40.700000000000003"/>
    <n v="21.98"/>
    <x v="1"/>
    <x v="1"/>
  </r>
  <r>
    <x v="239"/>
    <x v="64"/>
    <n v="2022"/>
    <x v="5"/>
    <n v="80.5"/>
    <n v="43.05"/>
    <x v="1"/>
    <x v="1"/>
  </r>
  <r>
    <x v="239"/>
    <x v="64"/>
    <n v="2022"/>
    <x v="3"/>
    <n v="82"/>
    <n v="44.54"/>
    <x v="1"/>
    <x v="1"/>
  </r>
  <r>
    <x v="239"/>
    <x v="64"/>
    <n v="2022"/>
    <x v="1"/>
    <n v="82"/>
    <n v="44.54"/>
    <x v="1"/>
    <x v="1"/>
  </r>
  <r>
    <x v="239"/>
    <x v="64"/>
    <n v="2022"/>
    <x v="4"/>
    <n v="82"/>
    <n v="44.55"/>
    <x v="1"/>
    <x v="1"/>
  </r>
  <r>
    <x v="103"/>
    <x v="64"/>
    <n v="2022"/>
    <x v="2"/>
    <n v="161.5"/>
    <n v="74.25"/>
    <x v="1"/>
    <x v="5"/>
  </r>
  <r>
    <x v="104"/>
    <x v="64"/>
    <n v="2022"/>
    <x v="0"/>
    <n v="207.9"/>
    <n v="133.11000000000001"/>
    <x v="1"/>
    <x v="7"/>
  </r>
  <r>
    <x v="104"/>
    <x v="64"/>
    <n v="2022"/>
    <x v="5"/>
    <n v="154"/>
    <n v="66.75"/>
    <x v="1"/>
    <x v="7"/>
  </r>
  <r>
    <x v="104"/>
    <x v="64"/>
    <n v="2022"/>
    <x v="3"/>
    <n v="132"/>
    <n v="57.21"/>
    <x v="1"/>
    <x v="7"/>
  </r>
  <r>
    <x v="104"/>
    <x v="64"/>
    <n v="2022"/>
    <x v="1"/>
    <n v="132"/>
    <n v="57.22"/>
    <x v="1"/>
    <x v="7"/>
  </r>
  <r>
    <x v="104"/>
    <x v="64"/>
    <n v="2022"/>
    <x v="4"/>
    <n v="132"/>
    <n v="57.21"/>
    <x v="1"/>
    <x v="7"/>
  </r>
  <r>
    <x v="60"/>
    <x v="64"/>
    <n v="2022"/>
    <x v="0"/>
    <n v="34.1"/>
    <n v="24.22"/>
    <x v="1"/>
    <x v="3"/>
  </r>
  <r>
    <x v="61"/>
    <x v="64"/>
    <n v="2022"/>
    <x v="3"/>
    <n v="34.1"/>
    <n v="24.22"/>
    <x v="1"/>
    <x v="6"/>
  </r>
  <r>
    <x v="282"/>
    <x v="64"/>
    <n v="2022"/>
    <x v="5"/>
    <n v="30"/>
    <n v="18.97"/>
    <x v="1"/>
    <x v="4"/>
  </r>
  <r>
    <x v="283"/>
    <x v="64"/>
    <n v="2022"/>
    <x v="3"/>
    <n v="60"/>
    <n v="37.94"/>
    <x v="1"/>
    <x v="3"/>
  </r>
  <r>
    <x v="283"/>
    <x v="64"/>
    <n v="2022"/>
    <x v="1"/>
    <n v="105"/>
    <n v="71.91"/>
    <x v="1"/>
    <x v="3"/>
  </r>
  <r>
    <x v="283"/>
    <x v="64"/>
    <n v="2022"/>
    <x v="4"/>
    <n v="70"/>
    <n v="47.93"/>
    <x v="1"/>
    <x v="3"/>
  </r>
  <r>
    <x v="284"/>
    <x v="64"/>
    <n v="2022"/>
    <x v="5"/>
    <n v="34"/>
    <n v="17.64"/>
    <x v="1"/>
    <x v="5"/>
  </r>
  <r>
    <x v="304"/>
    <x v="65"/>
    <n v="2022"/>
    <x v="2"/>
    <n v="93.75"/>
    <n v="50.63"/>
    <x v="1"/>
    <x v="3"/>
  </r>
  <r>
    <x v="312"/>
    <x v="65"/>
    <n v="2022"/>
    <x v="0"/>
    <n v="99.5"/>
    <n v="56.38"/>
    <x v="1"/>
    <x v="7"/>
  </r>
  <r>
    <x v="312"/>
    <x v="65"/>
    <n v="2022"/>
    <x v="5"/>
    <n v="56.25"/>
    <n v="29.3"/>
    <x v="1"/>
    <x v="7"/>
  </r>
  <r>
    <x v="312"/>
    <x v="65"/>
    <n v="2022"/>
    <x v="3"/>
    <n v="101.25"/>
    <n v="63.52"/>
    <x v="1"/>
    <x v="7"/>
  </r>
  <r>
    <x v="312"/>
    <x v="65"/>
    <n v="2022"/>
    <x v="1"/>
    <n v="75"/>
    <n v="48.05"/>
    <x v="1"/>
    <x v="7"/>
  </r>
  <r>
    <x v="312"/>
    <x v="65"/>
    <n v="2022"/>
    <x v="4"/>
    <n v="60"/>
    <n v="38.44"/>
    <x v="1"/>
    <x v="7"/>
  </r>
  <r>
    <x v="313"/>
    <x v="65"/>
    <n v="2022"/>
    <x v="2"/>
    <n v="69"/>
    <n v="12.28"/>
    <x v="1"/>
    <x v="6"/>
  </r>
  <r>
    <x v="314"/>
    <x v="65"/>
    <n v="2022"/>
    <x v="0"/>
    <n v="116.2"/>
    <n v="31.12"/>
    <x v="1"/>
    <x v="1"/>
  </r>
  <r>
    <x v="314"/>
    <x v="65"/>
    <n v="2022"/>
    <x v="5"/>
    <n v="86.25"/>
    <n v="15.35"/>
    <x v="1"/>
    <x v="1"/>
  </r>
  <r>
    <x v="314"/>
    <x v="65"/>
    <n v="2022"/>
    <x v="3"/>
    <n v="112.25"/>
    <n v="41.35"/>
    <x v="1"/>
    <x v="1"/>
  </r>
  <r>
    <x v="314"/>
    <x v="65"/>
    <n v="2022"/>
    <x v="1"/>
    <n v="95"/>
    <n v="38.28"/>
    <x v="1"/>
    <x v="1"/>
  </r>
  <r>
    <x v="314"/>
    <x v="65"/>
    <n v="2022"/>
    <x v="4"/>
    <n v="95"/>
    <n v="38.28"/>
    <x v="1"/>
    <x v="1"/>
  </r>
  <r>
    <x v="164"/>
    <x v="65"/>
    <n v="2022"/>
    <x v="2"/>
    <n v="72"/>
    <n v="41.4"/>
    <x v="1"/>
    <x v="3"/>
  </r>
  <r>
    <x v="307"/>
    <x v="65"/>
    <n v="2022"/>
    <x v="0"/>
    <n v="121.52"/>
    <n v="70.52"/>
    <x v="1"/>
    <x v="0"/>
  </r>
  <r>
    <x v="307"/>
    <x v="65"/>
    <n v="2022"/>
    <x v="5"/>
    <n v="120"/>
    <n v="69"/>
    <x v="1"/>
    <x v="0"/>
  </r>
  <r>
    <x v="307"/>
    <x v="65"/>
    <n v="2022"/>
    <x v="3"/>
    <n v="99"/>
    <n v="58.2"/>
    <x v="1"/>
    <x v="0"/>
  </r>
  <r>
    <x v="307"/>
    <x v="65"/>
    <n v="2022"/>
    <x v="1"/>
    <n v="62.5"/>
    <n v="37"/>
    <x v="1"/>
    <x v="0"/>
  </r>
  <r>
    <x v="307"/>
    <x v="65"/>
    <n v="2022"/>
    <x v="4"/>
    <n v="75"/>
    <n v="44.4"/>
    <x v="1"/>
    <x v="0"/>
  </r>
  <r>
    <x v="228"/>
    <x v="65"/>
    <n v="2022"/>
    <x v="2"/>
    <n v="11.5"/>
    <n v="-0.42"/>
    <x v="1"/>
    <x v="0"/>
  </r>
  <r>
    <x v="28"/>
    <x v="65"/>
    <n v="2022"/>
    <x v="2"/>
    <n v="25.3"/>
    <n v="17.04"/>
    <x v="1"/>
    <x v="7"/>
  </r>
  <r>
    <x v="29"/>
    <x v="65"/>
    <n v="2022"/>
    <x v="0"/>
    <n v="34.5"/>
    <n v="22.1"/>
    <x v="1"/>
    <x v="2"/>
  </r>
  <r>
    <x v="29"/>
    <x v="65"/>
    <n v="2022"/>
    <x v="5"/>
    <n v="34.5"/>
    <n v="22.11"/>
    <x v="1"/>
    <x v="2"/>
  </r>
  <r>
    <x v="29"/>
    <x v="65"/>
    <n v="2022"/>
    <x v="3"/>
    <n v="34.5"/>
    <n v="22.11"/>
    <x v="1"/>
    <x v="2"/>
  </r>
  <r>
    <x v="29"/>
    <x v="65"/>
    <n v="2022"/>
    <x v="1"/>
    <n v="34.5"/>
    <n v="22.11"/>
    <x v="1"/>
    <x v="2"/>
  </r>
  <r>
    <x v="29"/>
    <x v="65"/>
    <n v="2022"/>
    <x v="4"/>
    <n v="34.5"/>
    <n v="22.11"/>
    <x v="1"/>
    <x v="2"/>
  </r>
  <r>
    <x v="315"/>
    <x v="65"/>
    <n v="2022"/>
    <x v="4"/>
    <n v="85.25"/>
    <n v="0"/>
    <x v="1"/>
    <x v="0"/>
  </r>
  <r>
    <x v="265"/>
    <x v="65"/>
    <n v="2022"/>
    <x v="2"/>
    <n v="85"/>
    <n v="38.049999999999997"/>
    <x v="1"/>
    <x v="1"/>
  </r>
  <r>
    <x v="272"/>
    <x v="65"/>
    <n v="2022"/>
    <x v="0"/>
    <n v="99.72"/>
    <n v="46.06"/>
    <x v="1"/>
    <x v="1"/>
  </r>
  <r>
    <x v="272"/>
    <x v="65"/>
    <n v="2022"/>
    <x v="5"/>
    <n v="72"/>
    <n v="31.75"/>
    <x v="1"/>
    <x v="1"/>
  </r>
  <r>
    <x v="272"/>
    <x v="65"/>
    <n v="2022"/>
    <x v="3"/>
    <n v="90"/>
    <n v="43.05"/>
    <x v="1"/>
    <x v="1"/>
  </r>
  <r>
    <x v="272"/>
    <x v="65"/>
    <n v="2022"/>
    <x v="1"/>
    <n v="91"/>
    <n v="44.06"/>
    <x v="1"/>
    <x v="1"/>
  </r>
  <r>
    <x v="272"/>
    <x v="65"/>
    <n v="2022"/>
    <x v="4"/>
    <n v="104"/>
    <n v="50.36"/>
    <x v="1"/>
    <x v="1"/>
  </r>
  <r>
    <x v="273"/>
    <x v="65"/>
    <n v="2022"/>
    <x v="2"/>
    <n v="98.5"/>
    <n v="27.4"/>
    <x v="1"/>
    <x v="0"/>
  </r>
  <r>
    <x v="274"/>
    <x v="65"/>
    <n v="2022"/>
    <x v="0"/>
    <n v="158.55000000000001"/>
    <n v="44.58"/>
    <x v="1"/>
    <x v="3"/>
  </r>
  <r>
    <x v="274"/>
    <x v="65"/>
    <n v="2022"/>
    <x v="5"/>
    <n v="78"/>
    <n v="21.39"/>
    <x v="1"/>
    <x v="3"/>
  </r>
  <r>
    <x v="274"/>
    <x v="65"/>
    <n v="2022"/>
    <x v="3"/>
    <n v="98.25"/>
    <n v="29.95"/>
    <x v="1"/>
    <x v="3"/>
  </r>
  <r>
    <x v="274"/>
    <x v="65"/>
    <n v="2022"/>
    <x v="1"/>
    <n v="81"/>
    <n v="24.93"/>
    <x v="1"/>
    <x v="3"/>
  </r>
  <r>
    <x v="274"/>
    <x v="65"/>
    <n v="2022"/>
    <x v="4"/>
    <n v="81"/>
    <n v="24.46"/>
    <x v="1"/>
    <x v="3"/>
  </r>
  <r>
    <x v="5"/>
    <x v="65"/>
    <n v="2022"/>
    <x v="2"/>
    <n v="120"/>
    <n v="60.25"/>
    <x v="1"/>
    <x v="2"/>
  </r>
  <r>
    <x v="250"/>
    <x v="65"/>
    <n v="2022"/>
    <x v="0"/>
    <n v="133.9"/>
    <n v="68.17"/>
    <x v="1"/>
    <x v="7"/>
  </r>
  <r>
    <x v="250"/>
    <x v="65"/>
    <n v="2022"/>
    <x v="5"/>
    <n v="96"/>
    <n v="48.2"/>
    <x v="1"/>
    <x v="7"/>
  </r>
  <r>
    <x v="250"/>
    <x v="65"/>
    <n v="2022"/>
    <x v="3"/>
    <n v="99"/>
    <n v="51.19"/>
    <x v="1"/>
    <x v="7"/>
  </r>
  <r>
    <x v="250"/>
    <x v="65"/>
    <n v="2022"/>
    <x v="1"/>
    <n v="87.5"/>
    <n v="45.67"/>
    <x v="1"/>
    <x v="7"/>
  </r>
  <r>
    <x v="250"/>
    <x v="65"/>
    <n v="2022"/>
    <x v="4"/>
    <n v="100"/>
    <n v="52.19"/>
    <x v="1"/>
    <x v="7"/>
  </r>
  <r>
    <x v="251"/>
    <x v="65"/>
    <n v="2022"/>
    <x v="2"/>
    <n v="114"/>
    <n v="25.9"/>
    <x v="1"/>
    <x v="7"/>
  </r>
  <r>
    <x v="252"/>
    <x v="65"/>
    <n v="2022"/>
    <x v="0"/>
    <n v="115.76"/>
    <n v="27.66"/>
    <x v="1"/>
    <x v="5"/>
  </r>
  <r>
    <x v="252"/>
    <x v="65"/>
    <n v="2022"/>
    <x v="5"/>
    <n v="117"/>
    <n v="29.11"/>
    <x v="1"/>
    <x v="5"/>
  </r>
  <r>
    <x v="252"/>
    <x v="65"/>
    <n v="2022"/>
    <x v="3"/>
    <n v="117"/>
    <n v="30.25"/>
    <x v="1"/>
    <x v="5"/>
  </r>
  <r>
    <x v="252"/>
    <x v="65"/>
    <n v="2022"/>
    <x v="1"/>
    <n v="91"/>
    <n v="23.13"/>
    <x v="1"/>
    <x v="5"/>
  </r>
  <r>
    <x v="252"/>
    <x v="65"/>
    <n v="2022"/>
    <x v="4"/>
    <n v="91"/>
    <n v="22.41"/>
    <x v="1"/>
    <x v="5"/>
  </r>
  <r>
    <x v="263"/>
    <x v="65"/>
    <n v="2022"/>
    <x v="2"/>
    <n v="121.5"/>
    <n v="81.09"/>
    <x v="1"/>
    <x v="7"/>
  </r>
  <r>
    <x v="264"/>
    <x v="65"/>
    <n v="2022"/>
    <x v="0"/>
    <n v="109.6"/>
    <n v="73.680000000000007"/>
    <x v="1"/>
    <x v="4"/>
  </r>
  <r>
    <x v="264"/>
    <x v="65"/>
    <n v="2022"/>
    <x v="5"/>
    <n v="121.5"/>
    <n v="81.09"/>
    <x v="1"/>
    <x v="4"/>
  </r>
  <r>
    <x v="264"/>
    <x v="65"/>
    <n v="2022"/>
    <x v="3"/>
    <n v="143"/>
    <n v="98.1"/>
    <x v="1"/>
    <x v="4"/>
  </r>
  <r>
    <x v="264"/>
    <x v="65"/>
    <n v="2022"/>
    <x v="1"/>
    <n v="101.5"/>
    <n v="70.069999999999993"/>
    <x v="1"/>
    <x v="4"/>
  </r>
  <r>
    <x v="264"/>
    <x v="65"/>
    <n v="2022"/>
    <x v="4"/>
    <n v="116"/>
    <n v="80.08"/>
    <x v="1"/>
    <x v="4"/>
  </r>
  <r>
    <x v="290"/>
    <x v="65"/>
    <n v="2022"/>
    <x v="2"/>
    <n v="71.5"/>
    <n v="22.68"/>
    <x v="1"/>
    <x v="0"/>
  </r>
  <r>
    <x v="316"/>
    <x v="65"/>
    <n v="2022"/>
    <x v="0"/>
    <n v="134.36000000000001"/>
    <n v="53.01"/>
    <x v="1"/>
    <x v="7"/>
  </r>
  <r>
    <x v="316"/>
    <x v="65"/>
    <n v="2022"/>
    <x v="5"/>
    <n v="108"/>
    <n v="42.92"/>
    <x v="1"/>
    <x v="7"/>
  </r>
  <r>
    <x v="316"/>
    <x v="65"/>
    <n v="2022"/>
    <x v="3"/>
    <n v="113.25"/>
    <n v="48.17"/>
    <x v="1"/>
    <x v="7"/>
  </r>
  <r>
    <x v="316"/>
    <x v="65"/>
    <n v="2022"/>
    <x v="1"/>
    <n v="115"/>
    <n v="49.92"/>
    <x v="1"/>
    <x v="7"/>
  </r>
  <r>
    <x v="316"/>
    <x v="65"/>
    <n v="2022"/>
    <x v="4"/>
    <n v="115"/>
    <n v="49.92"/>
    <x v="1"/>
    <x v="7"/>
  </r>
  <r>
    <x v="317"/>
    <x v="65"/>
    <n v="2022"/>
    <x v="2"/>
    <n v="110"/>
    <n v="26.64"/>
    <x v="1"/>
    <x v="6"/>
  </r>
  <r>
    <x v="318"/>
    <x v="65"/>
    <n v="2022"/>
    <x v="0"/>
    <n v="114.5"/>
    <n v="30.9"/>
    <x v="1"/>
    <x v="2"/>
  </r>
  <r>
    <x v="318"/>
    <x v="65"/>
    <n v="2022"/>
    <x v="5"/>
    <n v="138"/>
    <n v="33.81"/>
    <x v="1"/>
    <x v="2"/>
  </r>
  <r>
    <x v="318"/>
    <x v="65"/>
    <n v="2022"/>
    <x v="3"/>
    <n v="150"/>
    <n v="45.67"/>
    <x v="1"/>
    <x v="2"/>
  </r>
  <r>
    <x v="318"/>
    <x v="65"/>
    <n v="2022"/>
    <x v="1"/>
    <n v="120"/>
    <n v="36.479999999999997"/>
    <x v="1"/>
    <x v="2"/>
  </r>
  <r>
    <x v="318"/>
    <x v="65"/>
    <n v="2022"/>
    <x v="4"/>
    <n v="120"/>
    <n v="36.46"/>
    <x v="1"/>
    <x v="2"/>
  </r>
  <r>
    <x v="291"/>
    <x v="65"/>
    <n v="2022"/>
    <x v="2"/>
    <n v="227.55"/>
    <n v="89.95"/>
    <x v="1"/>
    <x v="7"/>
  </r>
  <r>
    <x v="292"/>
    <x v="65"/>
    <n v="2022"/>
    <x v="0"/>
    <n v="227.6"/>
    <n v="89.3"/>
    <x v="1"/>
    <x v="1"/>
  </r>
  <r>
    <x v="292"/>
    <x v="65"/>
    <n v="2022"/>
    <x v="5"/>
    <n v="226.4"/>
    <n v="86.57"/>
    <x v="1"/>
    <x v="1"/>
  </r>
  <r>
    <x v="292"/>
    <x v="65"/>
    <n v="2022"/>
    <x v="3"/>
    <n v="283"/>
    <n v="100.99"/>
    <x v="1"/>
    <x v="1"/>
  </r>
  <r>
    <x v="292"/>
    <x v="65"/>
    <n v="2022"/>
    <x v="1"/>
    <n v="226.4"/>
    <n v="77.25"/>
    <x v="1"/>
    <x v="1"/>
  </r>
  <r>
    <x v="292"/>
    <x v="65"/>
    <n v="2022"/>
    <x v="4"/>
    <n v="169.8"/>
    <n v="56.9"/>
    <x v="1"/>
    <x v="1"/>
  </r>
  <r>
    <x v="38"/>
    <x v="65"/>
    <n v="2022"/>
    <x v="2"/>
    <n v="0"/>
    <n v="-6.53"/>
    <x v="1"/>
    <x v="0"/>
  </r>
  <r>
    <x v="103"/>
    <x v="65"/>
    <n v="2022"/>
    <x v="2"/>
    <n v="95.5"/>
    <n v="45.66"/>
    <x v="1"/>
    <x v="5"/>
  </r>
  <r>
    <x v="104"/>
    <x v="65"/>
    <n v="2022"/>
    <x v="0"/>
    <n v="135.30000000000001"/>
    <n v="72.989999999999995"/>
    <x v="1"/>
    <x v="7"/>
  </r>
  <r>
    <x v="104"/>
    <x v="65"/>
    <n v="2022"/>
    <x v="5"/>
    <n v="147.94999999999999"/>
    <n v="85.64"/>
    <x v="1"/>
    <x v="7"/>
  </r>
  <r>
    <x v="104"/>
    <x v="65"/>
    <n v="2022"/>
    <x v="3"/>
    <n v="138.6"/>
    <n v="88.76"/>
    <x v="1"/>
    <x v="7"/>
  </r>
  <r>
    <x v="104"/>
    <x v="65"/>
    <n v="2022"/>
    <x v="1"/>
    <n v="69.3"/>
    <n v="44.38"/>
    <x v="1"/>
    <x v="7"/>
  </r>
  <r>
    <x v="104"/>
    <x v="65"/>
    <n v="2022"/>
    <x v="4"/>
    <n v="69.3"/>
    <n v="44.38"/>
    <x v="1"/>
    <x v="7"/>
  </r>
  <r>
    <x v="60"/>
    <x v="65"/>
    <n v="2022"/>
    <x v="2"/>
    <n v="25.85"/>
    <n v="15.97"/>
    <x v="1"/>
    <x v="3"/>
  </r>
  <r>
    <x v="61"/>
    <x v="65"/>
    <n v="2022"/>
    <x v="0"/>
    <n v="34.1"/>
    <n v="24.22"/>
    <x v="1"/>
    <x v="6"/>
  </r>
  <r>
    <x v="61"/>
    <x v="65"/>
    <n v="2022"/>
    <x v="3"/>
    <n v="34.1"/>
    <n v="24.22"/>
    <x v="1"/>
    <x v="6"/>
  </r>
  <r>
    <x v="181"/>
    <x v="65"/>
    <n v="2022"/>
    <x v="1"/>
    <n v="20.75"/>
    <n v="10.44"/>
    <x v="1"/>
    <x v="3"/>
  </r>
  <r>
    <x v="259"/>
    <x v="65"/>
    <n v="2022"/>
    <x v="2"/>
    <n v="95"/>
    <n v="52.9"/>
    <x v="1"/>
    <x v="1"/>
  </r>
  <r>
    <x v="216"/>
    <x v="65"/>
    <n v="2022"/>
    <x v="5"/>
    <n v="95"/>
    <n v="52.9"/>
    <x v="1"/>
    <x v="6"/>
  </r>
  <r>
    <x v="183"/>
    <x v="65"/>
    <n v="2022"/>
    <x v="1"/>
    <n v="36.5"/>
    <n v="15.57"/>
    <x v="1"/>
    <x v="3"/>
  </r>
  <r>
    <x v="240"/>
    <x v="66"/>
    <n v="2022"/>
    <x v="5"/>
    <n v="16.5"/>
    <n v="9.49"/>
    <x v="4"/>
    <x v="4"/>
  </r>
  <r>
    <x v="102"/>
    <x v="66"/>
    <n v="2022"/>
    <x v="5"/>
    <n v="45"/>
    <n v="31.52"/>
    <x v="4"/>
    <x v="0"/>
  </r>
  <r>
    <x v="103"/>
    <x v="66"/>
    <n v="2022"/>
    <x v="5"/>
    <n v="42"/>
    <n v="17.07"/>
    <x v="4"/>
    <x v="5"/>
  </r>
  <r>
    <x v="60"/>
    <x v="66"/>
    <n v="2022"/>
    <x v="5"/>
    <n v="68.2"/>
    <n v="48.44"/>
    <x v="4"/>
    <x v="3"/>
  </r>
  <r>
    <x v="63"/>
    <x v="66"/>
    <n v="2022"/>
    <x v="5"/>
    <n v="47.86"/>
    <n v="19.91"/>
    <x v="4"/>
    <x v="7"/>
  </r>
  <r>
    <x v="214"/>
    <x v="67"/>
    <n v="2022"/>
    <x v="2"/>
    <n v="642.25"/>
    <n v="213.41"/>
    <x v="5"/>
    <x v="3"/>
  </r>
  <r>
    <x v="8"/>
    <x v="67"/>
    <n v="2022"/>
    <x v="0"/>
    <n v="542.9"/>
    <n v="212.52"/>
    <x v="5"/>
    <x v="1"/>
  </r>
  <r>
    <x v="8"/>
    <x v="67"/>
    <n v="2022"/>
    <x v="5"/>
    <n v="391.5"/>
    <n v="121.95"/>
    <x v="5"/>
    <x v="1"/>
  </r>
  <r>
    <x v="8"/>
    <x v="67"/>
    <n v="2022"/>
    <x v="3"/>
    <n v="290"/>
    <n v="90.82"/>
    <x v="5"/>
    <x v="1"/>
  </r>
  <r>
    <x v="8"/>
    <x v="67"/>
    <n v="2022"/>
    <x v="1"/>
    <n v="493"/>
    <n v="154.85"/>
    <x v="5"/>
    <x v="1"/>
  </r>
  <r>
    <x v="8"/>
    <x v="67"/>
    <n v="2022"/>
    <x v="4"/>
    <n v="348"/>
    <n v="109.44"/>
    <x v="5"/>
    <x v="1"/>
  </r>
  <r>
    <x v="7"/>
    <x v="67"/>
    <n v="2022"/>
    <x v="5"/>
    <n v="66"/>
    <n v="27.66"/>
    <x v="5"/>
    <x v="4"/>
  </r>
  <r>
    <x v="8"/>
    <x v="67"/>
    <n v="2022"/>
    <x v="3"/>
    <n v="231"/>
    <n v="96.5"/>
    <x v="5"/>
    <x v="1"/>
  </r>
  <r>
    <x v="8"/>
    <x v="67"/>
    <n v="2022"/>
    <x v="1"/>
    <n v="231"/>
    <n v="95.74"/>
    <x v="5"/>
    <x v="1"/>
  </r>
  <r>
    <x v="75"/>
    <x v="67"/>
    <n v="2022"/>
    <x v="2"/>
    <n v="1189.25"/>
    <n v="495.94"/>
    <x v="5"/>
    <x v="6"/>
  </r>
  <r>
    <x v="299"/>
    <x v="67"/>
    <n v="2022"/>
    <x v="0"/>
    <n v="1139"/>
    <n v="471.04"/>
    <x v="5"/>
    <x v="6"/>
  </r>
  <r>
    <x v="299"/>
    <x v="67"/>
    <n v="2022"/>
    <x v="5"/>
    <n v="988.25"/>
    <n v="410.49"/>
    <x v="5"/>
    <x v="6"/>
  </r>
  <r>
    <x v="299"/>
    <x v="67"/>
    <n v="2022"/>
    <x v="3"/>
    <n v="636.5"/>
    <n v="263.89999999999998"/>
    <x v="5"/>
    <x v="6"/>
  </r>
  <r>
    <x v="299"/>
    <x v="67"/>
    <n v="2022"/>
    <x v="1"/>
    <n v="686.75"/>
    <n v="200.31"/>
    <x v="5"/>
    <x v="6"/>
  </r>
  <r>
    <x v="299"/>
    <x v="67"/>
    <n v="2022"/>
    <x v="4"/>
    <n v="502.5"/>
    <n v="208.73"/>
    <x v="5"/>
    <x v="6"/>
  </r>
  <r>
    <x v="11"/>
    <x v="67"/>
    <n v="2022"/>
    <x v="2"/>
    <n v="70.55"/>
    <n v="27.05"/>
    <x v="5"/>
    <x v="3"/>
  </r>
  <r>
    <x v="23"/>
    <x v="67"/>
    <n v="2022"/>
    <x v="2"/>
    <n v="76.2"/>
    <n v="52.14"/>
    <x v="5"/>
    <x v="5"/>
  </r>
  <r>
    <x v="24"/>
    <x v="67"/>
    <n v="2022"/>
    <x v="0"/>
    <n v="202.5"/>
    <n v="158.38999999999999"/>
    <x v="5"/>
    <x v="5"/>
  </r>
  <r>
    <x v="24"/>
    <x v="67"/>
    <n v="2022"/>
    <x v="5"/>
    <n v="88.9"/>
    <n v="60.83"/>
    <x v="5"/>
    <x v="5"/>
  </r>
  <r>
    <x v="24"/>
    <x v="67"/>
    <n v="2022"/>
    <x v="3"/>
    <n v="50.8"/>
    <n v="34.76"/>
    <x v="5"/>
    <x v="5"/>
  </r>
  <r>
    <x v="24"/>
    <x v="67"/>
    <n v="2022"/>
    <x v="1"/>
    <n v="38.1"/>
    <n v="26.07"/>
    <x v="5"/>
    <x v="5"/>
  </r>
  <r>
    <x v="24"/>
    <x v="67"/>
    <n v="2022"/>
    <x v="4"/>
    <n v="38.1"/>
    <n v="26.07"/>
    <x v="5"/>
    <x v="5"/>
  </r>
  <r>
    <x v="27"/>
    <x v="67"/>
    <n v="2022"/>
    <x v="2"/>
    <n v="76.2"/>
    <n v="52.92"/>
    <x v="5"/>
    <x v="2"/>
  </r>
  <r>
    <x v="80"/>
    <x v="67"/>
    <n v="2022"/>
    <x v="0"/>
    <n v="174.9"/>
    <n v="139.99"/>
    <x v="5"/>
    <x v="6"/>
  </r>
  <r>
    <x v="80"/>
    <x v="67"/>
    <n v="2022"/>
    <x v="5"/>
    <n v="76.2"/>
    <n v="52.92"/>
    <x v="5"/>
    <x v="6"/>
  </r>
  <r>
    <x v="80"/>
    <x v="67"/>
    <n v="2022"/>
    <x v="3"/>
    <n v="25.4"/>
    <n v="17.64"/>
    <x v="5"/>
    <x v="6"/>
  </r>
  <r>
    <x v="80"/>
    <x v="67"/>
    <n v="2022"/>
    <x v="1"/>
    <n v="38.1"/>
    <n v="26.46"/>
    <x v="5"/>
    <x v="6"/>
  </r>
  <r>
    <x v="80"/>
    <x v="67"/>
    <n v="2022"/>
    <x v="4"/>
    <n v="25.4"/>
    <n v="17.64"/>
    <x v="5"/>
    <x v="6"/>
  </r>
  <r>
    <x v="28"/>
    <x v="67"/>
    <n v="2022"/>
    <x v="2"/>
    <n v="153.19999999999999"/>
    <n v="103.59"/>
    <x v="5"/>
    <x v="7"/>
  </r>
  <r>
    <x v="29"/>
    <x v="67"/>
    <n v="2022"/>
    <x v="0"/>
    <n v="99.52"/>
    <n v="66.459999999999994"/>
    <x v="5"/>
    <x v="2"/>
  </r>
  <r>
    <x v="29"/>
    <x v="67"/>
    <n v="2022"/>
    <x v="5"/>
    <n v="92"/>
    <n v="58.93"/>
    <x v="5"/>
    <x v="2"/>
  </r>
  <r>
    <x v="29"/>
    <x v="67"/>
    <n v="2022"/>
    <x v="3"/>
    <n v="69"/>
    <n v="44.22"/>
    <x v="5"/>
    <x v="2"/>
  </r>
  <r>
    <x v="29"/>
    <x v="67"/>
    <n v="2022"/>
    <x v="1"/>
    <n v="57.5"/>
    <n v="36.85"/>
    <x v="5"/>
    <x v="2"/>
  </r>
  <r>
    <x v="29"/>
    <x v="67"/>
    <n v="2022"/>
    <x v="4"/>
    <n v="46"/>
    <n v="29.47"/>
    <x v="5"/>
    <x v="2"/>
  </r>
  <r>
    <x v="5"/>
    <x v="67"/>
    <n v="2022"/>
    <x v="2"/>
    <n v="580.5"/>
    <n v="323.56"/>
    <x v="5"/>
    <x v="2"/>
  </r>
  <r>
    <x v="250"/>
    <x v="67"/>
    <n v="2022"/>
    <x v="0"/>
    <n v="450.44"/>
    <n v="253.24"/>
    <x v="5"/>
    <x v="7"/>
  </r>
  <r>
    <x v="250"/>
    <x v="67"/>
    <n v="2022"/>
    <x v="5"/>
    <n v="486"/>
    <n v="270.88"/>
    <x v="5"/>
    <x v="7"/>
  </r>
  <r>
    <x v="250"/>
    <x v="67"/>
    <n v="2022"/>
    <x v="3"/>
    <n v="397.02"/>
    <n v="223.73"/>
    <x v="5"/>
    <x v="7"/>
  </r>
  <r>
    <x v="250"/>
    <x v="67"/>
    <n v="2022"/>
    <x v="1"/>
    <n v="364.5"/>
    <n v="203.14"/>
    <x v="5"/>
    <x v="7"/>
  </r>
  <r>
    <x v="250"/>
    <x v="67"/>
    <n v="2022"/>
    <x v="4"/>
    <n v="229.5"/>
    <n v="127.91"/>
    <x v="5"/>
    <x v="7"/>
  </r>
  <r>
    <x v="251"/>
    <x v="67"/>
    <n v="2022"/>
    <x v="4"/>
    <n v="29.76"/>
    <n v="10.16"/>
    <x v="5"/>
    <x v="7"/>
  </r>
  <r>
    <x v="319"/>
    <x v="67"/>
    <n v="2022"/>
    <x v="0"/>
    <n v="170.4"/>
    <n v="-60.12"/>
    <x v="5"/>
    <x v="1"/>
  </r>
  <r>
    <x v="263"/>
    <x v="67"/>
    <n v="2022"/>
    <x v="2"/>
    <n v="651.5"/>
    <n v="458.36"/>
    <x v="5"/>
    <x v="7"/>
  </r>
  <r>
    <x v="264"/>
    <x v="67"/>
    <n v="2022"/>
    <x v="0"/>
    <n v="544.20000000000005"/>
    <n v="391.47"/>
    <x v="5"/>
    <x v="4"/>
  </r>
  <r>
    <x v="264"/>
    <x v="67"/>
    <n v="2022"/>
    <x v="5"/>
    <n v="510"/>
    <n v="357.28"/>
    <x v="5"/>
    <x v="4"/>
  </r>
  <r>
    <x v="264"/>
    <x v="67"/>
    <n v="2022"/>
    <x v="3"/>
    <n v="465"/>
    <n v="315.26"/>
    <x v="5"/>
    <x v="4"/>
  </r>
  <r>
    <x v="264"/>
    <x v="67"/>
    <n v="2022"/>
    <x v="1"/>
    <n v="360"/>
    <n v="252.23"/>
    <x v="5"/>
    <x v="4"/>
  </r>
  <r>
    <x v="264"/>
    <x v="67"/>
    <n v="2022"/>
    <x v="4"/>
    <n v="150"/>
    <n v="105.1"/>
    <x v="5"/>
    <x v="4"/>
  </r>
  <r>
    <x v="266"/>
    <x v="67"/>
    <n v="2022"/>
    <x v="2"/>
    <n v="288"/>
    <n v="199.74"/>
    <x v="5"/>
    <x v="2"/>
  </r>
  <r>
    <x v="267"/>
    <x v="67"/>
    <n v="2022"/>
    <x v="0"/>
    <n v="232.92"/>
    <n v="161.22"/>
    <x v="5"/>
    <x v="5"/>
  </r>
  <r>
    <x v="267"/>
    <x v="67"/>
    <n v="2022"/>
    <x v="5"/>
    <n v="324"/>
    <n v="224.73"/>
    <x v="5"/>
    <x v="5"/>
  </r>
  <r>
    <x v="267"/>
    <x v="67"/>
    <n v="2022"/>
    <x v="3"/>
    <n v="288"/>
    <n v="199.75"/>
    <x v="5"/>
    <x v="5"/>
  </r>
  <r>
    <x v="267"/>
    <x v="67"/>
    <n v="2022"/>
    <x v="1"/>
    <n v="216"/>
    <n v="149.80000000000001"/>
    <x v="5"/>
    <x v="5"/>
  </r>
  <r>
    <x v="267"/>
    <x v="67"/>
    <n v="2022"/>
    <x v="4"/>
    <n v="180"/>
    <n v="124.84"/>
    <x v="5"/>
    <x v="5"/>
  </r>
  <r>
    <x v="238"/>
    <x v="67"/>
    <n v="2022"/>
    <x v="2"/>
    <n v="172"/>
    <n v="97.09"/>
    <x v="5"/>
    <x v="5"/>
  </r>
  <r>
    <x v="239"/>
    <x v="67"/>
    <n v="2022"/>
    <x v="0"/>
    <n v="281.25"/>
    <n v="159.51"/>
    <x v="5"/>
    <x v="1"/>
  </r>
  <r>
    <x v="239"/>
    <x v="67"/>
    <n v="2022"/>
    <x v="5"/>
    <n v="387"/>
    <n v="218.43"/>
    <x v="5"/>
    <x v="1"/>
  </r>
  <r>
    <x v="239"/>
    <x v="67"/>
    <n v="2022"/>
    <x v="3"/>
    <n v="365.5"/>
    <n v="206.3"/>
    <x v="5"/>
    <x v="1"/>
  </r>
  <r>
    <x v="239"/>
    <x v="67"/>
    <n v="2022"/>
    <x v="1"/>
    <n v="322.5"/>
    <n v="182.03"/>
    <x v="5"/>
    <x v="1"/>
  </r>
  <r>
    <x v="239"/>
    <x v="67"/>
    <n v="2022"/>
    <x v="4"/>
    <n v="236.85"/>
    <n v="133.86000000000001"/>
    <x v="5"/>
    <x v="1"/>
  </r>
  <r>
    <x v="240"/>
    <x v="67"/>
    <n v="2022"/>
    <x v="2"/>
    <n v="234"/>
    <n v="142.82"/>
    <x v="5"/>
    <x v="4"/>
  </r>
  <r>
    <x v="88"/>
    <x v="67"/>
    <n v="2022"/>
    <x v="0"/>
    <n v="234"/>
    <n v="142.81"/>
    <x v="5"/>
    <x v="4"/>
  </r>
  <r>
    <x v="88"/>
    <x v="67"/>
    <n v="2022"/>
    <x v="5"/>
    <n v="288"/>
    <n v="175.77"/>
    <x v="5"/>
    <x v="4"/>
  </r>
  <r>
    <x v="88"/>
    <x v="67"/>
    <n v="2022"/>
    <x v="3"/>
    <n v="270"/>
    <n v="164.79"/>
    <x v="5"/>
    <x v="4"/>
  </r>
  <r>
    <x v="88"/>
    <x v="67"/>
    <n v="2022"/>
    <x v="1"/>
    <n v="216"/>
    <n v="131.85"/>
    <x v="5"/>
    <x v="4"/>
  </r>
  <r>
    <x v="88"/>
    <x v="67"/>
    <n v="2022"/>
    <x v="4"/>
    <n v="180"/>
    <n v="109.86"/>
    <x v="5"/>
    <x v="4"/>
  </r>
  <r>
    <x v="102"/>
    <x v="67"/>
    <n v="2022"/>
    <x v="2"/>
    <n v="522"/>
    <n v="380.46"/>
    <x v="5"/>
    <x v="0"/>
  </r>
  <r>
    <x v="73"/>
    <x v="67"/>
    <n v="2022"/>
    <x v="0"/>
    <n v="474.57"/>
    <n v="353.25"/>
    <x v="5"/>
    <x v="0"/>
  </r>
  <r>
    <x v="73"/>
    <x v="67"/>
    <n v="2022"/>
    <x v="5"/>
    <n v="408"/>
    <n v="293.42"/>
    <x v="5"/>
    <x v="0"/>
  </r>
  <r>
    <x v="73"/>
    <x v="67"/>
    <n v="2022"/>
    <x v="3"/>
    <n v="408"/>
    <n v="293.42"/>
    <x v="5"/>
    <x v="0"/>
  </r>
  <r>
    <x v="73"/>
    <x v="67"/>
    <n v="2022"/>
    <x v="1"/>
    <n v="240"/>
    <n v="172.6"/>
    <x v="5"/>
    <x v="0"/>
  </r>
  <r>
    <x v="73"/>
    <x v="67"/>
    <n v="2022"/>
    <x v="4"/>
    <n v="144"/>
    <n v="103.56"/>
    <x v="5"/>
    <x v="0"/>
  </r>
  <r>
    <x v="103"/>
    <x v="67"/>
    <n v="2022"/>
    <x v="2"/>
    <n v="422"/>
    <n v="210.12"/>
    <x v="5"/>
    <x v="5"/>
  </r>
  <r>
    <x v="104"/>
    <x v="67"/>
    <n v="2022"/>
    <x v="0"/>
    <n v="403.1"/>
    <n v="216.13"/>
    <x v="5"/>
    <x v="7"/>
  </r>
  <r>
    <x v="104"/>
    <x v="67"/>
    <n v="2022"/>
    <x v="5"/>
    <n v="399.5"/>
    <n v="187.6"/>
    <x v="5"/>
    <x v="7"/>
  </r>
  <r>
    <x v="104"/>
    <x v="67"/>
    <n v="2022"/>
    <x v="3"/>
    <n v="352.5"/>
    <n v="165.53"/>
    <x v="5"/>
    <x v="7"/>
  </r>
  <r>
    <x v="104"/>
    <x v="67"/>
    <n v="2022"/>
    <x v="1"/>
    <n v="365.15"/>
    <n v="178.2"/>
    <x v="5"/>
    <x v="7"/>
  </r>
  <r>
    <x v="104"/>
    <x v="67"/>
    <n v="2022"/>
    <x v="4"/>
    <n v="211.5"/>
    <n v="99.32"/>
    <x v="5"/>
    <x v="7"/>
  </r>
  <r>
    <x v="282"/>
    <x v="67"/>
    <n v="2022"/>
    <x v="2"/>
    <n v="122"/>
    <n v="83.36"/>
    <x v="5"/>
    <x v="4"/>
  </r>
  <r>
    <x v="283"/>
    <x v="67"/>
    <n v="2022"/>
    <x v="0"/>
    <n v="89"/>
    <n v="61.41"/>
    <x v="5"/>
    <x v="3"/>
  </r>
  <r>
    <x v="283"/>
    <x v="67"/>
    <n v="2022"/>
    <x v="5"/>
    <n v="136"/>
    <n v="91.84"/>
    <x v="5"/>
    <x v="3"/>
  </r>
  <r>
    <x v="283"/>
    <x v="67"/>
    <n v="2022"/>
    <x v="3"/>
    <n v="87.25"/>
    <n v="59.65"/>
    <x v="5"/>
    <x v="3"/>
  </r>
  <r>
    <x v="283"/>
    <x v="67"/>
    <n v="2022"/>
    <x v="1"/>
    <n v="53.25"/>
    <n v="36.69"/>
    <x v="5"/>
    <x v="3"/>
  </r>
  <r>
    <x v="283"/>
    <x v="67"/>
    <n v="2022"/>
    <x v="4"/>
    <n v="35.5"/>
    <n v="24.46"/>
    <x v="5"/>
    <x v="3"/>
  </r>
  <r>
    <x v="245"/>
    <x v="68"/>
    <n v="2022"/>
    <x v="2"/>
    <n v="34.5"/>
    <n v="24.27"/>
    <x v="4"/>
    <x v="4"/>
  </r>
  <r>
    <x v="246"/>
    <x v="68"/>
    <n v="2022"/>
    <x v="0"/>
    <n v="55.68"/>
    <n v="42.04"/>
    <x v="4"/>
    <x v="5"/>
  </r>
  <r>
    <x v="246"/>
    <x v="68"/>
    <n v="2022"/>
    <x v="3"/>
    <n v="20.5"/>
    <n v="17.09"/>
    <x v="4"/>
    <x v="5"/>
  </r>
  <r>
    <x v="246"/>
    <x v="68"/>
    <n v="2022"/>
    <x v="1"/>
    <n v="89.34"/>
    <n v="72.290000000000006"/>
    <x v="4"/>
    <x v="5"/>
  </r>
  <r>
    <x v="246"/>
    <x v="68"/>
    <n v="2022"/>
    <x v="4"/>
    <n v="61.5"/>
    <n v="51.27"/>
    <x v="4"/>
    <x v="5"/>
  </r>
  <r>
    <x v="5"/>
    <x v="68"/>
    <n v="2022"/>
    <x v="2"/>
    <n v="87.25"/>
    <n v="39.44"/>
    <x v="4"/>
    <x v="2"/>
  </r>
  <r>
    <x v="250"/>
    <x v="68"/>
    <n v="2022"/>
    <x v="0"/>
    <n v="73.52"/>
    <n v="37.67"/>
    <x v="4"/>
    <x v="7"/>
  </r>
  <r>
    <x v="250"/>
    <x v="68"/>
    <n v="2022"/>
    <x v="5"/>
    <n v="96.76"/>
    <n v="48.96"/>
    <x v="4"/>
    <x v="7"/>
  </r>
  <r>
    <x v="250"/>
    <x v="68"/>
    <n v="2022"/>
    <x v="3"/>
    <n v="76"/>
    <n v="40.15"/>
    <x v="4"/>
    <x v="7"/>
  </r>
  <r>
    <x v="250"/>
    <x v="68"/>
    <n v="2022"/>
    <x v="1"/>
    <n v="104"/>
    <n v="56.2"/>
    <x v="4"/>
    <x v="7"/>
  </r>
  <r>
    <x v="250"/>
    <x v="68"/>
    <n v="2022"/>
    <x v="4"/>
    <n v="104"/>
    <n v="56.2"/>
    <x v="4"/>
    <x v="7"/>
  </r>
  <r>
    <x v="251"/>
    <x v="68"/>
    <n v="2022"/>
    <x v="2"/>
    <n v="22.5"/>
    <n v="2.93"/>
    <x v="4"/>
    <x v="7"/>
  </r>
  <r>
    <x v="252"/>
    <x v="68"/>
    <n v="2022"/>
    <x v="0"/>
    <n v="24.76"/>
    <n v="5.16"/>
    <x v="4"/>
    <x v="5"/>
  </r>
  <r>
    <x v="263"/>
    <x v="68"/>
    <n v="2022"/>
    <x v="2"/>
    <n v="112.75"/>
    <n v="72.34"/>
    <x v="4"/>
    <x v="7"/>
  </r>
  <r>
    <x v="264"/>
    <x v="68"/>
    <n v="2022"/>
    <x v="0"/>
    <n v="42.9"/>
    <n v="29.43"/>
    <x v="4"/>
    <x v="4"/>
  </r>
  <r>
    <x v="264"/>
    <x v="68"/>
    <n v="2022"/>
    <x v="5"/>
    <n v="123.1"/>
    <n v="82.69"/>
    <x v="4"/>
    <x v="4"/>
  </r>
  <r>
    <x v="264"/>
    <x v="68"/>
    <n v="2022"/>
    <x v="3"/>
    <n v="85"/>
    <n v="58.06"/>
    <x v="4"/>
    <x v="4"/>
  </r>
  <r>
    <x v="264"/>
    <x v="68"/>
    <n v="2022"/>
    <x v="1"/>
    <n v="87"/>
    <n v="60.06"/>
    <x v="4"/>
    <x v="4"/>
  </r>
  <r>
    <x v="264"/>
    <x v="68"/>
    <n v="2022"/>
    <x v="4"/>
    <n v="116"/>
    <n v="80.069999999999993"/>
    <x v="4"/>
    <x v="4"/>
  </r>
  <r>
    <x v="238"/>
    <x v="68"/>
    <n v="2022"/>
    <x v="2"/>
    <n v="55.4"/>
    <n v="27.31"/>
    <x v="4"/>
    <x v="5"/>
  </r>
  <r>
    <x v="239"/>
    <x v="68"/>
    <n v="2022"/>
    <x v="5"/>
    <n v="160.69999999999999"/>
    <n v="85.78"/>
    <x v="4"/>
    <x v="1"/>
  </r>
  <r>
    <x v="239"/>
    <x v="68"/>
    <n v="2022"/>
    <x v="3"/>
    <n v="61.5"/>
    <n v="33.409999999999997"/>
    <x v="4"/>
    <x v="1"/>
  </r>
  <r>
    <x v="239"/>
    <x v="68"/>
    <n v="2022"/>
    <x v="1"/>
    <n v="123"/>
    <n v="66.819999999999993"/>
    <x v="4"/>
    <x v="1"/>
  </r>
  <r>
    <x v="239"/>
    <x v="68"/>
    <n v="2022"/>
    <x v="4"/>
    <n v="20.5"/>
    <n v="11.14"/>
    <x v="4"/>
    <x v="1"/>
  </r>
  <r>
    <x v="240"/>
    <x v="68"/>
    <n v="2022"/>
    <x v="2"/>
    <n v="110.25"/>
    <n v="61.15"/>
    <x v="4"/>
    <x v="4"/>
  </r>
  <r>
    <x v="88"/>
    <x v="68"/>
    <n v="2022"/>
    <x v="0"/>
    <n v="82.5"/>
    <n v="47.43"/>
    <x v="4"/>
    <x v="4"/>
  </r>
  <r>
    <x v="88"/>
    <x v="68"/>
    <n v="2022"/>
    <x v="5"/>
    <n v="115.5"/>
    <n v="66.400000000000006"/>
    <x v="4"/>
    <x v="4"/>
  </r>
  <r>
    <x v="88"/>
    <x v="68"/>
    <n v="2022"/>
    <x v="3"/>
    <n v="82.5"/>
    <n v="47.43"/>
    <x v="4"/>
    <x v="4"/>
  </r>
  <r>
    <x v="88"/>
    <x v="68"/>
    <n v="2022"/>
    <x v="1"/>
    <n v="49.5"/>
    <n v="28.47"/>
    <x v="4"/>
    <x v="4"/>
  </r>
  <r>
    <x v="88"/>
    <x v="68"/>
    <n v="2022"/>
    <x v="4"/>
    <n v="66"/>
    <n v="37.950000000000003"/>
    <x v="4"/>
    <x v="4"/>
  </r>
  <r>
    <x v="102"/>
    <x v="68"/>
    <n v="2022"/>
    <x v="2"/>
    <n v="196.5"/>
    <n v="135.84"/>
    <x v="4"/>
    <x v="0"/>
  </r>
  <r>
    <x v="73"/>
    <x v="68"/>
    <n v="2022"/>
    <x v="0"/>
    <n v="210.4"/>
    <n v="156.47999999999999"/>
    <x v="4"/>
    <x v="0"/>
  </r>
  <r>
    <x v="73"/>
    <x v="68"/>
    <n v="2022"/>
    <x v="5"/>
    <n v="150.97999999999999"/>
    <n v="110.54"/>
    <x v="4"/>
    <x v="0"/>
  </r>
  <r>
    <x v="73"/>
    <x v="68"/>
    <n v="2022"/>
    <x v="3"/>
    <n v="139.5"/>
    <n v="99.06"/>
    <x v="4"/>
    <x v="0"/>
  </r>
  <r>
    <x v="73"/>
    <x v="68"/>
    <n v="2022"/>
    <x v="1"/>
    <n v="135"/>
    <n v="94.56"/>
    <x v="4"/>
    <x v="0"/>
  </r>
  <r>
    <x v="73"/>
    <x v="68"/>
    <n v="2022"/>
    <x v="4"/>
    <n v="67.5"/>
    <n v="47.28"/>
    <x v="4"/>
    <x v="0"/>
  </r>
  <r>
    <x v="103"/>
    <x v="68"/>
    <n v="2022"/>
    <x v="2"/>
    <n v="194.25"/>
    <n v="82.07"/>
    <x v="4"/>
    <x v="5"/>
  </r>
  <r>
    <x v="104"/>
    <x v="68"/>
    <n v="2022"/>
    <x v="0"/>
    <n v="215.85"/>
    <n v="128.6"/>
    <x v="4"/>
    <x v="7"/>
  </r>
  <r>
    <x v="104"/>
    <x v="68"/>
    <n v="2022"/>
    <x v="5"/>
    <n v="111.9"/>
    <n v="62.05"/>
    <x v="4"/>
    <x v="7"/>
  </r>
  <r>
    <x v="104"/>
    <x v="68"/>
    <n v="2022"/>
    <x v="3"/>
    <n v="88.75"/>
    <n v="38.9"/>
    <x v="4"/>
    <x v="7"/>
  </r>
  <r>
    <x v="104"/>
    <x v="68"/>
    <n v="2022"/>
    <x v="1"/>
    <n v="147"/>
    <n v="59.75"/>
    <x v="4"/>
    <x v="7"/>
  </r>
  <r>
    <x v="104"/>
    <x v="68"/>
    <n v="2022"/>
    <x v="4"/>
    <n v="63"/>
    <n v="25.61"/>
    <x v="4"/>
    <x v="7"/>
  </r>
  <r>
    <x v="70"/>
    <x v="68"/>
    <n v="2022"/>
    <x v="5"/>
    <n v="15.13"/>
    <n v="12.01"/>
    <x v="4"/>
    <x v="5"/>
  </r>
  <r>
    <x v="72"/>
    <x v="68"/>
    <n v="2022"/>
    <x v="5"/>
    <n v="40.15"/>
    <n v="21.42"/>
    <x v="4"/>
    <x v="6"/>
  </r>
  <r>
    <x v="63"/>
    <x v="68"/>
    <n v="2022"/>
    <x v="5"/>
    <n v="47.86"/>
    <n v="19.91"/>
    <x v="4"/>
    <x v="7"/>
  </r>
  <r>
    <x v="313"/>
    <x v="69"/>
    <n v="2022"/>
    <x v="2"/>
    <n v="37.5"/>
    <n v="9.14"/>
    <x v="3"/>
    <x v="6"/>
  </r>
  <r>
    <x v="164"/>
    <x v="69"/>
    <n v="2022"/>
    <x v="0"/>
    <n v="41.64"/>
    <n v="26.34"/>
    <x v="3"/>
    <x v="3"/>
  </r>
  <r>
    <x v="241"/>
    <x v="69"/>
    <n v="2022"/>
    <x v="2"/>
    <n v="89"/>
    <n v="57.64"/>
    <x v="3"/>
    <x v="2"/>
  </r>
  <r>
    <x v="242"/>
    <x v="69"/>
    <n v="2022"/>
    <x v="3"/>
    <n v="49.5"/>
    <n v="36.06"/>
    <x v="3"/>
    <x v="6"/>
  </r>
  <r>
    <x v="243"/>
    <x v="69"/>
    <n v="2022"/>
    <x v="2"/>
    <n v="70"/>
    <n v="42.4"/>
    <x v="3"/>
    <x v="1"/>
  </r>
  <r>
    <x v="244"/>
    <x v="69"/>
    <n v="2022"/>
    <x v="0"/>
    <n v="14.7"/>
    <n v="9.18"/>
    <x v="3"/>
    <x v="7"/>
  </r>
  <r>
    <x v="244"/>
    <x v="69"/>
    <n v="2022"/>
    <x v="3"/>
    <n v="33"/>
    <n v="21.96"/>
    <x v="3"/>
    <x v="7"/>
  </r>
  <r>
    <x v="245"/>
    <x v="69"/>
    <n v="2022"/>
    <x v="2"/>
    <n v="88"/>
    <n v="67.540000000000006"/>
    <x v="3"/>
    <x v="4"/>
  </r>
  <r>
    <x v="273"/>
    <x v="69"/>
    <n v="2022"/>
    <x v="2"/>
    <n v="250.5"/>
    <n v="79.78"/>
    <x v="3"/>
    <x v="0"/>
  </r>
  <r>
    <x v="274"/>
    <x v="69"/>
    <n v="2022"/>
    <x v="0"/>
    <n v="284.05"/>
    <n v="98.82"/>
    <x v="3"/>
    <x v="3"/>
  </r>
  <r>
    <x v="248"/>
    <x v="69"/>
    <n v="2022"/>
    <x v="3"/>
    <n v="50.4"/>
    <n v="33.119999999999997"/>
    <x v="3"/>
    <x v="7"/>
  </r>
  <r>
    <x v="5"/>
    <x v="69"/>
    <n v="2022"/>
    <x v="2"/>
    <n v="133"/>
    <n v="73.239999999999995"/>
    <x v="3"/>
    <x v="2"/>
  </r>
  <r>
    <x v="263"/>
    <x v="69"/>
    <n v="2022"/>
    <x v="2"/>
    <n v="27.5"/>
    <n v="18.52"/>
    <x v="3"/>
    <x v="7"/>
  </r>
  <r>
    <x v="266"/>
    <x v="69"/>
    <n v="2022"/>
    <x v="2"/>
    <n v="36"/>
    <n v="24.97"/>
    <x v="3"/>
    <x v="2"/>
  </r>
  <r>
    <x v="253"/>
    <x v="69"/>
    <n v="2022"/>
    <x v="2"/>
    <n v="116"/>
    <n v="71.88"/>
    <x v="3"/>
    <x v="7"/>
  </r>
  <r>
    <x v="254"/>
    <x v="69"/>
    <n v="2022"/>
    <x v="0"/>
    <n v="44.1"/>
    <n v="27.55"/>
    <x v="3"/>
    <x v="1"/>
  </r>
  <r>
    <x v="254"/>
    <x v="69"/>
    <n v="2022"/>
    <x v="3"/>
    <n v="35.4"/>
    <n v="24.37"/>
    <x v="3"/>
    <x v="1"/>
  </r>
  <r>
    <x v="238"/>
    <x v="69"/>
    <n v="2022"/>
    <x v="2"/>
    <n v="43"/>
    <n v="24.27"/>
    <x v="3"/>
    <x v="5"/>
  </r>
  <r>
    <x v="239"/>
    <x v="69"/>
    <n v="2022"/>
    <x v="0"/>
    <n v="65.55"/>
    <n v="37.46"/>
    <x v="3"/>
    <x v="1"/>
  </r>
  <r>
    <x v="240"/>
    <x v="69"/>
    <n v="2022"/>
    <x v="2"/>
    <n v="246"/>
    <n v="147.82"/>
    <x v="3"/>
    <x v="4"/>
  </r>
  <r>
    <x v="88"/>
    <x v="69"/>
    <n v="2022"/>
    <x v="0"/>
    <n v="90"/>
    <n v="54.94"/>
    <x v="3"/>
    <x v="4"/>
  </r>
  <r>
    <x v="88"/>
    <x v="69"/>
    <n v="2022"/>
    <x v="3"/>
    <n v="97"/>
    <n v="68.95"/>
    <x v="3"/>
    <x v="4"/>
  </r>
  <r>
    <x v="102"/>
    <x v="69"/>
    <n v="2022"/>
    <x v="2"/>
    <n v="1156.5"/>
    <n v="846.46"/>
    <x v="3"/>
    <x v="0"/>
  </r>
  <r>
    <x v="73"/>
    <x v="69"/>
    <n v="2022"/>
    <x v="0"/>
    <n v="287.3"/>
    <n v="219.9"/>
    <x v="3"/>
    <x v="0"/>
  </r>
  <r>
    <x v="73"/>
    <x v="69"/>
    <n v="2022"/>
    <x v="3"/>
    <n v="217.5"/>
    <n v="177.06"/>
    <x v="3"/>
    <x v="0"/>
  </r>
  <r>
    <x v="66"/>
    <x v="69"/>
    <n v="2022"/>
    <x v="0"/>
    <n v="16.079999999999998"/>
    <n v="10.75"/>
    <x v="3"/>
    <x v="0"/>
  </r>
  <r>
    <x v="68"/>
    <x v="69"/>
    <n v="2022"/>
    <x v="0"/>
    <n v="14.7"/>
    <n v="12.25"/>
    <x v="3"/>
    <x v="4"/>
  </r>
  <r>
    <x v="70"/>
    <x v="69"/>
    <n v="2022"/>
    <x v="2"/>
    <n v="31.5"/>
    <n v="28.38"/>
    <x v="3"/>
    <x v="5"/>
  </r>
  <r>
    <x v="71"/>
    <x v="69"/>
    <n v="2022"/>
    <x v="0"/>
    <n v="16.63"/>
    <n v="13.51"/>
    <x v="3"/>
    <x v="0"/>
  </r>
  <r>
    <x v="257"/>
    <x v="69"/>
    <n v="2022"/>
    <x v="0"/>
    <n v="38.5"/>
    <n v="20.170000000000002"/>
    <x v="3"/>
    <x v="3"/>
  </r>
  <r>
    <x v="60"/>
    <x v="69"/>
    <n v="2022"/>
    <x v="2"/>
    <n v="27.35"/>
    <n v="17.47"/>
    <x v="3"/>
    <x v="3"/>
  </r>
  <r>
    <x v="61"/>
    <x v="69"/>
    <n v="2022"/>
    <x v="0"/>
    <n v="35.6"/>
    <n v="25.72"/>
    <x v="3"/>
    <x v="6"/>
  </r>
  <r>
    <x v="72"/>
    <x v="69"/>
    <n v="2022"/>
    <x v="0"/>
    <n v="41.65"/>
    <n v="22.92"/>
    <x v="3"/>
    <x v="6"/>
  </r>
  <r>
    <x v="259"/>
    <x v="69"/>
    <n v="2022"/>
    <x v="0"/>
    <n v="96.5"/>
    <n v="54.4"/>
    <x v="3"/>
    <x v="1"/>
  </r>
  <r>
    <x v="304"/>
    <x v="70"/>
    <n v="2022"/>
    <x v="3"/>
    <n v="15"/>
    <n v="9.61"/>
    <x v="1"/>
    <x v="3"/>
  </r>
  <r>
    <x v="320"/>
    <x v="70"/>
    <n v="2022"/>
    <x v="1"/>
    <n v="50"/>
    <n v="26.14"/>
    <x v="1"/>
    <x v="4"/>
  </r>
  <r>
    <x v="145"/>
    <x v="70"/>
    <n v="2022"/>
    <x v="2"/>
    <n v="161.9"/>
    <n v="-4.0199999999999996"/>
    <x v="1"/>
    <x v="0"/>
  </r>
  <r>
    <x v="305"/>
    <x v="70"/>
    <n v="2022"/>
    <x v="0"/>
    <n v="133.21"/>
    <n v="35.61"/>
    <x v="1"/>
    <x v="7"/>
  </r>
  <r>
    <x v="305"/>
    <x v="70"/>
    <n v="2022"/>
    <x v="5"/>
    <n v="109.2"/>
    <n v="-7.92"/>
    <x v="1"/>
    <x v="7"/>
  </r>
  <r>
    <x v="305"/>
    <x v="70"/>
    <n v="2022"/>
    <x v="3"/>
    <n v="122"/>
    <n v="43.92"/>
    <x v="1"/>
    <x v="7"/>
  </r>
  <r>
    <x v="305"/>
    <x v="70"/>
    <n v="2022"/>
    <x v="1"/>
    <n v="228.75"/>
    <n v="82.35"/>
    <x v="1"/>
    <x v="7"/>
  </r>
  <r>
    <x v="305"/>
    <x v="70"/>
    <n v="2022"/>
    <x v="4"/>
    <n v="198.25"/>
    <n v="71.37"/>
    <x v="1"/>
    <x v="7"/>
  </r>
  <r>
    <x v="243"/>
    <x v="70"/>
    <n v="2022"/>
    <x v="2"/>
    <n v="43.1"/>
    <n v="21.02"/>
    <x v="1"/>
    <x v="1"/>
  </r>
  <r>
    <x v="244"/>
    <x v="70"/>
    <n v="2022"/>
    <x v="0"/>
    <n v="49.8"/>
    <n v="27.72"/>
    <x v="1"/>
    <x v="7"/>
  </r>
  <r>
    <x v="244"/>
    <x v="70"/>
    <n v="2022"/>
    <x v="5"/>
    <n v="20.399999999999999"/>
    <n v="9.36"/>
    <x v="1"/>
    <x v="7"/>
  </r>
  <r>
    <x v="244"/>
    <x v="70"/>
    <n v="2022"/>
    <x v="3"/>
    <n v="26.5"/>
    <n v="15.46"/>
    <x v="1"/>
    <x v="7"/>
  </r>
  <r>
    <x v="244"/>
    <x v="70"/>
    <n v="2022"/>
    <x v="4"/>
    <n v="39.75"/>
    <n v="23.19"/>
    <x v="1"/>
    <x v="7"/>
  </r>
  <r>
    <x v="19"/>
    <x v="70"/>
    <n v="2022"/>
    <x v="2"/>
    <n v="484.45"/>
    <n v="230.42"/>
    <x v="1"/>
    <x v="5"/>
  </r>
  <r>
    <x v="20"/>
    <x v="70"/>
    <n v="2022"/>
    <x v="0"/>
    <n v="264.2"/>
    <n v="114.78"/>
    <x v="1"/>
    <x v="6"/>
  </r>
  <r>
    <x v="20"/>
    <x v="70"/>
    <n v="2022"/>
    <x v="5"/>
    <n v="371"/>
    <n v="161.81"/>
    <x v="1"/>
    <x v="6"/>
  </r>
  <r>
    <x v="20"/>
    <x v="70"/>
    <n v="2022"/>
    <x v="3"/>
    <n v="317.25"/>
    <n v="182.77"/>
    <x v="1"/>
    <x v="6"/>
  </r>
  <r>
    <x v="20"/>
    <x v="70"/>
    <n v="2022"/>
    <x v="1"/>
    <n v="458.25"/>
    <n v="264"/>
    <x v="1"/>
    <x v="6"/>
  </r>
  <r>
    <x v="20"/>
    <x v="70"/>
    <n v="2022"/>
    <x v="4"/>
    <n v="423"/>
    <n v="243.69"/>
    <x v="1"/>
    <x v="6"/>
  </r>
  <r>
    <x v="245"/>
    <x v="70"/>
    <n v="2022"/>
    <x v="2"/>
    <n v="75"/>
    <n v="54.54"/>
    <x v="1"/>
    <x v="4"/>
  </r>
  <r>
    <x v="246"/>
    <x v="70"/>
    <n v="2022"/>
    <x v="0"/>
    <n v="27.84"/>
    <n v="21.02"/>
    <x v="1"/>
    <x v="5"/>
  </r>
  <r>
    <x v="246"/>
    <x v="70"/>
    <n v="2022"/>
    <x v="5"/>
    <n v="97.44"/>
    <n v="73.569999999999993"/>
    <x v="1"/>
    <x v="5"/>
  </r>
  <r>
    <x v="246"/>
    <x v="70"/>
    <n v="2022"/>
    <x v="3"/>
    <n v="55.84"/>
    <n v="42.2"/>
    <x v="1"/>
    <x v="5"/>
  </r>
  <r>
    <x v="246"/>
    <x v="70"/>
    <n v="2022"/>
    <x v="1"/>
    <n v="83.52"/>
    <n v="63.06"/>
    <x v="1"/>
    <x v="5"/>
  </r>
  <r>
    <x v="246"/>
    <x v="70"/>
    <n v="2022"/>
    <x v="4"/>
    <n v="69.599999999999994"/>
    <n v="52.55"/>
    <x v="1"/>
    <x v="5"/>
  </r>
  <r>
    <x v="102"/>
    <x v="70"/>
    <n v="2022"/>
    <x v="2"/>
    <n v="148.5"/>
    <n v="108.06"/>
    <x v="1"/>
    <x v="0"/>
  </r>
  <r>
    <x v="73"/>
    <x v="70"/>
    <n v="2022"/>
    <x v="0"/>
    <n v="190.61"/>
    <n v="143.43"/>
    <x v="1"/>
    <x v="0"/>
  </r>
  <r>
    <x v="73"/>
    <x v="70"/>
    <n v="2022"/>
    <x v="5"/>
    <n v="108.92"/>
    <n v="81.96"/>
    <x v="1"/>
    <x v="0"/>
  </r>
  <r>
    <x v="73"/>
    <x v="70"/>
    <n v="2022"/>
    <x v="3"/>
    <n v="99.46"/>
    <n v="72.5"/>
    <x v="1"/>
    <x v="0"/>
  </r>
  <r>
    <x v="73"/>
    <x v="70"/>
    <n v="2022"/>
    <x v="1"/>
    <n v="163.38"/>
    <n v="122.94"/>
    <x v="1"/>
    <x v="0"/>
  </r>
  <r>
    <x v="73"/>
    <x v="70"/>
    <n v="2022"/>
    <x v="4"/>
    <n v="163.38"/>
    <n v="122.94"/>
    <x v="1"/>
    <x v="0"/>
  </r>
  <r>
    <x v="103"/>
    <x v="70"/>
    <n v="2022"/>
    <x v="2"/>
    <n v="154"/>
    <n v="79.22"/>
    <x v="1"/>
    <x v="5"/>
  </r>
  <r>
    <x v="104"/>
    <x v="70"/>
    <n v="2022"/>
    <x v="0"/>
    <n v="242.55"/>
    <n v="155.30000000000001"/>
    <x v="1"/>
    <x v="7"/>
  </r>
  <r>
    <x v="104"/>
    <x v="70"/>
    <n v="2022"/>
    <x v="5"/>
    <n v="138.6"/>
    <n v="88.74"/>
    <x v="1"/>
    <x v="7"/>
  </r>
  <r>
    <x v="104"/>
    <x v="70"/>
    <n v="2022"/>
    <x v="3"/>
    <n v="111.3"/>
    <n v="61.44"/>
    <x v="1"/>
    <x v="7"/>
  </r>
  <r>
    <x v="104"/>
    <x v="70"/>
    <n v="2022"/>
    <x v="1"/>
    <n v="207.9"/>
    <n v="133.11000000000001"/>
    <x v="1"/>
    <x v="7"/>
  </r>
  <r>
    <x v="104"/>
    <x v="70"/>
    <n v="2022"/>
    <x v="4"/>
    <n v="242.55"/>
    <n v="155.31"/>
    <x v="1"/>
    <x v="7"/>
  </r>
  <r>
    <x v="265"/>
    <x v="71"/>
    <n v="2022"/>
    <x v="4"/>
    <n v="0"/>
    <n v="12.43"/>
    <x v="5"/>
    <x v="1"/>
  </r>
  <r>
    <x v="273"/>
    <x v="71"/>
    <n v="2022"/>
    <x v="4"/>
    <n v="40.700000000000003"/>
    <n v="-0.09"/>
    <x v="5"/>
    <x v="0"/>
  </r>
  <r>
    <x v="277"/>
    <x v="71"/>
    <n v="2022"/>
    <x v="4"/>
    <n v="28"/>
    <n v="4.5"/>
    <x v="5"/>
    <x v="5"/>
  </r>
  <r>
    <x v="5"/>
    <x v="71"/>
    <n v="2022"/>
    <x v="4"/>
    <n v="12.38"/>
    <n v="6.4"/>
    <x v="5"/>
    <x v="2"/>
  </r>
  <r>
    <x v="251"/>
    <x v="71"/>
    <n v="2022"/>
    <x v="4"/>
    <n v="12.38"/>
    <n v="2.58"/>
    <x v="5"/>
    <x v="7"/>
  </r>
  <r>
    <x v="319"/>
    <x v="71"/>
    <n v="2022"/>
    <x v="4"/>
    <n v="27.4"/>
    <n v="9.02"/>
    <x v="5"/>
    <x v="1"/>
  </r>
  <r>
    <x v="263"/>
    <x v="71"/>
    <n v="2022"/>
    <x v="4"/>
    <n v="14.3"/>
    <n v="9.81"/>
    <x v="5"/>
    <x v="7"/>
  </r>
  <r>
    <x v="261"/>
    <x v="71"/>
    <n v="2022"/>
    <x v="4"/>
    <n v="20"/>
    <n v="10.86"/>
    <x v="5"/>
    <x v="5"/>
  </r>
  <r>
    <x v="253"/>
    <x v="71"/>
    <n v="2022"/>
    <x v="4"/>
    <n v="13.75"/>
    <n v="8.23"/>
    <x v="5"/>
    <x v="7"/>
  </r>
  <r>
    <x v="238"/>
    <x v="71"/>
    <n v="2022"/>
    <x v="4"/>
    <n v="20.5"/>
    <n v="11.14"/>
    <x v="5"/>
    <x v="5"/>
  </r>
  <r>
    <x v="240"/>
    <x v="71"/>
    <n v="2022"/>
    <x v="4"/>
    <n v="16.5"/>
    <n v="9.49"/>
    <x v="5"/>
    <x v="4"/>
  </r>
  <r>
    <x v="102"/>
    <x v="71"/>
    <n v="2022"/>
    <x v="4"/>
    <n v="22.5"/>
    <n v="15.76"/>
    <x v="5"/>
    <x v="0"/>
  </r>
  <r>
    <x v="103"/>
    <x v="71"/>
    <n v="2022"/>
    <x v="4"/>
    <n v="21"/>
    <n v="8.5399999999999991"/>
    <x v="5"/>
    <x v="5"/>
  </r>
  <r>
    <x v="66"/>
    <x v="71"/>
    <n v="2022"/>
    <x v="4"/>
    <n v="14.58"/>
    <n v="9.2899999999999991"/>
    <x v="5"/>
    <x v="0"/>
  </r>
  <r>
    <x v="68"/>
    <x v="71"/>
    <n v="2022"/>
    <x v="4"/>
    <n v="13.2"/>
    <n v="10.75"/>
    <x v="5"/>
    <x v="4"/>
  </r>
  <r>
    <x v="70"/>
    <x v="71"/>
    <n v="2022"/>
    <x v="4"/>
    <n v="15.13"/>
    <n v="12.01"/>
    <x v="5"/>
    <x v="5"/>
  </r>
  <r>
    <x v="298"/>
    <x v="72"/>
    <n v="2022"/>
    <x v="5"/>
    <n v="68.2"/>
    <n v="32.909999999999997"/>
    <x v="5"/>
    <x v="5"/>
  </r>
  <r>
    <x v="7"/>
    <x v="72"/>
    <n v="2022"/>
    <x v="5"/>
    <n v="31"/>
    <n v="11.88"/>
    <x v="5"/>
    <x v="4"/>
  </r>
  <r>
    <x v="315"/>
    <x v="72"/>
    <n v="2022"/>
    <x v="2"/>
    <n v="116"/>
    <n v="27.95"/>
    <x v="5"/>
    <x v="0"/>
  </r>
  <r>
    <x v="171"/>
    <x v="72"/>
    <n v="2022"/>
    <x v="0"/>
    <n v="136.4"/>
    <n v="46.82"/>
    <x v="5"/>
    <x v="7"/>
  </r>
  <r>
    <x v="171"/>
    <x v="72"/>
    <n v="2022"/>
    <x v="5"/>
    <n v="51.15"/>
    <n v="11.54"/>
    <x v="5"/>
    <x v="7"/>
  </r>
  <r>
    <x v="171"/>
    <x v="72"/>
    <n v="2022"/>
    <x v="3"/>
    <n v="85.25"/>
    <n v="28.41"/>
    <x v="5"/>
    <x v="7"/>
  </r>
  <r>
    <x v="171"/>
    <x v="72"/>
    <n v="2022"/>
    <x v="1"/>
    <n v="68.2"/>
    <n v="22.39"/>
    <x v="5"/>
    <x v="7"/>
  </r>
  <r>
    <x v="171"/>
    <x v="72"/>
    <n v="2022"/>
    <x v="4"/>
    <n v="85.25"/>
    <n v="22.31"/>
    <x v="5"/>
    <x v="7"/>
  </r>
  <r>
    <x v="265"/>
    <x v="72"/>
    <n v="2022"/>
    <x v="2"/>
    <n v="57.25"/>
    <n v="23.72"/>
    <x v="5"/>
    <x v="1"/>
  </r>
  <r>
    <x v="272"/>
    <x v="72"/>
    <n v="2022"/>
    <x v="0"/>
    <n v="51.72"/>
    <n v="24.9"/>
    <x v="5"/>
    <x v="1"/>
  </r>
  <r>
    <x v="272"/>
    <x v="72"/>
    <n v="2022"/>
    <x v="5"/>
    <n v="21.5"/>
    <n v="4.04"/>
    <x v="5"/>
    <x v="1"/>
  </r>
  <r>
    <x v="272"/>
    <x v="72"/>
    <n v="2022"/>
    <x v="3"/>
    <n v="60.5"/>
    <n v="18.53"/>
    <x v="5"/>
    <x v="1"/>
  </r>
  <r>
    <x v="272"/>
    <x v="72"/>
    <n v="2022"/>
    <x v="1"/>
    <n v="52"/>
    <n v="25.17"/>
    <x v="5"/>
    <x v="1"/>
  </r>
  <r>
    <x v="272"/>
    <x v="72"/>
    <n v="2022"/>
    <x v="4"/>
    <n v="26"/>
    <n v="5.93"/>
    <x v="5"/>
    <x v="1"/>
  </r>
  <r>
    <x v="277"/>
    <x v="72"/>
    <n v="2022"/>
    <x v="3"/>
    <n v="28"/>
    <n v="4.51"/>
    <x v="5"/>
    <x v="5"/>
  </r>
  <r>
    <x v="5"/>
    <x v="72"/>
    <n v="2022"/>
    <x v="2"/>
    <n v="22.25"/>
    <n v="10.29"/>
    <x v="5"/>
    <x v="2"/>
  </r>
  <r>
    <x v="250"/>
    <x v="72"/>
    <n v="2022"/>
    <x v="0"/>
    <n v="24.76"/>
    <n v="12.8"/>
    <x v="5"/>
    <x v="7"/>
  </r>
  <r>
    <x v="250"/>
    <x v="72"/>
    <n v="2022"/>
    <x v="5"/>
    <n v="20.5"/>
    <n v="8.5399999999999991"/>
    <x v="5"/>
    <x v="7"/>
  </r>
  <r>
    <x v="250"/>
    <x v="72"/>
    <n v="2022"/>
    <x v="3"/>
    <n v="60.25"/>
    <n v="15.81"/>
    <x v="5"/>
    <x v="7"/>
  </r>
  <r>
    <x v="250"/>
    <x v="72"/>
    <n v="2022"/>
    <x v="1"/>
    <n v="25"/>
    <n v="13.04"/>
    <x v="5"/>
    <x v="7"/>
  </r>
  <r>
    <x v="250"/>
    <x v="72"/>
    <n v="2022"/>
    <x v="4"/>
    <n v="12.5"/>
    <n v="6.52"/>
    <x v="5"/>
    <x v="7"/>
  </r>
  <r>
    <x v="275"/>
    <x v="72"/>
    <n v="2022"/>
    <x v="2"/>
    <n v="119"/>
    <n v="29.25"/>
    <x v="5"/>
    <x v="0"/>
  </r>
  <r>
    <x v="276"/>
    <x v="72"/>
    <n v="2022"/>
    <x v="0"/>
    <n v="154"/>
    <n v="52.68"/>
    <x v="5"/>
    <x v="2"/>
  </r>
  <r>
    <x v="276"/>
    <x v="72"/>
    <n v="2022"/>
    <x v="5"/>
    <n v="57.75"/>
    <n v="13.36"/>
    <x v="5"/>
    <x v="2"/>
  </r>
  <r>
    <x v="276"/>
    <x v="72"/>
    <n v="2022"/>
    <x v="3"/>
    <n v="57.75"/>
    <n v="20.22"/>
    <x v="5"/>
    <x v="2"/>
  </r>
  <r>
    <x v="276"/>
    <x v="72"/>
    <n v="2022"/>
    <x v="1"/>
    <n v="57.75"/>
    <n v="20.38"/>
    <x v="5"/>
    <x v="2"/>
  </r>
  <r>
    <x v="276"/>
    <x v="72"/>
    <n v="2022"/>
    <x v="4"/>
    <n v="77"/>
    <n v="27.2"/>
    <x v="5"/>
    <x v="2"/>
  </r>
  <r>
    <x v="251"/>
    <x v="72"/>
    <n v="2022"/>
    <x v="2"/>
    <n v="33.75"/>
    <n v="2.7"/>
    <x v="5"/>
    <x v="7"/>
  </r>
  <r>
    <x v="252"/>
    <x v="72"/>
    <n v="2022"/>
    <x v="0"/>
    <n v="12.38"/>
    <n v="2.58"/>
    <x v="5"/>
    <x v="5"/>
  </r>
  <r>
    <x v="252"/>
    <x v="72"/>
    <n v="2022"/>
    <x v="5"/>
    <n v="23.63"/>
    <n v="2.64"/>
    <x v="5"/>
    <x v="5"/>
  </r>
  <r>
    <x v="252"/>
    <x v="72"/>
    <n v="2022"/>
    <x v="3"/>
    <n v="37.25"/>
    <n v="8.14"/>
    <x v="5"/>
    <x v="5"/>
  </r>
  <r>
    <x v="252"/>
    <x v="72"/>
    <n v="2022"/>
    <x v="1"/>
    <n v="39"/>
    <n v="3.45"/>
    <x v="5"/>
    <x v="5"/>
  </r>
  <r>
    <x v="252"/>
    <x v="72"/>
    <n v="2022"/>
    <x v="4"/>
    <n v="26"/>
    <n v="6.4"/>
    <x v="5"/>
    <x v="5"/>
  </r>
  <r>
    <x v="319"/>
    <x v="72"/>
    <n v="2022"/>
    <x v="3"/>
    <n v="27.4"/>
    <n v="9.02"/>
    <x v="5"/>
    <x v="1"/>
  </r>
  <r>
    <x v="263"/>
    <x v="72"/>
    <n v="2022"/>
    <x v="2"/>
    <n v="37"/>
    <n v="23.53"/>
    <x v="5"/>
    <x v="7"/>
  </r>
  <r>
    <x v="264"/>
    <x v="72"/>
    <n v="2022"/>
    <x v="0"/>
    <n v="28.6"/>
    <n v="19.62"/>
    <x v="5"/>
    <x v="4"/>
  </r>
  <r>
    <x v="264"/>
    <x v="72"/>
    <n v="2022"/>
    <x v="5"/>
    <n v="37.799999999999997"/>
    <n v="24.33"/>
    <x v="5"/>
    <x v="4"/>
  </r>
  <r>
    <x v="264"/>
    <x v="72"/>
    <n v="2022"/>
    <x v="3"/>
    <n v="69.75"/>
    <n v="26.67"/>
    <x v="5"/>
    <x v="4"/>
  </r>
  <r>
    <x v="264"/>
    <x v="72"/>
    <n v="2022"/>
    <x v="1"/>
    <n v="29"/>
    <n v="20.02"/>
    <x v="5"/>
    <x v="4"/>
  </r>
  <r>
    <x v="264"/>
    <x v="72"/>
    <n v="2022"/>
    <x v="4"/>
    <n v="29"/>
    <n v="20.02"/>
    <x v="5"/>
    <x v="4"/>
  </r>
  <r>
    <x v="281"/>
    <x v="72"/>
    <n v="2022"/>
    <x v="4"/>
    <n v="16.25"/>
    <n v="9.19"/>
    <x v="5"/>
    <x v="3"/>
  </r>
  <r>
    <x v="261"/>
    <x v="72"/>
    <n v="2022"/>
    <x v="1"/>
    <n v="80"/>
    <n v="43.45"/>
    <x v="5"/>
    <x v="5"/>
  </r>
  <r>
    <x v="262"/>
    <x v="72"/>
    <n v="2022"/>
    <x v="4"/>
    <n v="20"/>
    <n v="-10.87"/>
    <x v="5"/>
    <x v="5"/>
  </r>
  <r>
    <x v="253"/>
    <x v="72"/>
    <n v="2022"/>
    <x v="2"/>
    <n v="0"/>
    <n v="0"/>
    <x v="5"/>
    <x v="7"/>
  </r>
  <r>
    <x v="254"/>
    <x v="72"/>
    <n v="2022"/>
    <x v="5"/>
    <n v="11.5"/>
    <n v="5.98"/>
    <x v="5"/>
    <x v="1"/>
  </r>
  <r>
    <x v="254"/>
    <x v="72"/>
    <n v="2022"/>
    <x v="3"/>
    <n v="41.25"/>
    <n v="24.69"/>
    <x v="5"/>
    <x v="1"/>
  </r>
  <r>
    <x v="254"/>
    <x v="72"/>
    <n v="2022"/>
    <x v="1"/>
    <n v="27.5"/>
    <n v="16.46"/>
    <x v="5"/>
    <x v="1"/>
  </r>
  <r>
    <x v="254"/>
    <x v="72"/>
    <n v="2022"/>
    <x v="4"/>
    <n v="13.75"/>
    <n v="8.23"/>
    <x v="5"/>
    <x v="1"/>
  </r>
  <r>
    <x v="238"/>
    <x v="72"/>
    <n v="2022"/>
    <x v="2"/>
    <n v="53.1"/>
    <n v="16.3"/>
    <x v="5"/>
    <x v="5"/>
  </r>
  <r>
    <x v="239"/>
    <x v="72"/>
    <n v="2022"/>
    <x v="0"/>
    <n v="40.700000000000003"/>
    <n v="21.98"/>
    <x v="5"/>
    <x v="1"/>
  </r>
  <r>
    <x v="239"/>
    <x v="72"/>
    <n v="2022"/>
    <x v="5"/>
    <n v="35.4"/>
    <n v="16.68"/>
    <x v="5"/>
    <x v="1"/>
  </r>
  <r>
    <x v="239"/>
    <x v="72"/>
    <n v="2022"/>
    <x v="3"/>
    <n v="82"/>
    <n v="33.04"/>
    <x v="5"/>
    <x v="1"/>
  </r>
  <r>
    <x v="239"/>
    <x v="72"/>
    <n v="2022"/>
    <x v="1"/>
    <n v="41"/>
    <n v="22.28"/>
    <x v="5"/>
    <x v="1"/>
  </r>
  <r>
    <x v="239"/>
    <x v="72"/>
    <n v="2022"/>
    <x v="4"/>
    <n v="20.5"/>
    <n v="11.14"/>
    <x v="5"/>
    <x v="1"/>
  </r>
  <r>
    <x v="240"/>
    <x v="72"/>
    <n v="2022"/>
    <x v="2"/>
    <n v="31.25"/>
    <n v="17.23"/>
    <x v="5"/>
    <x v="4"/>
  </r>
  <r>
    <x v="88"/>
    <x v="72"/>
    <n v="2022"/>
    <x v="0"/>
    <n v="16.5"/>
    <n v="9.49"/>
    <x v="5"/>
    <x v="4"/>
  </r>
  <r>
    <x v="88"/>
    <x v="72"/>
    <n v="2022"/>
    <x v="5"/>
    <n v="14.75"/>
    <n v="7.74"/>
    <x v="5"/>
    <x v="4"/>
  </r>
  <r>
    <x v="88"/>
    <x v="72"/>
    <n v="2022"/>
    <x v="3"/>
    <n v="47.75"/>
    <n v="6.73"/>
    <x v="5"/>
    <x v="4"/>
  </r>
  <r>
    <x v="102"/>
    <x v="72"/>
    <n v="2022"/>
    <x v="2"/>
    <n v="83.25"/>
    <n v="45.9"/>
    <x v="5"/>
    <x v="0"/>
  </r>
  <r>
    <x v="73"/>
    <x v="72"/>
    <n v="2022"/>
    <x v="0"/>
    <n v="54.46"/>
    <n v="40.98"/>
    <x v="5"/>
    <x v="0"/>
  </r>
  <r>
    <x v="73"/>
    <x v="72"/>
    <n v="2022"/>
    <x v="5"/>
    <n v="93.46"/>
    <n v="66.5"/>
    <x v="5"/>
    <x v="0"/>
  </r>
  <r>
    <x v="73"/>
    <x v="72"/>
    <n v="2022"/>
    <x v="3"/>
    <n v="109.5"/>
    <n v="49.01"/>
    <x v="5"/>
    <x v="0"/>
  </r>
  <r>
    <x v="73"/>
    <x v="72"/>
    <n v="2022"/>
    <x v="1"/>
    <n v="90"/>
    <n v="63.04"/>
    <x v="5"/>
    <x v="0"/>
  </r>
  <r>
    <x v="73"/>
    <x v="72"/>
    <n v="2022"/>
    <x v="4"/>
    <n v="22.5"/>
    <n v="15.76"/>
    <x v="5"/>
    <x v="0"/>
  </r>
  <r>
    <x v="103"/>
    <x v="72"/>
    <n v="2022"/>
    <x v="2"/>
    <n v="80.5"/>
    <n v="23.93"/>
    <x v="5"/>
    <x v="5"/>
  </r>
  <r>
    <x v="104"/>
    <x v="72"/>
    <n v="2022"/>
    <x v="0"/>
    <n v="69.3"/>
    <n v="44.38"/>
    <x v="5"/>
    <x v="7"/>
  </r>
  <r>
    <x v="104"/>
    <x v="72"/>
    <n v="2022"/>
    <x v="5"/>
    <n v="105.8"/>
    <n v="55.95"/>
    <x v="5"/>
    <x v="7"/>
  </r>
  <r>
    <x v="104"/>
    <x v="72"/>
    <n v="2022"/>
    <x v="3"/>
    <n v="81.25"/>
    <n v="21.93"/>
    <x v="5"/>
    <x v="7"/>
  </r>
  <r>
    <x v="104"/>
    <x v="72"/>
    <n v="2022"/>
    <x v="1"/>
    <n v="76.650000000000006"/>
    <n v="39.26"/>
    <x v="5"/>
    <x v="7"/>
  </r>
  <r>
    <x v="104"/>
    <x v="72"/>
    <n v="2022"/>
    <x v="4"/>
    <n v="63"/>
    <n v="25.61"/>
    <x v="5"/>
    <x v="7"/>
  </r>
  <r>
    <x v="105"/>
    <x v="72"/>
    <n v="2022"/>
    <x v="5"/>
    <n v="46.75"/>
    <n v="0.17"/>
    <x v="5"/>
    <x v="1"/>
  </r>
  <r>
    <x v="60"/>
    <x v="72"/>
    <n v="2022"/>
    <x v="5"/>
    <n v="34.1"/>
    <n v="24.22"/>
    <x v="5"/>
    <x v="3"/>
  </r>
  <r>
    <x v="19"/>
    <x v="72"/>
    <n v="2022"/>
    <x v="5"/>
    <n v="34.75"/>
    <n v="0"/>
    <x v="5"/>
    <x v="5"/>
  </r>
  <r>
    <x v="63"/>
    <x v="72"/>
    <n v="2022"/>
    <x v="5"/>
    <n v="23.93"/>
    <n v="9.9499999999999993"/>
    <x v="5"/>
    <x v="7"/>
  </r>
  <r>
    <x v="164"/>
    <x v="73"/>
    <n v="2022"/>
    <x v="3"/>
    <n v="37.5"/>
    <n v="22.2"/>
    <x v="4"/>
    <x v="3"/>
  </r>
  <r>
    <x v="241"/>
    <x v="73"/>
    <n v="2022"/>
    <x v="5"/>
    <n v="39.75"/>
    <n v="26.31"/>
    <x v="4"/>
    <x v="2"/>
  </r>
  <r>
    <x v="242"/>
    <x v="73"/>
    <n v="2022"/>
    <x v="3"/>
    <n v="39.75"/>
    <n v="26.31"/>
    <x v="4"/>
    <x v="6"/>
  </r>
  <r>
    <x v="280"/>
    <x v="73"/>
    <n v="2022"/>
    <x v="5"/>
    <n v="35.5"/>
    <n v="17.23"/>
    <x v="4"/>
    <x v="0"/>
  </r>
  <r>
    <x v="253"/>
    <x v="73"/>
    <n v="2022"/>
    <x v="5"/>
    <n v="27.5"/>
    <n v="16.47"/>
    <x v="4"/>
    <x v="7"/>
  </r>
  <r>
    <x v="238"/>
    <x v="73"/>
    <n v="2022"/>
    <x v="5"/>
    <n v="41"/>
    <n v="22.27"/>
    <x v="4"/>
    <x v="5"/>
  </r>
  <r>
    <x v="239"/>
    <x v="73"/>
    <n v="2022"/>
    <x v="3"/>
    <n v="61.5"/>
    <n v="33.409999999999997"/>
    <x v="4"/>
    <x v="1"/>
  </r>
  <r>
    <x v="240"/>
    <x v="73"/>
    <n v="2022"/>
    <x v="5"/>
    <n v="33"/>
    <n v="18.97"/>
    <x v="4"/>
    <x v="4"/>
  </r>
  <r>
    <x v="88"/>
    <x v="73"/>
    <n v="2022"/>
    <x v="3"/>
    <n v="16.5"/>
    <n v="9.49"/>
    <x v="4"/>
    <x v="4"/>
  </r>
  <r>
    <x v="102"/>
    <x v="73"/>
    <n v="2022"/>
    <x v="5"/>
    <n v="49.5"/>
    <n v="36.020000000000003"/>
    <x v="4"/>
    <x v="0"/>
  </r>
  <r>
    <x v="73"/>
    <x v="73"/>
    <n v="2022"/>
    <x v="3"/>
    <n v="74.25"/>
    <n v="54.03"/>
    <x v="4"/>
    <x v="0"/>
  </r>
  <r>
    <x v="103"/>
    <x v="73"/>
    <n v="2022"/>
    <x v="5"/>
    <n v="51.5"/>
    <n v="26.57"/>
    <x v="4"/>
    <x v="5"/>
  </r>
  <r>
    <x v="104"/>
    <x v="73"/>
    <n v="2022"/>
    <x v="3"/>
    <n v="51.5"/>
    <n v="26.57"/>
    <x v="4"/>
    <x v="7"/>
  </r>
  <r>
    <x v="298"/>
    <x v="74"/>
    <n v="2022"/>
    <x v="2"/>
    <n v="157.69999999999999"/>
    <n v="39.51"/>
    <x v="2"/>
    <x v="5"/>
  </r>
  <r>
    <x v="321"/>
    <x v="74"/>
    <n v="2022"/>
    <x v="0"/>
    <n v="143.44999999999999"/>
    <n v="46.4"/>
    <x v="2"/>
    <x v="3"/>
  </r>
  <r>
    <x v="313"/>
    <x v="74"/>
    <n v="2022"/>
    <x v="2"/>
    <n v="99"/>
    <n v="13.92"/>
    <x v="2"/>
    <x v="6"/>
  </r>
  <r>
    <x v="314"/>
    <x v="74"/>
    <n v="2022"/>
    <x v="0"/>
    <n v="115.8"/>
    <n v="30.72"/>
    <x v="2"/>
    <x v="1"/>
  </r>
  <r>
    <x v="314"/>
    <x v="74"/>
    <n v="2022"/>
    <x v="5"/>
    <n v="60"/>
    <n v="3.28"/>
    <x v="2"/>
    <x v="1"/>
  </r>
  <r>
    <x v="164"/>
    <x v="74"/>
    <n v="2022"/>
    <x v="2"/>
    <n v="72"/>
    <n v="36.299999999999997"/>
    <x v="2"/>
    <x v="3"/>
  </r>
  <r>
    <x v="307"/>
    <x v="74"/>
    <n v="2022"/>
    <x v="0"/>
    <n v="60.76"/>
    <n v="30.16"/>
    <x v="2"/>
    <x v="0"/>
  </r>
  <r>
    <x v="307"/>
    <x v="74"/>
    <n v="2022"/>
    <x v="5"/>
    <n v="54"/>
    <n v="23.4"/>
    <x v="2"/>
    <x v="0"/>
  </r>
  <r>
    <x v="307"/>
    <x v="74"/>
    <n v="2022"/>
    <x v="3"/>
    <n v="25"/>
    <n v="14.8"/>
    <x v="2"/>
    <x v="0"/>
  </r>
  <r>
    <x v="7"/>
    <x v="74"/>
    <n v="2022"/>
    <x v="2"/>
    <n v="121.05"/>
    <n v="36.28"/>
    <x v="2"/>
    <x v="4"/>
  </r>
  <r>
    <x v="8"/>
    <x v="74"/>
    <n v="2022"/>
    <x v="0"/>
    <n v="143.9"/>
    <n v="38.46"/>
    <x v="2"/>
    <x v="1"/>
  </r>
  <r>
    <x v="145"/>
    <x v="74"/>
    <n v="2022"/>
    <x v="2"/>
    <n v="74.5"/>
    <n v="6.18"/>
    <x v="2"/>
    <x v="0"/>
  </r>
  <r>
    <x v="305"/>
    <x v="74"/>
    <n v="2022"/>
    <x v="0"/>
    <n v="85.39"/>
    <n v="17.07"/>
    <x v="2"/>
    <x v="7"/>
  </r>
  <r>
    <x v="305"/>
    <x v="74"/>
    <n v="2022"/>
    <x v="5"/>
    <n v="50"/>
    <n v="1.2"/>
    <x v="2"/>
    <x v="7"/>
  </r>
  <r>
    <x v="305"/>
    <x v="74"/>
    <n v="2022"/>
    <x v="3"/>
    <n v="30.5"/>
    <n v="10.98"/>
    <x v="2"/>
    <x v="7"/>
  </r>
  <r>
    <x v="241"/>
    <x v="74"/>
    <n v="2022"/>
    <x v="2"/>
    <n v="79.5"/>
    <n v="48.14"/>
    <x v="2"/>
    <x v="2"/>
  </r>
  <r>
    <x v="242"/>
    <x v="74"/>
    <n v="2022"/>
    <x v="0"/>
    <n v="81.599999999999994"/>
    <n v="37.04"/>
    <x v="2"/>
    <x v="6"/>
  </r>
  <r>
    <x v="242"/>
    <x v="74"/>
    <n v="2022"/>
    <x v="5"/>
    <n v="31.5"/>
    <n v="18.059999999999999"/>
    <x v="2"/>
    <x v="6"/>
  </r>
  <r>
    <x v="242"/>
    <x v="74"/>
    <n v="2022"/>
    <x v="3"/>
    <n v="26.5"/>
    <n v="17.54"/>
    <x v="2"/>
    <x v="6"/>
  </r>
  <r>
    <x v="11"/>
    <x v="74"/>
    <n v="2022"/>
    <x v="2"/>
    <n v="105.05"/>
    <n v="32.549999999999997"/>
    <x v="2"/>
    <x v="3"/>
  </r>
  <r>
    <x v="12"/>
    <x v="74"/>
    <n v="2022"/>
    <x v="0"/>
    <n v="84.7"/>
    <n v="26.25"/>
    <x v="2"/>
    <x v="0"/>
  </r>
  <r>
    <x v="12"/>
    <x v="74"/>
    <n v="2022"/>
    <x v="3"/>
    <n v="22"/>
    <n v="7.43"/>
    <x v="2"/>
    <x v="0"/>
  </r>
  <r>
    <x v="280"/>
    <x v="74"/>
    <n v="2022"/>
    <x v="5"/>
    <n v="29.6"/>
    <n v="11.33"/>
    <x v="2"/>
    <x v="0"/>
  </r>
  <r>
    <x v="14"/>
    <x v="74"/>
    <n v="2022"/>
    <x v="2"/>
    <n v="89.1"/>
    <n v="40.15"/>
    <x v="2"/>
    <x v="5"/>
  </r>
  <r>
    <x v="15"/>
    <x v="74"/>
    <n v="2022"/>
    <x v="0"/>
    <n v="27.5"/>
    <n v="10.08"/>
    <x v="2"/>
    <x v="6"/>
  </r>
  <r>
    <x v="15"/>
    <x v="74"/>
    <n v="2022"/>
    <x v="3"/>
    <n v="28.5"/>
    <n v="10.41"/>
    <x v="2"/>
    <x v="6"/>
  </r>
  <r>
    <x v="19"/>
    <x v="74"/>
    <n v="2022"/>
    <x v="2"/>
    <n v="127.7"/>
    <n v="67.94"/>
    <x v="2"/>
    <x v="5"/>
  </r>
  <r>
    <x v="20"/>
    <x v="74"/>
    <n v="2022"/>
    <x v="3"/>
    <n v="35.25"/>
    <n v="20.309999999999999"/>
    <x v="2"/>
    <x v="6"/>
  </r>
  <r>
    <x v="188"/>
    <x v="74"/>
    <n v="2022"/>
    <x v="0"/>
    <n v="135.52000000000001"/>
    <n v="74.040000000000006"/>
    <x v="2"/>
    <x v="0"/>
  </r>
  <r>
    <x v="189"/>
    <x v="74"/>
    <n v="2022"/>
    <x v="5"/>
    <n v="135.52000000000001"/>
    <n v="70.52"/>
    <x v="2"/>
    <x v="2"/>
  </r>
  <r>
    <x v="273"/>
    <x v="74"/>
    <n v="2022"/>
    <x v="2"/>
    <n v="75"/>
    <n v="18.100000000000001"/>
    <x v="2"/>
    <x v="0"/>
  </r>
  <r>
    <x v="274"/>
    <x v="74"/>
    <n v="2022"/>
    <x v="0"/>
    <n v="78.55"/>
    <n v="21.56"/>
    <x v="2"/>
    <x v="3"/>
  </r>
  <r>
    <x v="274"/>
    <x v="74"/>
    <n v="2022"/>
    <x v="5"/>
    <n v="35"/>
    <n v="6.67"/>
    <x v="2"/>
    <x v="3"/>
  </r>
  <r>
    <x v="274"/>
    <x v="74"/>
    <n v="2022"/>
    <x v="3"/>
    <n v="20.25"/>
    <n v="6.07"/>
    <x v="2"/>
    <x v="3"/>
  </r>
  <r>
    <x v="277"/>
    <x v="74"/>
    <n v="2022"/>
    <x v="2"/>
    <n v="29.25"/>
    <n v="0.14000000000000001"/>
    <x v="2"/>
    <x v="5"/>
  </r>
  <r>
    <x v="5"/>
    <x v="74"/>
    <n v="2022"/>
    <x v="2"/>
    <n v="54.75"/>
    <n v="24.86"/>
    <x v="2"/>
    <x v="2"/>
  </r>
  <r>
    <x v="250"/>
    <x v="74"/>
    <n v="2022"/>
    <x v="0"/>
    <n v="22.63"/>
    <n v="10.67"/>
    <x v="2"/>
    <x v="7"/>
  </r>
  <r>
    <x v="250"/>
    <x v="74"/>
    <n v="2022"/>
    <x v="5"/>
    <n v="41"/>
    <n v="17.09"/>
    <x v="2"/>
    <x v="7"/>
  </r>
  <r>
    <x v="250"/>
    <x v="74"/>
    <n v="2022"/>
    <x v="3"/>
    <n v="25"/>
    <n v="13.05"/>
    <x v="2"/>
    <x v="7"/>
  </r>
  <r>
    <x v="275"/>
    <x v="74"/>
    <n v="2022"/>
    <x v="2"/>
    <n v="46.5"/>
    <n v="7.96"/>
    <x v="2"/>
    <x v="0"/>
  </r>
  <r>
    <x v="276"/>
    <x v="74"/>
    <n v="2022"/>
    <x v="0"/>
    <n v="97.5"/>
    <n v="21.4"/>
    <x v="2"/>
    <x v="2"/>
  </r>
  <r>
    <x v="251"/>
    <x v="74"/>
    <n v="2022"/>
    <x v="2"/>
    <n v="46.5"/>
    <n v="7.34"/>
    <x v="2"/>
    <x v="7"/>
  </r>
  <r>
    <x v="252"/>
    <x v="74"/>
    <n v="2022"/>
    <x v="0"/>
    <n v="47.26"/>
    <n v="8.06"/>
    <x v="2"/>
    <x v="5"/>
  </r>
  <r>
    <x v="252"/>
    <x v="74"/>
    <n v="2022"/>
    <x v="5"/>
    <n v="67.5"/>
    <n v="8.82"/>
    <x v="2"/>
    <x v="5"/>
  </r>
  <r>
    <x v="252"/>
    <x v="74"/>
    <n v="2022"/>
    <x v="3"/>
    <n v="26"/>
    <n v="6.4"/>
    <x v="2"/>
    <x v="5"/>
  </r>
  <r>
    <x v="263"/>
    <x v="74"/>
    <n v="2022"/>
    <x v="2"/>
    <n v="62.25"/>
    <n v="39.799999999999997"/>
    <x v="2"/>
    <x v="7"/>
  </r>
  <r>
    <x v="264"/>
    <x v="74"/>
    <n v="2022"/>
    <x v="0"/>
    <n v="37.799999999999997"/>
    <n v="24.33"/>
    <x v="2"/>
    <x v="4"/>
  </r>
  <r>
    <x v="264"/>
    <x v="74"/>
    <n v="2022"/>
    <x v="5"/>
    <n v="47"/>
    <n v="29.04"/>
    <x v="2"/>
    <x v="4"/>
  </r>
  <r>
    <x v="264"/>
    <x v="74"/>
    <n v="2022"/>
    <x v="3"/>
    <n v="29"/>
    <n v="20.02"/>
    <x v="2"/>
    <x v="4"/>
  </r>
  <r>
    <x v="60"/>
    <x v="74"/>
    <n v="2022"/>
    <x v="5"/>
    <n v="34.1"/>
    <n v="24.22"/>
    <x v="2"/>
    <x v="3"/>
  </r>
  <r>
    <x v="143"/>
    <x v="74"/>
    <n v="2022"/>
    <x v="0"/>
    <n v="102.5"/>
    <n v="-5.03"/>
    <x v="2"/>
    <x v="1"/>
  </r>
  <r>
    <x v="63"/>
    <x v="74"/>
    <n v="2022"/>
    <x v="0"/>
    <n v="23.93"/>
    <n v="9.9499999999999993"/>
    <x v="2"/>
    <x v="7"/>
  </r>
  <r>
    <x v="201"/>
    <x v="75"/>
    <n v="2022"/>
    <x v="4"/>
    <n v="15.5"/>
    <n v="7.2"/>
    <x v="2"/>
    <x v="1"/>
  </r>
  <r>
    <x v="28"/>
    <x v="75"/>
    <n v="2022"/>
    <x v="4"/>
    <n v="11.5"/>
    <n v="7.37"/>
    <x v="2"/>
    <x v="7"/>
  </r>
  <r>
    <x v="273"/>
    <x v="75"/>
    <n v="2022"/>
    <x v="1"/>
    <n v="20.25"/>
    <n v="6.72"/>
    <x v="2"/>
    <x v="0"/>
  </r>
  <r>
    <x v="274"/>
    <x v="75"/>
    <n v="2022"/>
    <x v="4"/>
    <n v="45.5"/>
    <n v="17.2"/>
    <x v="2"/>
    <x v="3"/>
  </r>
  <r>
    <x v="251"/>
    <x v="75"/>
    <n v="2022"/>
    <x v="1"/>
    <n v="13"/>
    <n v="3.2"/>
    <x v="2"/>
    <x v="7"/>
  </r>
  <r>
    <x v="266"/>
    <x v="75"/>
    <n v="2022"/>
    <x v="1"/>
    <n v="16.5"/>
    <n v="10.98"/>
    <x v="2"/>
    <x v="2"/>
  </r>
  <r>
    <x v="267"/>
    <x v="75"/>
    <n v="2022"/>
    <x v="4"/>
    <n v="33"/>
    <n v="21.96"/>
    <x v="2"/>
    <x v="5"/>
  </r>
  <r>
    <x v="30"/>
    <x v="75"/>
    <n v="2022"/>
    <x v="1"/>
    <n v="26.5"/>
    <n v="16.16"/>
    <x v="2"/>
    <x v="3"/>
  </r>
  <r>
    <x v="255"/>
    <x v="75"/>
    <n v="2022"/>
    <x v="4"/>
    <n v="53"/>
    <n v="32.32"/>
    <x v="2"/>
    <x v="1"/>
  </r>
  <r>
    <x v="31"/>
    <x v="75"/>
    <n v="2022"/>
    <x v="1"/>
    <n v="26"/>
    <n v="16.079999999999998"/>
    <x v="2"/>
    <x v="4"/>
  </r>
  <r>
    <x v="256"/>
    <x v="75"/>
    <n v="2022"/>
    <x v="4"/>
    <n v="52"/>
    <n v="32.159999999999997"/>
    <x v="2"/>
    <x v="2"/>
  </r>
  <r>
    <x v="32"/>
    <x v="75"/>
    <n v="2022"/>
    <x v="1"/>
    <n v="27"/>
    <n v="15.85"/>
    <x v="2"/>
    <x v="0"/>
  </r>
  <r>
    <x v="33"/>
    <x v="75"/>
    <n v="2022"/>
    <x v="4"/>
    <n v="54"/>
    <n v="31.7"/>
    <x v="2"/>
    <x v="6"/>
  </r>
  <r>
    <x v="240"/>
    <x v="75"/>
    <n v="2022"/>
    <x v="1"/>
    <n v="16.5"/>
    <n v="9.49"/>
    <x v="2"/>
    <x v="4"/>
  </r>
  <r>
    <x v="88"/>
    <x v="75"/>
    <n v="2022"/>
    <x v="4"/>
    <n v="33"/>
    <n v="18.98"/>
    <x v="2"/>
    <x v="4"/>
  </r>
  <r>
    <x v="102"/>
    <x v="75"/>
    <n v="2022"/>
    <x v="1"/>
    <n v="22.5"/>
    <n v="15.76"/>
    <x v="2"/>
    <x v="0"/>
  </r>
  <r>
    <x v="103"/>
    <x v="75"/>
    <n v="2022"/>
    <x v="1"/>
    <n v="21"/>
    <n v="8.5399999999999991"/>
    <x v="2"/>
    <x v="5"/>
  </r>
  <r>
    <x v="104"/>
    <x v="75"/>
    <n v="2022"/>
    <x v="4"/>
    <n v="42"/>
    <n v="17.079999999999998"/>
    <x v="2"/>
    <x v="7"/>
  </r>
  <r>
    <x v="282"/>
    <x v="75"/>
    <n v="2022"/>
    <x v="4"/>
    <n v="35"/>
    <n v="23.96"/>
    <x v="2"/>
    <x v="4"/>
  </r>
  <r>
    <x v="309"/>
    <x v="75"/>
    <n v="2022"/>
    <x v="4"/>
    <n v="33.5"/>
    <n v="13.14"/>
    <x v="2"/>
    <x v="2"/>
  </r>
  <r>
    <x v="322"/>
    <x v="75"/>
    <n v="2022"/>
    <x v="1"/>
    <n v="25.25"/>
    <n v="2.85"/>
    <x v="2"/>
    <x v="1"/>
  </r>
  <r>
    <x v="58"/>
    <x v="76"/>
    <n v="2022"/>
    <x v="4"/>
    <n v="19"/>
    <n v="7.4"/>
    <x v="1"/>
    <x v="5"/>
  </r>
  <r>
    <x v="51"/>
    <x v="77"/>
    <n v="2022"/>
    <x v="2"/>
    <n v="105"/>
    <n v="19.329999999999998"/>
    <x v="1"/>
    <x v="1"/>
  </r>
  <r>
    <x v="5"/>
    <x v="78"/>
    <n v="2022"/>
    <x v="0"/>
    <n v="225.5"/>
    <n v="60.93"/>
    <x v="4"/>
    <x v="2"/>
  </r>
  <r>
    <x v="214"/>
    <x v="78"/>
    <n v="2022"/>
    <x v="5"/>
    <n v="114.4"/>
    <n v="34.340000000000003"/>
    <x v="4"/>
    <x v="3"/>
  </r>
  <r>
    <x v="7"/>
    <x v="78"/>
    <n v="2022"/>
    <x v="2"/>
    <n v="352.2"/>
    <n v="61.1"/>
    <x v="4"/>
    <x v="4"/>
  </r>
  <r>
    <x v="8"/>
    <x v="78"/>
    <n v="2022"/>
    <x v="0"/>
    <n v="899"/>
    <n v="341.67"/>
    <x v="4"/>
    <x v="1"/>
  </r>
  <r>
    <x v="8"/>
    <x v="78"/>
    <n v="2022"/>
    <x v="5"/>
    <n v="465"/>
    <n v="176.35"/>
    <x v="4"/>
    <x v="1"/>
  </r>
  <r>
    <x v="194"/>
    <x v="78"/>
    <n v="2022"/>
    <x v="2"/>
    <n v="455"/>
    <n v="113.44"/>
    <x v="4"/>
    <x v="2"/>
  </r>
  <r>
    <x v="195"/>
    <x v="78"/>
    <n v="2022"/>
    <x v="0"/>
    <n v="310"/>
    <n v="137.04"/>
    <x v="4"/>
    <x v="5"/>
  </r>
  <r>
    <x v="75"/>
    <x v="78"/>
    <n v="2022"/>
    <x v="2"/>
    <n v="402"/>
    <n v="79.459999999999994"/>
    <x v="4"/>
    <x v="6"/>
  </r>
  <r>
    <x v="299"/>
    <x v="78"/>
    <n v="2022"/>
    <x v="0"/>
    <n v="442.5"/>
    <n v="148"/>
    <x v="4"/>
    <x v="6"/>
  </r>
  <r>
    <x v="299"/>
    <x v="78"/>
    <n v="2022"/>
    <x v="5"/>
    <n v="96"/>
    <n v="37.22"/>
    <x v="4"/>
    <x v="6"/>
  </r>
  <r>
    <x v="14"/>
    <x v="78"/>
    <n v="2022"/>
    <x v="0"/>
    <n v="308"/>
    <n v="130.5"/>
    <x v="4"/>
    <x v="5"/>
  </r>
  <r>
    <x v="100"/>
    <x v="78"/>
    <n v="2022"/>
    <x v="0"/>
    <n v="211.5"/>
    <n v="107.74"/>
    <x v="4"/>
    <x v="7"/>
  </r>
  <r>
    <x v="101"/>
    <x v="78"/>
    <n v="2022"/>
    <x v="5"/>
    <n v="141"/>
    <n v="71.040000000000006"/>
    <x v="4"/>
    <x v="7"/>
  </r>
  <r>
    <x v="21"/>
    <x v="78"/>
    <n v="2022"/>
    <x v="0"/>
    <n v="133.5"/>
    <n v="-31.33"/>
    <x v="4"/>
    <x v="1"/>
  </r>
  <r>
    <x v="22"/>
    <x v="78"/>
    <n v="2022"/>
    <x v="5"/>
    <n v="480"/>
    <n v="179.6"/>
    <x v="4"/>
    <x v="3"/>
  </r>
  <r>
    <x v="25"/>
    <x v="78"/>
    <n v="2022"/>
    <x v="0"/>
    <n v="64"/>
    <n v="6.23"/>
    <x v="4"/>
    <x v="0"/>
  </r>
  <r>
    <x v="26"/>
    <x v="78"/>
    <n v="2022"/>
    <x v="5"/>
    <n v="225"/>
    <n v="78.3"/>
    <x v="4"/>
    <x v="0"/>
  </r>
  <r>
    <x v="190"/>
    <x v="78"/>
    <n v="2022"/>
    <x v="2"/>
    <n v="691.25"/>
    <n v="192.78"/>
    <x v="4"/>
    <x v="6"/>
  </r>
  <r>
    <x v="323"/>
    <x v="78"/>
    <n v="2022"/>
    <x v="0"/>
    <n v="955.5"/>
    <n v="365.5"/>
    <x v="4"/>
    <x v="0"/>
  </r>
  <r>
    <x v="323"/>
    <x v="78"/>
    <n v="2022"/>
    <x v="4"/>
    <n v="367.5"/>
    <n v="140.63"/>
    <x v="4"/>
    <x v="0"/>
  </r>
  <r>
    <x v="34"/>
    <x v="79"/>
    <n v="2022"/>
    <x v="4"/>
    <n v="240"/>
    <n v="-24.68"/>
    <x v="4"/>
    <x v="4"/>
  </r>
  <r>
    <x v="51"/>
    <x v="80"/>
    <n v="2022"/>
    <x v="0"/>
    <n v="21"/>
    <n v="3.94"/>
    <x v="0"/>
    <x v="1"/>
  </r>
  <r>
    <x v="52"/>
    <x v="80"/>
    <n v="2022"/>
    <x v="5"/>
    <n v="21.5"/>
    <n v="4.33"/>
    <x v="0"/>
    <x v="3"/>
  </r>
  <r>
    <x v="52"/>
    <x v="80"/>
    <n v="2022"/>
    <x v="3"/>
    <n v="21"/>
    <n v="3.81"/>
    <x v="0"/>
    <x v="3"/>
  </r>
  <r>
    <x v="52"/>
    <x v="80"/>
    <n v="2022"/>
    <x v="1"/>
    <n v="42"/>
    <n v="7.32"/>
    <x v="0"/>
    <x v="3"/>
  </r>
  <r>
    <x v="52"/>
    <x v="80"/>
    <n v="2022"/>
    <x v="4"/>
    <n v="71"/>
    <n v="1.77"/>
    <x v="0"/>
    <x v="3"/>
  </r>
  <r>
    <x v="270"/>
    <x v="80"/>
    <n v="2022"/>
    <x v="2"/>
    <n v="58"/>
    <n v="13.9"/>
    <x v="0"/>
    <x v="3"/>
  </r>
  <r>
    <x v="271"/>
    <x v="80"/>
    <n v="2022"/>
    <x v="0"/>
    <n v="14.5"/>
    <n v="3.5"/>
    <x v="0"/>
    <x v="3"/>
  </r>
  <r>
    <x v="271"/>
    <x v="80"/>
    <n v="2022"/>
    <x v="3"/>
    <n v="14.5"/>
    <n v="3.46"/>
    <x v="0"/>
    <x v="3"/>
  </r>
  <r>
    <x v="271"/>
    <x v="80"/>
    <n v="2022"/>
    <x v="4"/>
    <n v="54"/>
    <n v="-7.89"/>
    <x v="0"/>
    <x v="3"/>
  </r>
  <r>
    <x v="291"/>
    <x v="81"/>
    <n v="2022"/>
    <x v="2"/>
    <n v="42.5"/>
    <n v="8"/>
    <x v="3"/>
    <x v="7"/>
  </r>
  <r>
    <x v="324"/>
    <x v="81"/>
    <n v="2022"/>
    <x v="2"/>
    <n v="5.9"/>
    <n v="0.86"/>
    <x v="3"/>
    <x v="3"/>
  </r>
  <r>
    <x v="73"/>
    <x v="81"/>
    <n v="2022"/>
    <x v="2"/>
    <n v="48"/>
    <n v="31.1"/>
    <x v="3"/>
    <x v="0"/>
  </r>
  <r>
    <x v="325"/>
    <x v="81"/>
    <n v="2022"/>
    <x v="5"/>
    <n v="50"/>
    <n v="31.97"/>
    <x v="3"/>
    <x v="2"/>
  </r>
  <r>
    <x v="118"/>
    <x v="81"/>
    <n v="2022"/>
    <x v="5"/>
    <n v="105"/>
    <n v="38.86"/>
    <x v="3"/>
    <x v="7"/>
  </r>
  <r>
    <x v="160"/>
    <x v="81"/>
    <n v="2022"/>
    <x v="2"/>
    <n v="138"/>
    <n v="56.33"/>
    <x v="3"/>
    <x v="4"/>
  </r>
  <r>
    <x v="161"/>
    <x v="81"/>
    <n v="2022"/>
    <x v="5"/>
    <n v="138"/>
    <n v="57.17"/>
    <x v="3"/>
    <x v="4"/>
  </r>
  <r>
    <x v="161"/>
    <x v="81"/>
    <n v="2022"/>
    <x v="4"/>
    <n v="207"/>
    <n v="85.76"/>
    <x v="3"/>
    <x v="4"/>
  </r>
  <r>
    <x v="132"/>
    <x v="82"/>
    <n v="2022"/>
    <x v="2"/>
    <n v="58"/>
    <n v="40.99"/>
    <x v="5"/>
    <x v="6"/>
  </r>
  <r>
    <x v="120"/>
    <x v="82"/>
    <n v="2022"/>
    <x v="2"/>
    <n v="53"/>
    <n v="31.87"/>
    <x v="5"/>
    <x v="6"/>
  </r>
  <r>
    <x v="34"/>
    <x v="83"/>
    <n v="2022"/>
    <x v="4"/>
    <n v="480"/>
    <n v="-24.68"/>
    <x v="3"/>
    <x v="4"/>
  </r>
  <r>
    <x v="163"/>
    <x v="83"/>
    <n v="2022"/>
    <x v="4"/>
    <n v="70.2"/>
    <n v="50.67"/>
    <x v="3"/>
    <x v="2"/>
  </r>
  <r>
    <x v="204"/>
    <x v="83"/>
    <n v="2022"/>
    <x v="3"/>
    <n v="45.6"/>
    <n v="17.760000000000002"/>
    <x v="3"/>
    <x v="5"/>
  </r>
  <r>
    <x v="205"/>
    <x v="83"/>
    <n v="2022"/>
    <x v="3"/>
    <n v="16"/>
    <n v="9.68"/>
    <x v="3"/>
    <x v="7"/>
  </r>
  <r>
    <x v="132"/>
    <x v="83"/>
    <n v="2022"/>
    <x v="3"/>
    <n v="320"/>
    <n v="182.72"/>
    <x v="3"/>
    <x v="6"/>
  </r>
  <r>
    <x v="206"/>
    <x v="83"/>
    <n v="2022"/>
    <x v="1"/>
    <n v="84"/>
    <n v="49.68"/>
    <x v="3"/>
    <x v="2"/>
  </r>
  <r>
    <x v="105"/>
    <x v="83"/>
    <n v="2022"/>
    <x v="5"/>
    <n v="39.9"/>
    <n v="17.940000000000001"/>
    <x v="3"/>
    <x v="1"/>
  </r>
  <r>
    <x v="106"/>
    <x v="83"/>
    <n v="2022"/>
    <x v="3"/>
    <n v="65"/>
    <n v="43.27"/>
    <x v="3"/>
    <x v="6"/>
  </r>
  <r>
    <x v="166"/>
    <x v="83"/>
    <n v="2022"/>
    <x v="1"/>
    <n v="136"/>
    <n v="51.45"/>
    <x v="3"/>
    <x v="5"/>
  </r>
  <r>
    <x v="89"/>
    <x v="83"/>
    <n v="2022"/>
    <x v="5"/>
    <n v="100"/>
    <n v="40.33"/>
    <x v="3"/>
    <x v="7"/>
  </r>
  <r>
    <x v="51"/>
    <x v="84"/>
    <n v="2022"/>
    <x v="2"/>
    <n v="29"/>
    <n v="-5.15"/>
    <x v="1"/>
    <x v="1"/>
  </r>
  <r>
    <x v="53"/>
    <x v="84"/>
    <n v="2022"/>
    <x v="5"/>
    <n v="17.5"/>
    <n v="2.2000000000000002"/>
    <x v="1"/>
    <x v="3"/>
  </r>
  <r>
    <x v="270"/>
    <x v="84"/>
    <n v="2022"/>
    <x v="2"/>
    <n v="62.5"/>
    <n v="4.78"/>
    <x v="1"/>
    <x v="3"/>
  </r>
  <r>
    <x v="271"/>
    <x v="84"/>
    <n v="2022"/>
    <x v="0"/>
    <n v="58"/>
    <n v="13.72"/>
    <x v="1"/>
    <x v="3"/>
  </r>
  <r>
    <x v="271"/>
    <x v="84"/>
    <n v="2022"/>
    <x v="5"/>
    <n v="62"/>
    <n v="17.88"/>
    <x v="1"/>
    <x v="3"/>
  </r>
  <r>
    <x v="271"/>
    <x v="84"/>
    <n v="2022"/>
    <x v="3"/>
    <n v="87"/>
    <n v="20.76"/>
    <x v="1"/>
    <x v="3"/>
  </r>
  <r>
    <x v="271"/>
    <x v="84"/>
    <n v="2022"/>
    <x v="1"/>
    <n v="87"/>
    <n v="20.68"/>
    <x v="1"/>
    <x v="3"/>
  </r>
  <r>
    <x v="271"/>
    <x v="84"/>
    <n v="2022"/>
    <x v="4"/>
    <n v="58"/>
    <n v="13.74"/>
    <x v="1"/>
    <x v="3"/>
  </r>
  <r>
    <x v="51"/>
    <x v="5"/>
    <n v="2022"/>
    <x v="5"/>
    <n v="43"/>
    <n v="4.3099999999999996"/>
    <x v="4"/>
    <x v="1"/>
  </r>
  <r>
    <x v="53"/>
    <x v="5"/>
    <n v="2022"/>
    <x v="5"/>
    <n v="36"/>
    <n v="5.4"/>
    <x v="4"/>
    <x v="3"/>
  </r>
  <r>
    <x v="270"/>
    <x v="5"/>
    <n v="2022"/>
    <x v="2"/>
    <n v="58"/>
    <n v="13.94"/>
    <x v="4"/>
    <x v="3"/>
  </r>
  <r>
    <x v="271"/>
    <x v="5"/>
    <n v="2022"/>
    <x v="0"/>
    <n v="43.5"/>
    <n v="10.34"/>
    <x v="4"/>
    <x v="3"/>
  </r>
  <r>
    <x v="271"/>
    <x v="5"/>
    <n v="2022"/>
    <x v="5"/>
    <n v="58"/>
    <n v="13.86"/>
    <x v="4"/>
    <x v="3"/>
  </r>
  <r>
    <x v="271"/>
    <x v="5"/>
    <n v="2022"/>
    <x v="3"/>
    <n v="29"/>
    <n v="6.92"/>
    <x v="4"/>
    <x v="3"/>
  </r>
  <r>
    <x v="271"/>
    <x v="5"/>
    <n v="2022"/>
    <x v="1"/>
    <n v="87"/>
    <n v="20.7"/>
    <x v="4"/>
    <x v="3"/>
  </r>
  <r>
    <x v="271"/>
    <x v="5"/>
    <n v="2022"/>
    <x v="4"/>
    <n v="58"/>
    <n v="13.74"/>
    <x v="4"/>
    <x v="3"/>
  </r>
  <r>
    <x v="5"/>
    <x v="85"/>
    <n v="2022"/>
    <x v="5"/>
    <n v="20"/>
    <n v="3.33"/>
    <x v="1"/>
    <x v="2"/>
  </r>
  <r>
    <x v="270"/>
    <x v="85"/>
    <n v="2022"/>
    <x v="2"/>
    <n v="87"/>
    <n v="17.37"/>
    <x v="1"/>
    <x v="3"/>
  </r>
  <r>
    <x v="271"/>
    <x v="85"/>
    <n v="2022"/>
    <x v="0"/>
    <n v="29"/>
    <n v="6.87"/>
    <x v="1"/>
    <x v="3"/>
  </r>
  <r>
    <x v="271"/>
    <x v="85"/>
    <n v="2022"/>
    <x v="5"/>
    <n v="29"/>
    <n v="6.93"/>
    <x v="1"/>
    <x v="3"/>
  </r>
  <r>
    <x v="271"/>
    <x v="85"/>
    <n v="2022"/>
    <x v="3"/>
    <n v="72.5"/>
    <n v="17.3"/>
    <x v="1"/>
    <x v="3"/>
  </r>
  <r>
    <x v="271"/>
    <x v="85"/>
    <n v="2022"/>
    <x v="1"/>
    <n v="14.5"/>
    <n v="3.44"/>
    <x v="1"/>
    <x v="3"/>
  </r>
  <r>
    <x v="7"/>
    <x v="85"/>
    <n v="2022"/>
    <x v="5"/>
    <n v="15"/>
    <n v="5.44"/>
    <x v="1"/>
    <x v="4"/>
  </r>
  <r>
    <x v="51"/>
    <x v="86"/>
    <n v="2022"/>
    <x v="3"/>
    <n v="23"/>
    <n v="5.82"/>
    <x v="4"/>
    <x v="1"/>
  </r>
  <r>
    <x v="53"/>
    <x v="86"/>
    <n v="2022"/>
    <x v="4"/>
    <n v="18"/>
    <n v="2.7"/>
    <x v="4"/>
    <x v="3"/>
  </r>
  <r>
    <x v="270"/>
    <x v="86"/>
    <n v="2022"/>
    <x v="2"/>
    <n v="145"/>
    <n v="34.590000000000003"/>
    <x v="4"/>
    <x v="3"/>
  </r>
  <r>
    <x v="271"/>
    <x v="86"/>
    <n v="2022"/>
    <x v="0"/>
    <n v="43.5"/>
    <n v="10.43"/>
    <x v="4"/>
    <x v="3"/>
  </r>
  <r>
    <x v="271"/>
    <x v="86"/>
    <n v="2022"/>
    <x v="5"/>
    <n v="145"/>
    <n v="34.64"/>
    <x v="4"/>
    <x v="3"/>
  </r>
  <r>
    <x v="271"/>
    <x v="86"/>
    <n v="2022"/>
    <x v="3"/>
    <n v="72.5"/>
    <n v="17.3"/>
    <x v="4"/>
    <x v="3"/>
  </r>
  <r>
    <x v="271"/>
    <x v="86"/>
    <n v="2022"/>
    <x v="1"/>
    <n v="87"/>
    <n v="20.74"/>
    <x v="4"/>
    <x v="3"/>
  </r>
  <r>
    <x v="271"/>
    <x v="86"/>
    <n v="2022"/>
    <x v="4"/>
    <n v="72.5"/>
    <n v="17.18"/>
    <x v="4"/>
    <x v="3"/>
  </r>
  <r>
    <x v="51"/>
    <x v="87"/>
    <n v="2022"/>
    <x v="5"/>
    <n v="21"/>
    <n v="3.83"/>
    <x v="0"/>
    <x v="1"/>
  </r>
  <r>
    <x v="270"/>
    <x v="87"/>
    <n v="2022"/>
    <x v="4"/>
    <n v="43.5"/>
    <n v="10.29"/>
    <x v="0"/>
    <x v="3"/>
  </r>
  <r>
    <x v="270"/>
    <x v="88"/>
    <n v="2022"/>
    <x v="1"/>
    <n v="28.5"/>
    <n v="6.4"/>
    <x v="2"/>
    <x v="3"/>
  </r>
  <r>
    <x v="271"/>
    <x v="88"/>
    <n v="2022"/>
    <x v="4"/>
    <n v="14.5"/>
    <n v="3.43"/>
    <x v="2"/>
    <x v="3"/>
  </r>
  <r>
    <x v="107"/>
    <x v="89"/>
    <n v="2022"/>
    <x v="1"/>
    <n v="106.5"/>
    <n v="50.2"/>
    <x v="4"/>
    <x v="4"/>
  </r>
  <r>
    <x v="326"/>
    <x v="89"/>
    <n v="2022"/>
    <x v="5"/>
    <n v="450"/>
    <n v="260.26"/>
    <x v="4"/>
    <x v="6"/>
  </r>
  <r>
    <x v="327"/>
    <x v="89"/>
    <n v="2022"/>
    <x v="1"/>
    <n v="450"/>
    <n v="260.26"/>
    <x v="4"/>
    <x v="5"/>
  </r>
  <r>
    <x v="51"/>
    <x v="90"/>
    <n v="2022"/>
    <x v="3"/>
    <n v="4"/>
    <n v="0.56000000000000005"/>
    <x v="0"/>
    <x v="1"/>
  </r>
  <r>
    <x v="7"/>
    <x v="90"/>
    <n v="2022"/>
    <x v="0"/>
    <n v="2.8"/>
    <n v="0.89"/>
    <x v="0"/>
    <x v="4"/>
  </r>
  <r>
    <x v="8"/>
    <x v="90"/>
    <n v="2022"/>
    <x v="5"/>
    <n v="5"/>
    <n v="1.17"/>
    <x v="0"/>
    <x v="1"/>
  </r>
  <r>
    <x v="224"/>
    <x v="90"/>
    <n v="2022"/>
    <x v="2"/>
    <n v="14"/>
    <n v="3.5"/>
    <x v="0"/>
    <x v="1"/>
  </r>
  <r>
    <x v="14"/>
    <x v="90"/>
    <n v="2022"/>
    <x v="0"/>
    <n v="2"/>
    <n v="0.22"/>
    <x v="0"/>
    <x v="5"/>
  </r>
  <r>
    <x v="15"/>
    <x v="90"/>
    <n v="2022"/>
    <x v="5"/>
    <n v="10"/>
    <n v="2.9"/>
    <x v="0"/>
    <x v="6"/>
  </r>
  <r>
    <x v="226"/>
    <x v="90"/>
    <n v="2022"/>
    <x v="5"/>
    <n v="10.33"/>
    <n v="7.11"/>
    <x v="0"/>
    <x v="4"/>
  </r>
  <r>
    <x v="18"/>
    <x v="90"/>
    <n v="2022"/>
    <x v="5"/>
    <n v="11.67"/>
    <n v="5.59"/>
    <x v="0"/>
    <x v="0"/>
  </r>
  <r>
    <x v="126"/>
    <x v="90"/>
    <n v="2022"/>
    <x v="5"/>
    <n v="19.5"/>
    <n v="6.9"/>
    <x v="0"/>
    <x v="0"/>
  </r>
  <r>
    <x v="34"/>
    <x v="90"/>
    <n v="2022"/>
    <x v="1"/>
    <n v="220"/>
    <n v="74.430000000000007"/>
    <x v="0"/>
    <x v="4"/>
  </r>
  <r>
    <x v="35"/>
    <x v="90"/>
    <n v="2022"/>
    <x v="4"/>
    <n v="330"/>
    <n v="-67.02"/>
    <x v="0"/>
    <x v="2"/>
  </r>
  <r>
    <x v="151"/>
    <x v="90"/>
    <n v="2022"/>
    <x v="4"/>
    <n v="40"/>
    <n v="21.33"/>
    <x v="0"/>
    <x v="4"/>
  </r>
  <r>
    <x v="328"/>
    <x v="90"/>
    <n v="2022"/>
    <x v="4"/>
    <n v="32.5"/>
    <n v="0.97"/>
    <x v="0"/>
    <x v="4"/>
  </r>
  <r>
    <x v="113"/>
    <x v="90"/>
    <n v="2022"/>
    <x v="1"/>
    <n v="25"/>
    <n v="0.93"/>
    <x v="0"/>
    <x v="4"/>
  </r>
  <r>
    <x v="329"/>
    <x v="90"/>
    <n v="2022"/>
    <x v="4"/>
    <n v="11"/>
    <n v="1.63"/>
    <x v="0"/>
    <x v="0"/>
  </r>
  <r>
    <x v="44"/>
    <x v="90"/>
    <n v="2022"/>
    <x v="5"/>
    <n v="10.5"/>
    <n v="-29.72"/>
    <x v="0"/>
    <x v="1"/>
  </r>
  <r>
    <x v="255"/>
    <x v="90"/>
    <n v="2022"/>
    <x v="0"/>
    <n v="8.6999999999999993"/>
    <n v="3.99"/>
    <x v="0"/>
    <x v="1"/>
  </r>
  <r>
    <x v="58"/>
    <x v="90"/>
    <n v="2022"/>
    <x v="0"/>
    <n v="7.5"/>
    <n v="2.84"/>
    <x v="0"/>
    <x v="5"/>
  </r>
  <r>
    <x v="214"/>
    <x v="91"/>
    <n v="2022"/>
    <x v="5"/>
    <n v="26"/>
    <n v="5.98"/>
    <x v="3"/>
    <x v="3"/>
  </r>
  <r>
    <x v="271"/>
    <x v="91"/>
    <n v="2022"/>
    <x v="2"/>
    <n v="17.5"/>
    <n v="-0.05"/>
    <x v="3"/>
    <x v="3"/>
  </r>
  <r>
    <x v="330"/>
    <x v="91"/>
    <n v="2022"/>
    <x v="4"/>
    <n v="52.5"/>
    <n v="-0.15"/>
    <x v="3"/>
    <x v="3"/>
  </r>
  <r>
    <x v="53"/>
    <x v="91"/>
    <n v="2022"/>
    <x v="2"/>
    <n v="18"/>
    <n v="2.56"/>
    <x v="3"/>
    <x v="3"/>
  </r>
  <r>
    <x v="54"/>
    <x v="91"/>
    <n v="2022"/>
    <x v="0"/>
    <n v="52.5"/>
    <n v="6.5"/>
    <x v="3"/>
    <x v="2"/>
  </r>
  <r>
    <x v="54"/>
    <x v="91"/>
    <n v="2022"/>
    <x v="5"/>
    <n v="52.5"/>
    <n v="6.59"/>
    <x v="3"/>
    <x v="2"/>
  </r>
  <r>
    <x v="54"/>
    <x v="91"/>
    <n v="2022"/>
    <x v="4"/>
    <n v="17.5"/>
    <n v="2.2000000000000002"/>
    <x v="3"/>
    <x v="2"/>
  </r>
  <r>
    <x v="270"/>
    <x v="91"/>
    <n v="2022"/>
    <x v="2"/>
    <n v="46.5"/>
    <n v="13.35"/>
    <x v="3"/>
    <x v="3"/>
  </r>
  <r>
    <x v="271"/>
    <x v="91"/>
    <n v="2022"/>
    <x v="0"/>
    <n v="100.26"/>
    <n v="23.06"/>
    <x v="3"/>
    <x v="3"/>
  </r>
  <r>
    <x v="271"/>
    <x v="91"/>
    <n v="2022"/>
    <x v="5"/>
    <n v="43.5"/>
    <n v="10.41"/>
    <x v="3"/>
    <x v="3"/>
  </r>
  <r>
    <x v="271"/>
    <x v="91"/>
    <n v="2022"/>
    <x v="3"/>
    <n v="72.5"/>
    <n v="17.3"/>
    <x v="3"/>
    <x v="3"/>
  </r>
  <r>
    <x v="271"/>
    <x v="91"/>
    <n v="2022"/>
    <x v="1"/>
    <n v="101.5"/>
    <n v="24.15"/>
    <x v="3"/>
    <x v="3"/>
  </r>
  <r>
    <x v="271"/>
    <x v="91"/>
    <n v="2022"/>
    <x v="4"/>
    <n v="15"/>
    <n v="3.93"/>
    <x v="3"/>
    <x v="3"/>
  </r>
  <r>
    <x v="7"/>
    <x v="91"/>
    <n v="2022"/>
    <x v="2"/>
    <n v="6.6"/>
    <n v="1.89"/>
    <x v="3"/>
    <x v="4"/>
  </r>
  <r>
    <x v="11"/>
    <x v="91"/>
    <n v="2022"/>
    <x v="2"/>
    <n v="23.37"/>
    <n v="6.84"/>
    <x v="3"/>
    <x v="3"/>
  </r>
  <r>
    <x v="12"/>
    <x v="91"/>
    <n v="2022"/>
    <x v="4"/>
    <n v="5"/>
    <n v="2.08"/>
    <x v="3"/>
    <x v="0"/>
  </r>
  <r>
    <x v="14"/>
    <x v="91"/>
    <n v="2022"/>
    <x v="2"/>
    <n v="3.03"/>
    <n v="1.42"/>
    <x v="3"/>
    <x v="5"/>
  </r>
  <r>
    <x v="15"/>
    <x v="91"/>
    <n v="2022"/>
    <x v="0"/>
    <n v="6.05"/>
    <n v="-11.7"/>
    <x v="3"/>
    <x v="6"/>
  </r>
  <r>
    <x v="100"/>
    <x v="91"/>
    <n v="2022"/>
    <x v="2"/>
    <n v="1.85"/>
    <n v="1.08"/>
    <x v="3"/>
    <x v="7"/>
  </r>
  <r>
    <x v="19"/>
    <x v="91"/>
    <n v="2022"/>
    <x v="0"/>
    <n v="14.3"/>
    <n v="-15.58"/>
    <x v="3"/>
    <x v="5"/>
  </r>
  <r>
    <x v="188"/>
    <x v="91"/>
    <n v="2022"/>
    <x v="2"/>
    <n v="2.91"/>
    <n v="1.67"/>
    <x v="3"/>
    <x v="0"/>
  </r>
  <r>
    <x v="21"/>
    <x v="91"/>
    <n v="2022"/>
    <x v="2"/>
    <n v="1.88"/>
    <n v="1.2"/>
    <x v="3"/>
    <x v="1"/>
  </r>
  <r>
    <x v="23"/>
    <x v="91"/>
    <n v="2022"/>
    <x v="3"/>
    <n v="4"/>
    <n v="2.66"/>
    <x v="3"/>
    <x v="5"/>
  </r>
  <r>
    <x v="275"/>
    <x v="91"/>
    <n v="2022"/>
    <x v="0"/>
    <n v="6.2"/>
    <n v="1.1599999999999999"/>
    <x v="3"/>
    <x v="0"/>
  </r>
  <r>
    <x v="276"/>
    <x v="91"/>
    <n v="2022"/>
    <x v="4"/>
    <n v="6.2"/>
    <n v="1.22"/>
    <x v="3"/>
    <x v="2"/>
  </r>
  <r>
    <x v="290"/>
    <x v="91"/>
    <n v="2022"/>
    <x v="4"/>
    <n v="19.600000000000001"/>
    <n v="-19.440000000000001"/>
    <x v="3"/>
    <x v="0"/>
  </r>
  <r>
    <x v="32"/>
    <x v="91"/>
    <n v="2022"/>
    <x v="5"/>
    <n v="24.5"/>
    <n v="13.35"/>
    <x v="3"/>
    <x v="0"/>
  </r>
  <r>
    <x v="33"/>
    <x v="91"/>
    <n v="2022"/>
    <x v="3"/>
    <n v="35"/>
    <n v="20.13"/>
    <x v="3"/>
    <x v="6"/>
  </r>
  <r>
    <x v="331"/>
    <x v="91"/>
    <n v="2022"/>
    <x v="0"/>
    <n v="20"/>
    <n v="7.3"/>
    <x v="3"/>
    <x v="7"/>
  </r>
  <r>
    <x v="332"/>
    <x v="91"/>
    <n v="2022"/>
    <x v="5"/>
    <n v="20.5"/>
    <n v="7.8"/>
    <x v="3"/>
    <x v="1"/>
  </r>
  <r>
    <x v="34"/>
    <x v="91"/>
    <n v="2022"/>
    <x v="1"/>
    <n v="120"/>
    <n v="57.5"/>
    <x v="3"/>
    <x v="4"/>
  </r>
  <r>
    <x v="35"/>
    <x v="91"/>
    <n v="2022"/>
    <x v="4"/>
    <n v="166"/>
    <n v="-6.04"/>
    <x v="3"/>
    <x v="2"/>
  </r>
  <r>
    <x v="250"/>
    <x v="91"/>
    <n v="2022"/>
    <x v="2"/>
    <n v="7"/>
    <n v="1.58"/>
    <x v="3"/>
    <x v="7"/>
  </r>
  <r>
    <x v="333"/>
    <x v="91"/>
    <n v="2022"/>
    <x v="0"/>
    <n v="98"/>
    <n v="22.26"/>
    <x v="3"/>
    <x v="6"/>
  </r>
  <r>
    <x v="333"/>
    <x v="91"/>
    <n v="2022"/>
    <x v="5"/>
    <n v="42"/>
    <n v="9.5399999999999991"/>
    <x v="3"/>
    <x v="6"/>
  </r>
  <r>
    <x v="333"/>
    <x v="91"/>
    <n v="2022"/>
    <x v="1"/>
    <n v="14"/>
    <n v="3.18"/>
    <x v="3"/>
    <x v="6"/>
  </r>
  <r>
    <x v="333"/>
    <x v="91"/>
    <n v="2022"/>
    <x v="4"/>
    <n v="28"/>
    <n v="6.36"/>
    <x v="3"/>
    <x v="6"/>
  </r>
  <r>
    <x v="163"/>
    <x v="91"/>
    <n v="2022"/>
    <x v="2"/>
    <n v="35.1"/>
    <n v="25.38"/>
    <x v="3"/>
    <x v="2"/>
  </r>
  <r>
    <x v="334"/>
    <x v="91"/>
    <n v="2022"/>
    <x v="0"/>
    <n v="35.1"/>
    <n v="25.38"/>
    <x v="3"/>
    <x v="3"/>
  </r>
  <r>
    <x v="204"/>
    <x v="91"/>
    <n v="2022"/>
    <x v="0"/>
    <n v="45.6"/>
    <n v="17.2"/>
    <x v="3"/>
    <x v="5"/>
  </r>
  <r>
    <x v="205"/>
    <x v="91"/>
    <n v="2022"/>
    <x v="2"/>
    <n v="64"/>
    <n v="38.72"/>
    <x v="3"/>
    <x v="7"/>
  </r>
  <r>
    <x v="132"/>
    <x v="91"/>
    <n v="2022"/>
    <x v="2"/>
    <n v="40"/>
    <n v="23.07"/>
    <x v="3"/>
    <x v="6"/>
  </r>
  <r>
    <x v="135"/>
    <x v="91"/>
    <n v="2022"/>
    <x v="1"/>
    <n v="11"/>
    <n v="6.76"/>
    <x v="3"/>
    <x v="4"/>
  </r>
  <r>
    <x v="335"/>
    <x v="91"/>
    <n v="2022"/>
    <x v="0"/>
    <n v="19.5"/>
    <n v="9.8699999999999992"/>
    <x v="3"/>
    <x v="1"/>
  </r>
  <r>
    <x v="105"/>
    <x v="91"/>
    <n v="2022"/>
    <x v="0"/>
    <n v="65"/>
    <n v="42.61"/>
    <x v="3"/>
    <x v="1"/>
  </r>
  <r>
    <x v="106"/>
    <x v="91"/>
    <n v="2022"/>
    <x v="5"/>
    <n v="60"/>
    <n v="38.04"/>
    <x v="3"/>
    <x v="6"/>
  </r>
  <r>
    <x v="41"/>
    <x v="91"/>
    <n v="2022"/>
    <x v="5"/>
    <n v="38"/>
    <n v="26.15"/>
    <x v="3"/>
    <x v="3"/>
  </r>
  <r>
    <x v="107"/>
    <x v="91"/>
    <n v="2022"/>
    <x v="0"/>
    <n v="40"/>
    <n v="24.21"/>
    <x v="3"/>
    <x v="4"/>
  </r>
  <r>
    <x v="336"/>
    <x v="91"/>
    <n v="2022"/>
    <x v="5"/>
    <n v="6"/>
    <n v="4.9000000000000004"/>
    <x v="3"/>
    <x v="2"/>
  </r>
  <r>
    <x v="166"/>
    <x v="91"/>
    <n v="2022"/>
    <x v="2"/>
    <n v="67.3"/>
    <n v="18.52"/>
    <x v="3"/>
    <x v="5"/>
  </r>
  <r>
    <x v="167"/>
    <x v="91"/>
    <n v="2022"/>
    <x v="0"/>
    <n v="67.3"/>
    <n v="18.52"/>
    <x v="3"/>
    <x v="3"/>
  </r>
  <r>
    <x v="87"/>
    <x v="91"/>
    <n v="2022"/>
    <x v="4"/>
    <n v="36"/>
    <n v="10.39"/>
    <x v="3"/>
    <x v="2"/>
  </r>
  <r>
    <x v="337"/>
    <x v="91"/>
    <n v="2022"/>
    <x v="5"/>
    <n v="130"/>
    <n v="73.540000000000006"/>
    <x v="3"/>
    <x v="5"/>
  </r>
  <r>
    <x v="294"/>
    <x v="91"/>
    <n v="2022"/>
    <x v="3"/>
    <n v="490"/>
    <n v="115.12"/>
    <x v="3"/>
    <x v="5"/>
  </r>
  <r>
    <x v="186"/>
    <x v="91"/>
    <n v="2022"/>
    <x v="0"/>
    <n v="93.75"/>
    <n v="65.709999999999994"/>
    <x v="3"/>
    <x v="0"/>
  </r>
  <r>
    <x v="151"/>
    <x v="91"/>
    <n v="2022"/>
    <x v="2"/>
    <n v="40"/>
    <n v="21.33"/>
    <x v="3"/>
    <x v="4"/>
  </r>
  <r>
    <x v="152"/>
    <x v="91"/>
    <n v="2022"/>
    <x v="0"/>
    <n v="280"/>
    <n v="149.32"/>
    <x v="3"/>
    <x v="5"/>
  </r>
  <r>
    <x v="152"/>
    <x v="91"/>
    <n v="2022"/>
    <x v="5"/>
    <n v="291"/>
    <n v="160.32"/>
    <x v="3"/>
    <x v="5"/>
  </r>
  <r>
    <x v="152"/>
    <x v="91"/>
    <n v="2022"/>
    <x v="3"/>
    <n v="80"/>
    <n v="42.66"/>
    <x v="3"/>
    <x v="5"/>
  </r>
  <r>
    <x v="152"/>
    <x v="91"/>
    <n v="2022"/>
    <x v="1"/>
    <n v="200"/>
    <n v="106.66"/>
    <x v="3"/>
    <x v="5"/>
  </r>
  <r>
    <x v="285"/>
    <x v="91"/>
    <n v="2022"/>
    <x v="5"/>
    <n v="75"/>
    <n v="47.88"/>
    <x v="3"/>
    <x v="1"/>
  </r>
  <r>
    <x v="338"/>
    <x v="91"/>
    <n v="2022"/>
    <x v="3"/>
    <n v="25"/>
    <n v="15.96"/>
    <x v="3"/>
    <x v="0"/>
  </r>
  <r>
    <x v="338"/>
    <x v="91"/>
    <n v="2022"/>
    <x v="1"/>
    <n v="25"/>
    <n v="15.96"/>
    <x v="3"/>
    <x v="0"/>
  </r>
  <r>
    <x v="328"/>
    <x v="91"/>
    <n v="2022"/>
    <x v="2"/>
    <n v="50"/>
    <n v="18.48"/>
    <x v="3"/>
    <x v="4"/>
  </r>
  <r>
    <x v="339"/>
    <x v="91"/>
    <n v="2022"/>
    <x v="0"/>
    <n v="39"/>
    <n v="7.48"/>
    <x v="3"/>
    <x v="4"/>
  </r>
  <r>
    <x v="44"/>
    <x v="91"/>
    <n v="2022"/>
    <x v="1"/>
    <n v="30"/>
    <n v="-140.43"/>
    <x v="3"/>
    <x v="1"/>
  </r>
  <r>
    <x v="58"/>
    <x v="91"/>
    <n v="2022"/>
    <x v="1"/>
    <n v="18"/>
    <n v="7.4"/>
    <x v="3"/>
    <x v="5"/>
  </r>
  <r>
    <x v="48"/>
    <x v="91"/>
    <n v="2022"/>
    <x v="2"/>
    <n v="44"/>
    <n v="16.899999999999999"/>
    <x v="3"/>
    <x v="6"/>
  </r>
  <r>
    <x v="49"/>
    <x v="91"/>
    <n v="2022"/>
    <x v="0"/>
    <n v="60"/>
    <n v="19.440000000000001"/>
    <x v="3"/>
    <x v="1"/>
  </r>
  <r>
    <x v="221"/>
    <x v="91"/>
    <n v="2022"/>
    <x v="0"/>
    <n v="70"/>
    <n v="58.25"/>
    <x v="3"/>
    <x v="6"/>
  </r>
  <r>
    <x v="340"/>
    <x v="91"/>
    <n v="2022"/>
    <x v="2"/>
    <n v="80"/>
    <n v="48.35"/>
    <x v="3"/>
    <x v="3"/>
  </r>
  <r>
    <x v="341"/>
    <x v="91"/>
    <n v="2022"/>
    <x v="5"/>
    <n v="120"/>
    <n v="72.52"/>
    <x v="3"/>
    <x v="0"/>
  </r>
  <r>
    <x v="341"/>
    <x v="91"/>
    <n v="2022"/>
    <x v="4"/>
    <n v="210"/>
    <n v="57.52"/>
    <x v="3"/>
    <x v="0"/>
  </r>
  <r>
    <x v="342"/>
    <x v="91"/>
    <n v="2022"/>
    <x v="5"/>
    <n v="10"/>
    <n v="7.08"/>
    <x v="3"/>
    <x v="0"/>
  </r>
  <r>
    <x v="343"/>
    <x v="91"/>
    <n v="2022"/>
    <x v="1"/>
    <n v="10"/>
    <n v="7.08"/>
    <x v="3"/>
    <x v="1"/>
  </r>
  <r>
    <x v="120"/>
    <x v="91"/>
    <n v="2022"/>
    <x v="1"/>
    <n v="44"/>
    <n v="18.38"/>
    <x v="3"/>
    <x v="6"/>
  </r>
  <r>
    <x v="120"/>
    <x v="92"/>
    <n v="2022"/>
    <x v="2"/>
    <n v="115.5"/>
    <n v="52.11"/>
    <x v="1"/>
    <x v="6"/>
  </r>
  <r>
    <x v="121"/>
    <x v="92"/>
    <n v="2022"/>
    <x v="5"/>
    <n v="312"/>
    <n v="107.04"/>
    <x v="1"/>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605B3C-1785-4E19-85D0-82BA534CC46E}" name="PivotTable4" cacheId="4" applyNumberFormats="0" applyBorderFormats="0" applyFontFormats="0" applyPatternFormats="0" applyAlignmentFormats="0" applyWidthHeightFormats="1" dataCaption="Values" missingCaption="0" updatedVersion="8" minRefreshableVersion="3" useAutoFormatting="1" itemPrintTitles="1" createdVersion="8" indent="0" outline="1" outlineData="1" multipleFieldFilters="0">
  <location ref="A3:H98" firstHeaderRow="1" firstDataRow="2" firstDataCol="1"/>
  <pivotFields count="10">
    <pivotField showAll="0"/>
    <pivotField axis="axisRow" showAll="0">
      <items count="94">
        <item x="62"/>
        <item x="67"/>
        <item x="39"/>
        <item x="24"/>
        <item x="19"/>
        <item x="45"/>
        <item x="65"/>
        <item x="42"/>
        <item x="5"/>
        <item x="8"/>
        <item x="81"/>
        <item x="6"/>
        <item x="79"/>
        <item x="48"/>
        <item x="25"/>
        <item x="11"/>
        <item x="36"/>
        <item x="76"/>
        <item x="29"/>
        <item x="28"/>
        <item x="53"/>
        <item x="9"/>
        <item x="32"/>
        <item x="4"/>
        <item x="15"/>
        <item x="72"/>
        <item x="64"/>
        <item x="85"/>
        <item x="23"/>
        <item x="14"/>
        <item x="89"/>
        <item x="46"/>
        <item x="61"/>
        <item x="7"/>
        <item x="54"/>
        <item x="52"/>
        <item x="13"/>
        <item x="44"/>
        <item x="74"/>
        <item x="26"/>
        <item x="12"/>
        <item x="20"/>
        <item x="78"/>
        <item x="68"/>
        <item x="66"/>
        <item x="34"/>
        <item x="60"/>
        <item x="57"/>
        <item x="59"/>
        <item x="18"/>
        <item x="55"/>
        <item x="10"/>
        <item x="91"/>
        <item x="21"/>
        <item x="37"/>
        <item x="80"/>
        <item x="43"/>
        <item x="92"/>
        <item x="82"/>
        <item x="1"/>
        <item x="75"/>
        <item x="38"/>
        <item x="63"/>
        <item x="86"/>
        <item x="17"/>
        <item x="50"/>
        <item x="73"/>
        <item x="87"/>
        <item x="31"/>
        <item x="33"/>
        <item x="47"/>
        <item x="77"/>
        <item x="40"/>
        <item x="16"/>
        <item x="71"/>
        <item x="0"/>
        <item x="27"/>
        <item x="49"/>
        <item x="70"/>
        <item x="56"/>
        <item x="84"/>
        <item x="90"/>
        <item x="51"/>
        <item x="30"/>
        <item x="58"/>
        <item x="69"/>
        <item x="22"/>
        <item x="2"/>
        <item x="83"/>
        <item x="35"/>
        <item x="41"/>
        <item x="88"/>
        <item x="3"/>
        <item t="default"/>
      </items>
    </pivotField>
    <pivotField showAll="0"/>
    <pivotField numFmtId="3" showAll="0"/>
    <pivotField dataField="1" numFmtId="4" showAll="0"/>
    <pivotField numFmtId="4" showAll="0"/>
    <pivotField axis="axisCol" showAll="0">
      <items count="7">
        <item x="0"/>
        <item x="1"/>
        <item x="4"/>
        <item x="2"/>
        <item x="5"/>
        <item x="3"/>
        <item t="default"/>
      </items>
    </pivotField>
    <pivotField showAll="0"/>
    <pivotField dragToRow="0" dragToCol="0" dragToPage="0" showAll="0" defaultSubtotal="0"/>
    <pivotField dragToRow="0" dragToCol="0" dragToPage="0" showAll="0" defaultSubtotal="0"/>
  </pivotFields>
  <rowFields count="1">
    <field x="1"/>
  </rowFields>
  <rowItems count="9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t="grand">
      <x/>
    </i>
  </rowItems>
  <colFields count="1">
    <field x="6"/>
  </colFields>
  <colItems count="7">
    <i>
      <x/>
    </i>
    <i>
      <x v="1"/>
    </i>
    <i>
      <x v="2"/>
    </i>
    <i>
      <x v="3"/>
    </i>
    <i>
      <x v="4"/>
    </i>
    <i>
      <x v="5"/>
    </i>
    <i t="grand">
      <x/>
    </i>
  </colItems>
  <dataFields count="1">
    <dataField name="Sum of Ingresos" fld="4"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2A1FE4-66EC-48CF-B41F-6B9E70547006}"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10" firstHeaderRow="0" firstDataRow="1" firstDataCol="1"/>
  <pivotFields count="10">
    <pivotField showAll="0"/>
    <pivotField showAll="0"/>
    <pivotField showAll="0"/>
    <pivotField numFmtId="3" showAll="0"/>
    <pivotField dataField="1" numFmtId="4" showAll="0"/>
    <pivotField numFmtId="4" showAll="0"/>
    <pivotField axis="axisRow" showAll="0">
      <items count="7">
        <item x="0"/>
        <item x="1"/>
        <item x="4"/>
        <item x="2"/>
        <item x="5"/>
        <item x="3"/>
        <item t="default"/>
      </items>
    </pivotField>
    <pivotField showAll="0"/>
    <pivotField dragToRow="0" dragToCol="0" dragToPage="0" showAll="0" defaultSubtotal="0"/>
    <pivotField dragToRow="0" dragToCol="0" dragToPage="0" showAll="0" defaultSubtotal="0"/>
  </pivotFields>
  <rowFields count="1">
    <field x="6"/>
  </rowFields>
  <rowItems count="7">
    <i>
      <x/>
    </i>
    <i>
      <x v="1"/>
    </i>
    <i>
      <x v="2"/>
    </i>
    <i>
      <x v="3"/>
    </i>
    <i>
      <x v="4"/>
    </i>
    <i>
      <x v="5"/>
    </i>
    <i t="grand">
      <x/>
    </i>
  </rowItems>
  <colFields count="1">
    <field x="-2"/>
  </colFields>
  <colItems count="2">
    <i>
      <x/>
    </i>
    <i i="1">
      <x v="1"/>
    </i>
  </colItems>
  <dataFields count="2">
    <dataField name="Sum of Ingresos" fld="4" baseField="0" baseItem="0" numFmtId="164"/>
    <dataField name="Sum of Ingresos2" fld="4" baseField="0" baseItem="0" numFmtId="164"/>
  </dataFields>
  <conditionalFormats count="1">
    <conditionalFormat priority="1">
      <pivotAreas count="1">
        <pivotArea type="data" collapsedLevelsAreSubtotals="1" fieldPosition="0">
          <references count="2">
            <reference field="4294967294" count="1" selected="0">
              <x v="1"/>
            </reference>
            <reference field="6" count="6">
              <x v="0"/>
              <x v="1"/>
              <x v="2"/>
              <x v="3"/>
              <x v="4"/>
              <x v="5"/>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A57CE6-9E69-4874-86C7-7003E77DC3B5}" name="Producto"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Top 5 Productos">
  <location ref="A3:D9" firstHeaderRow="0" firstDataRow="1" firstDataCol="1" rowPageCount="1" colPageCount="1"/>
  <pivotFields count="10">
    <pivotField axis="axisRow" showAll="0" measureFilter="1" sortType="descending">
      <items count="345">
        <item x="325"/>
        <item x="134"/>
        <item x="62"/>
        <item x="180"/>
        <item x="276"/>
        <item x="233"/>
        <item x="33"/>
        <item x="131"/>
        <item x="342"/>
        <item x="335"/>
        <item x="265"/>
        <item x="175"/>
        <item x="300"/>
        <item x="205"/>
        <item x="261"/>
        <item x="188"/>
        <item x="271"/>
        <item x="273"/>
        <item x="141"/>
        <item x="331"/>
        <item x="181"/>
        <item x="307"/>
        <item x="119"/>
        <item x="45"/>
        <item x="110"/>
        <item x="313"/>
        <item x="264"/>
        <item x="171"/>
        <item x="35"/>
        <item x="76"/>
        <item x="218"/>
        <item x="177"/>
        <item x="66"/>
        <item x="103"/>
        <item x="22"/>
        <item x="2"/>
        <item x="31"/>
        <item x="312"/>
        <item x="185"/>
        <item x="190"/>
        <item x="284"/>
        <item x="251"/>
        <item x="86"/>
        <item x="32"/>
        <item x="298"/>
        <item x="73"/>
        <item x="277"/>
        <item x="204"/>
        <item x="89"/>
        <item x="225"/>
        <item x="259"/>
        <item x="288"/>
        <item x="245"/>
        <item x="146"/>
        <item x="127"/>
        <item x="70"/>
        <item x="183"/>
        <item x="169"/>
        <item x="246"/>
        <item x="199"/>
        <item x="24"/>
        <item x="278"/>
        <item x="255"/>
        <item x="126"/>
        <item x="78"/>
        <item x="67"/>
        <item x="151"/>
        <item x="163"/>
        <item x="266"/>
        <item x="178"/>
        <item x="187"/>
        <item x="247"/>
        <item x="56"/>
        <item x="68"/>
        <item x="124"/>
        <item x="1"/>
        <item x="145"/>
        <item x="83"/>
        <item x="54"/>
        <item x="290"/>
        <item x="91"/>
        <item x="291"/>
        <item x="213"/>
        <item x="333"/>
        <item x="139"/>
        <item x="256"/>
        <item x="320"/>
        <item x="194"/>
        <item x="215"/>
        <item x="148"/>
        <item x="223"/>
        <item x="231"/>
        <item x="111"/>
        <item x="209"/>
        <item x="106"/>
        <item x="55"/>
        <item x="65"/>
        <item x="182"/>
        <item x="269"/>
        <item x="328"/>
        <item x="37"/>
        <item x="26"/>
        <item x="195"/>
        <item x="229"/>
        <item x="234"/>
        <item x="275"/>
        <item x="25"/>
        <item x="17"/>
        <item x="3"/>
        <item x="198"/>
        <item x="224"/>
        <item x="322"/>
        <item x="158"/>
        <item x="49"/>
        <item x="299"/>
        <item x="123"/>
        <item x="12"/>
        <item x="321"/>
        <item x="207"/>
        <item x="20"/>
        <item x="113"/>
        <item x="219"/>
        <item x="257"/>
        <item x="326"/>
        <item x="81"/>
        <item x="21"/>
        <item x="315"/>
        <item x="232"/>
        <item x="293"/>
        <item x="329"/>
        <item x="41"/>
        <item x="64"/>
        <item x="102"/>
        <item x="227"/>
        <item x="18"/>
        <item x="125"/>
        <item x="172"/>
        <item x="130"/>
        <item x="211"/>
        <item x="104"/>
        <item x="239"/>
        <item x="337"/>
        <item x="249"/>
        <item x="155"/>
        <item x="314"/>
        <item x="136"/>
        <item x="10"/>
        <item x="221"/>
        <item x="11"/>
        <item x="28"/>
        <item x="189"/>
        <item x="13"/>
        <item x="160"/>
        <item x="297"/>
        <item x="95"/>
        <item x="302"/>
        <item x="220"/>
        <item x="166"/>
        <item x="203"/>
        <item x="132"/>
        <item x="236"/>
        <item x="167"/>
        <item x="105"/>
        <item x="310"/>
        <item x="122"/>
        <item x="80"/>
        <item x="101"/>
        <item x="138"/>
        <item x="0"/>
        <item x="16"/>
        <item x="309"/>
        <item x="156"/>
        <item x="283"/>
        <item x="109"/>
        <item x="79"/>
        <item x="69"/>
        <item x="87"/>
        <item x="44"/>
        <item x="118"/>
        <item x="193"/>
        <item x="212"/>
        <item x="27"/>
        <item x="262"/>
        <item x="94"/>
        <item x="46"/>
        <item x="142"/>
        <item x="164"/>
        <item x="274"/>
        <item x="114"/>
        <item x="206"/>
        <item x="222"/>
        <item x="301"/>
        <item x="289"/>
        <item x="334"/>
        <item x="311"/>
        <item x="99"/>
        <item x="179"/>
        <item x="74"/>
        <item x="5"/>
        <item x="286"/>
        <item x="217"/>
        <item x="168"/>
        <item x="208"/>
        <item x="161"/>
        <item x="317"/>
        <item x="61"/>
        <item x="53"/>
        <item x="292"/>
        <item x="174"/>
        <item x="324"/>
        <item x="159"/>
        <item x="242"/>
        <item x="316"/>
        <item x="19"/>
        <item x="318"/>
        <item x="137"/>
        <item x="58"/>
        <item x="282"/>
        <item x="226"/>
        <item x="186"/>
        <item x="340"/>
        <item x="116"/>
        <item x="34"/>
        <item x="343"/>
        <item x="144"/>
        <item x="305"/>
        <item x="308"/>
        <item x="154"/>
        <item x="147"/>
        <item x="82"/>
        <item x="29"/>
        <item x="43"/>
        <item x="270"/>
        <item x="258"/>
        <item x="202"/>
        <item x="108"/>
        <item x="252"/>
        <item x="230"/>
        <item x="51"/>
        <item x="48"/>
        <item x="72"/>
        <item x="272"/>
        <item x="85"/>
        <item x="176"/>
        <item x="296"/>
        <item x="287"/>
        <item x="71"/>
        <item x="135"/>
        <item x="235"/>
        <item x="184"/>
        <item x="263"/>
        <item x="77"/>
        <item x="237"/>
        <item x="93"/>
        <item x="90"/>
        <item x="162"/>
        <item x="285"/>
        <item x="332"/>
        <item x="9"/>
        <item x="47"/>
        <item x="63"/>
        <item x="140"/>
        <item x="100"/>
        <item x="243"/>
        <item x="210"/>
        <item x="165"/>
        <item x="4"/>
        <item x="30"/>
        <item x="323"/>
        <item x="281"/>
        <item x="228"/>
        <item x="295"/>
        <item x="36"/>
        <item x="14"/>
        <item x="60"/>
        <item x="97"/>
        <item x="173"/>
        <item x="327"/>
        <item x="112"/>
        <item x="279"/>
        <item x="15"/>
        <item x="214"/>
        <item x="200"/>
        <item x="96"/>
        <item x="92"/>
        <item x="59"/>
        <item x="294"/>
        <item x="57"/>
        <item x="23"/>
        <item x="129"/>
        <item x="84"/>
        <item x="7"/>
        <item x="339"/>
        <item x="336"/>
        <item x="341"/>
        <item x="267"/>
        <item x="98"/>
        <item x="75"/>
        <item x="330"/>
        <item x="216"/>
        <item x="250"/>
        <item x="115"/>
        <item x="107"/>
        <item x="117"/>
        <item x="6"/>
        <item x="120"/>
        <item x="121"/>
        <item x="254"/>
        <item x="39"/>
        <item x="280"/>
        <item x="191"/>
        <item x="128"/>
        <item x="150"/>
        <item x="244"/>
        <item x="157"/>
        <item x="170"/>
        <item x="192"/>
        <item x="253"/>
        <item x="50"/>
        <item x="52"/>
        <item x="306"/>
        <item x="201"/>
        <item x="38"/>
        <item x="152"/>
        <item x="338"/>
        <item x="238"/>
        <item x="8"/>
        <item x="241"/>
        <item x="88"/>
        <item x="40"/>
        <item x="240"/>
        <item x="248"/>
        <item x="268"/>
        <item x="303"/>
        <item x="133"/>
        <item x="197"/>
        <item x="196"/>
        <item x="149"/>
        <item x="304"/>
        <item x="143"/>
        <item x="42"/>
        <item x="153"/>
        <item x="319"/>
        <item x="260"/>
        <item t="default"/>
      </items>
      <autoSortScope>
        <pivotArea dataOnly="0" outline="0" fieldPosition="0">
          <references count="1">
            <reference field="4294967294" count="1" selected="0">
              <x v="0"/>
            </reference>
          </references>
        </pivotArea>
      </autoSortScope>
    </pivotField>
    <pivotField showAll="0"/>
    <pivotField showAll="0"/>
    <pivotField axis="axisPage" numFmtId="3" showAll="0">
      <items count="7">
        <item x="2"/>
        <item x="0"/>
        <item x="5"/>
        <item x="3"/>
        <item x="1"/>
        <item x="4"/>
        <item t="default"/>
      </items>
    </pivotField>
    <pivotField dataField="1" numFmtId="4" showAll="0"/>
    <pivotField numFmtId="4" showAll="0"/>
    <pivotField showAll="0">
      <items count="7">
        <item x="0"/>
        <item x="1"/>
        <item x="4"/>
        <item x="2"/>
        <item x="5"/>
        <item x="3"/>
        <item t="default"/>
      </items>
    </pivotField>
    <pivotField showAll="0" measureFilter="1">
      <items count="9">
        <item x="5"/>
        <item x="4"/>
        <item x="2"/>
        <item x="0"/>
        <item x="3"/>
        <item x="6"/>
        <item x="7"/>
        <item x="1"/>
        <item t="default"/>
      </items>
    </pivotField>
    <pivotField dataField="1" dragToRow="0" dragToCol="0" dragToPage="0" showAll="0" defaultSubtotal="0"/>
    <pivotField dataField="1" dragToRow="0" dragToCol="0" dragToPage="0" showAll="0" defaultSubtotal="0"/>
  </pivotFields>
  <rowFields count="1">
    <field x="0"/>
  </rowFields>
  <rowItems count="6">
    <i>
      <x v="82"/>
    </i>
    <i>
      <x v="308"/>
    </i>
    <i>
      <x v="285"/>
    </i>
    <i>
      <x v="100"/>
    </i>
    <i>
      <x v="183"/>
    </i>
    <i t="grand">
      <x/>
    </i>
  </rowItems>
  <colFields count="1">
    <field x="-2"/>
  </colFields>
  <colItems count="3">
    <i>
      <x/>
    </i>
    <i i="1">
      <x v="1"/>
    </i>
    <i i="2">
      <x v="2"/>
    </i>
  </colItems>
  <pageFields count="1">
    <pageField fld="3" hier="-1"/>
  </pageFields>
  <dataFields count="3">
    <dataField name="Sum of Ingresos" fld="4" baseField="0" baseItem="0" numFmtId="164"/>
    <dataField name="Sum of Utilidad" fld="8" baseField="0" baseItem="0" numFmtId="4"/>
    <dataField name="Sum of Margen" fld="9" baseField="0" baseItem="0" numFmtId="4"/>
  </dataFields>
  <formats count="3">
    <format dxfId="122">
      <pivotArea outline="0" fieldPosition="0">
        <references count="1">
          <reference field="4294967294" count="1">
            <x v="0"/>
          </reference>
        </references>
      </pivotArea>
    </format>
    <format dxfId="121">
      <pivotArea collapsedLevelsAreSubtotals="1" fieldPosition="0">
        <references count="2">
          <reference field="4294967294" count="1" selected="0">
            <x v="1"/>
          </reference>
          <reference field="0" count="5">
            <x v="82"/>
            <x v="100"/>
            <x v="183"/>
            <x v="285"/>
            <x v="308"/>
          </reference>
        </references>
      </pivotArea>
    </format>
    <format dxfId="120">
      <pivotArea collapsedLevelsAreSubtotals="1" fieldPosition="0">
        <references count="2">
          <reference field="4294967294" count="1" selected="0">
            <x v="2"/>
          </reference>
          <reference field="0" count="5">
            <x v="82"/>
            <x v="100"/>
            <x v="183"/>
            <x v="285"/>
            <x v="308"/>
          </reference>
        </references>
      </pivotArea>
    </format>
  </formats>
  <conditionalFormats count="3">
    <conditionalFormat priority="26">
      <pivotAreas count="1">
        <pivotArea type="data" collapsedLevelsAreSubtotals="1" fieldPosition="0">
          <references count="2">
            <reference field="4294967294" count="1" selected="0">
              <x v="2"/>
            </reference>
            <reference field="0" count="5">
              <x v="82"/>
              <x v="100"/>
              <x v="183"/>
              <x v="285"/>
              <x v="308"/>
            </reference>
          </references>
        </pivotArea>
      </pivotAreas>
    </conditionalFormat>
    <conditionalFormat priority="27">
      <pivotAreas count="1">
        <pivotArea type="data" collapsedLevelsAreSubtotals="1" fieldPosition="0">
          <references count="2">
            <reference field="4294967294" count="1" selected="0">
              <x v="1"/>
            </reference>
            <reference field="0" count="5">
              <x v="82"/>
              <x v="100"/>
              <x v="183"/>
              <x v="285"/>
              <x v="308"/>
            </reference>
          </references>
        </pivotArea>
      </pivotAreas>
    </conditionalFormat>
    <conditionalFormat priority="28">
      <pivotAreas count="1">
        <pivotArea type="data" collapsedLevelsAreSubtotals="1" fieldPosition="0">
          <references count="2">
            <reference field="4294967294" count="1" selected="0">
              <x v="0"/>
            </reference>
            <reference field="0" count="5">
              <x v="82"/>
              <x v="100"/>
              <x v="183"/>
              <x v="285"/>
              <x v="308"/>
            </reference>
          </references>
        </pivotArea>
      </pivotAreas>
    </conditionalFormat>
  </conditionalFormats>
  <chartFormats count="3">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2">
    <filter fld="0" type="count" evalOrder="-1" id="3" iMeasureFld="0">
      <autoFilter ref="A1">
        <filterColumn colId="0">
          <top10 val="5" filterVal="5"/>
        </filterColumn>
      </autoFilter>
    </filter>
    <filter fld="7"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842D6D1-D902-40FA-9FB7-8670D09C0412}" name="Paise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N10" firstHeaderRow="0" firstDataRow="1" firstDataCol="1" rowPageCount="1" colPageCount="1"/>
  <pivotFields count="10">
    <pivotField showAll="0"/>
    <pivotField showAll="0"/>
    <pivotField showAll="0"/>
    <pivotField axis="axisPage" numFmtId="3" multipleItemSelectionAllowed="1" showAll="0">
      <items count="7">
        <item x="2"/>
        <item x="0"/>
        <item x="5"/>
        <item h="1" x="3"/>
        <item h="1" x="1"/>
        <item h="1" x="4"/>
        <item t="default"/>
      </items>
    </pivotField>
    <pivotField dataField="1" numFmtId="4" showAll="0"/>
    <pivotField numFmtId="4" showAll="0"/>
    <pivotField axis="axisRow" showAll="0" sortType="descending">
      <items count="7">
        <item x="0"/>
        <item x="1"/>
        <item x="4"/>
        <item x="2"/>
        <item x="5"/>
        <item x="3"/>
        <item t="default"/>
      </items>
      <autoSortScope>
        <pivotArea dataOnly="0" outline="0" fieldPosition="0">
          <references count="1">
            <reference field="4294967294" count="1" selected="0">
              <x v="0"/>
            </reference>
          </references>
        </pivotArea>
      </autoSortScope>
    </pivotField>
    <pivotField showAll="0"/>
    <pivotField dataField="1" dragToRow="0" dragToCol="0" dragToPage="0" showAll="0" defaultSubtotal="0"/>
    <pivotField dataField="1" dragToRow="0" dragToCol="0" dragToPage="0" showAll="0" defaultSubtotal="0"/>
  </pivotFields>
  <rowFields count="1">
    <field x="6"/>
  </rowFields>
  <rowItems count="7">
    <i>
      <x v="2"/>
    </i>
    <i>
      <x v="1"/>
    </i>
    <i>
      <x v="5"/>
    </i>
    <i>
      <x v="4"/>
    </i>
    <i>
      <x/>
    </i>
    <i>
      <x v="3"/>
    </i>
    <i t="grand">
      <x/>
    </i>
  </rowItems>
  <colFields count="1">
    <field x="-2"/>
  </colFields>
  <colItems count="3">
    <i>
      <x/>
    </i>
    <i i="1">
      <x v="1"/>
    </i>
    <i i="2">
      <x v="2"/>
    </i>
  </colItems>
  <pageFields count="1">
    <pageField fld="3" hier="-1"/>
  </pageFields>
  <dataFields count="3">
    <dataField name="$ Ingresos" fld="4" baseField="6" baseItem="2" numFmtId="164"/>
    <dataField name="$ Utilidad" fld="8" baseField="6" baseItem="2" numFmtId="4"/>
    <dataField name="% Margen" fld="9" baseField="6" baseItem="2" numFmtId="10"/>
  </dataFields>
  <formats count="6">
    <format dxfId="128">
      <pivotArea collapsedLevelsAreSubtotals="1" fieldPosition="0">
        <references count="1">
          <reference field="6" count="1">
            <x v="0"/>
          </reference>
        </references>
      </pivotArea>
    </format>
    <format dxfId="127">
      <pivotArea collapsedLevelsAreSubtotals="1" fieldPosition="0">
        <references count="1">
          <reference field="6" count="1">
            <x v="2"/>
          </reference>
        </references>
      </pivotArea>
    </format>
    <format dxfId="126">
      <pivotArea outline="0" fieldPosition="0">
        <references count="1">
          <reference field="4294967294" count="1">
            <x v="0"/>
          </reference>
        </references>
      </pivotArea>
    </format>
    <format dxfId="125">
      <pivotArea collapsedLevelsAreSubtotals="1" fieldPosition="0">
        <references count="2">
          <reference field="4294967294" count="1" selected="0">
            <x v="1"/>
          </reference>
          <reference field="6" count="1">
            <x v="1"/>
          </reference>
        </references>
      </pivotArea>
    </format>
    <format dxfId="124">
      <pivotArea collapsedLevelsAreSubtotals="1" fieldPosition="0">
        <references count="2">
          <reference field="4294967294" count="1" selected="0">
            <x v="2"/>
          </reference>
          <reference field="6" count="1">
            <x v="1"/>
          </reference>
        </references>
      </pivotArea>
    </format>
    <format dxfId="123">
      <pivotArea outline="0" fieldPosition="0">
        <references count="1">
          <reference field="4294967294" count="1">
            <x v="2"/>
          </reference>
        </references>
      </pivotArea>
    </format>
  </formats>
  <conditionalFormats count="6">
    <conditionalFormat priority="1">
      <pivotAreas count="1">
        <pivotArea type="data" collapsedLevelsAreSubtotals="1" fieldPosition="0">
          <references count="2">
            <reference field="4294967294" count="1" selected="0">
              <x v="2"/>
            </reference>
            <reference field="6" count="5">
              <x v="0"/>
              <x v="1"/>
              <x v="2"/>
              <x v="3"/>
              <x v="4"/>
            </reference>
          </references>
        </pivotArea>
      </pivotAreas>
    </conditionalFormat>
    <conditionalFormat priority="2">
      <pivotAreas count="1">
        <pivotArea type="data" collapsedLevelsAreSubtotals="1" fieldPosition="0">
          <references count="2">
            <reference field="4294967294" count="1" selected="0">
              <x v="2"/>
            </reference>
            <reference field="6" count="1">
              <x v="5"/>
            </reference>
          </references>
        </pivotArea>
      </pivotAreas>
    </conditionalFormat>
    <conditionalFormat priority="3">
      <pivotAreas count="1">
        <pivotArea type="data" collapsedLevelsAreSubtotals="1" fieldPosition="0">
          <references count="2">
            <reference field="4294967294" count="1" selected="0">
              <x v="1"/>
            </reference>
            <reference field="6" count="5">
              <x v="1"/>
              <x v="2"/>
              <x v="3"/>
              <x v="4"/>
              <x v="5"/>
            </reference>
          </references>
        </pivotArea>
      </pivotAreas>
    </conditionalFormat>
    <conditionalFormat priority="4">
      <pivotAreas count="1">
        <pivotArea type="data" collapsedLevelsAreSubtotals="1" fieldPosition="0">
          <references count="2">
            <reference field="4294967294" count="1" selected="0">
              <x v="1"/>
            </reference>
            <reference field="6" count="1">
              <x v="0"/>
            </reference>
          </references>
        </pivotArea>
      </pivotAreas>
    </conditionalFormat>
    <conditionalFormat priority="7">
      <pivotAreas count="1">
        <pivotArea type="data" collapsedLevelsAreSubtotals="1" fieldPosition="0">
          <references count="2">
            <reference field="4294967294" count="1" selected="0">
              <x v="0"/>
            </reference>
            <reference field="6" count="5">
              <x v="1"/>
              <x v="2"/>
              <x v="3"/>
              <x v="4"/>
              <x v="5"/>
            </reference>
          </references>
        </pivotArea>
      </pivotAreas>
    </conditionalFormat>
    <conditionalFormat priority="8">
      <pivotAreas count="1">
        <pivotArea type="data" collapsedLevelsAreSubtotals="1" fieldPosition="0">
          <references count="2">
            <reference field="4294967294" count="1" selected="0">
              <x v="0"/>
            </reference>
            <reference field="6" count="1">
              <x v="0"/>
            </reference>
          </references>
        </pivotArea>
      </pivotAreas>
    </conditionalFormat>
  </conditional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B9F7F3-8F83-4905-942B-4B5E09265C98}" name="Client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Top 10 Clientes">
  <location ref="F3:I14" firstHeaderRow="0" firstDataRow="1" firstDataCol="1" rowPageCount="1" colPageCount="1"/>
  <pivotFields count="10">
    <pivotField showAll="0"/>
    <pivotField axis="axisRow" showAll="0" measureFilter="1">
      <items count="94">
        <item x="62"/>
        <item x="67"/>
        <item x="39"/>
        <item x="24"/>
        <item x="19"/>
        <item x="45"/>
        <item x="65"/>
        <item x="42"/>
        <item x="5"/>
        <item x="8"/>
        <item x="81"/>
        <item x="6"/>
        <item x="79"/>
        <item x="48"/>
        <item x="25"/>
        <item x="11"/>
        <item x="36"/>
        <item x="76"/>
        <item x="29"/>
        <item x="28"/>
        <item x="53"/>
        <item x="9"/>
        <item x="32"/>
        <item x="4"/>
        <item x="15"/>
        <item x="72"/>
        <item x="64"/>
        <item x="85"/>
        <item x="23"/>
        <item x="14"/>
        <item x="89"/>
        <item x="46"/>
        <item x="61"/>
        <item x="7"/>
        <item x="54"/>
        <item x="52"/>
        <item x="13"/>
        <item x="44"/>
        <item x="74"/>
        <item x="26"/>
        <item x="12"/>
        <item x="20"/>
        <item x="78"/>
        <item x="68"/>
        <item x="66"/>
        <item x="34"/>
        <item x="60"/>
        <item x="57"/>
        <item x="59"/>
        <item x="18"/>
        <item x="55"/>
        <item x="10"/>
        <item x="91"/>
        <item x="21"/>
        <item x="37"/>
        <item x="80"/>
        <item x="43"/>
        <item x="92"/>
        <item x="82"/>
        <item x="1"/>
        <item x="75"/>
        <item x="38"/>
        <item x="63"/>
        <item x="86"/>
        <item x="17"/>
        <item x="50"/>
        <item x="73"/>
        <item x="87"/>
        <item x="31"/>
        <item x="33"/>
        <item x="47"/>
        <item x="77"/>
        <item x="40"/>
        <item x="16"/>
        <item x="71"/>
        <item x="0"/>
        <item x="27"/>
        <item x="49"/>
        <item x="70"/>
        <item x="56"/>
        <item x="84"/>
        <item x="90"/>
        <item x="51"/>
        <item x="30"/>
        <item x="58"/>
        <item x="69"/>
        <item x="22"/>
        <item x="2"/>
        <item x="83"/>
        <item x="35"/>
        <item x="41"/>
        <item x="88"/>
        <item x="3"/>
        <item t="default"/>
      </items>
    </pivotField>
    <pivotField showAll="0"/>
    <pivotField axis="axisPage" numFmtId="3" showAll="0">
      <items count="7">
        <item x="2"/>
        <item x="0"/>
        <item x="5"/>
        <item x="3"/>
        <item x="1"/>
        <item x="4"/>
        <item t="default"/>
      </items>
    </pivotField>
    <pivotField dataField="1" numFmtId="4" showAll="0"/>
    <pivotField numFmtId="4" showAll="0"/>
    <pivotField showAll="0">
      <items count="7">
        <item x="0"/>
        <item x="1"/>
        <item x="4"/>
        <item x="2"/>
        <item x="5"/>
        <item x="3"/>
        <item t="default"/>
      </items>
    </pivotField>
    <pivotField showAll="0"/>
    <pivotField dataField="1" dragToRow="0" dragToCol="0" dragToPage="0" showAll="0" defaultSubtotal="0"/>
    <pivotField dataField="1" dragToRow="0" dragToCol="0" dragToPage="0" showAll="0" defaultSubtotal="0"/>
  </pivotFields>
  <rowFields count="1">
    <field x="1"/>
  </rowFields>
  <rowItems count="11">
    <i>
      <x v="3"/>
    </i>
    <i>
      <x v="9"/>
    </i>
    <i>
      <x v="14"/>
    </i>
    <i>
      <x v="15"/>
    </i>
    <i>
      <x v="21"/>
    </i>
    <i>
      <x v="28"/>
    </i>
    <i>
      <x v="39"/>
    </i>
    <i>
      <x v="40"/>
    </i>
    <i>
      <x v="51"/>
    </i>
    <i>
      <x v="76"/>
    </i>
    <i t="grand">
      <x/>
    </i>
  </rowItems>
  <colFields count="1">
    <field x="-2"/>
  </colFields>
  <colItems count="3">
    <i>
      <x/>
    </i>
    <i i="1">
      <x v="1"/>
    </i>
    <i i="2">
      <x v="2"/>
    </i>
  </colItems>
  <pageFields count="1">
    <pageField fld="3" hier="-1"/>
  </pageFields>
  <dataFields count="3">
    <dataField name="Sum of Ingresos" fld="4" baseField="0" baseItem="0" numFmtId="164"/>
    <dataField name="Sum of Utilidad" fld="8" baseField="0" baseItem="0" numFmtId="164"/>
    <dataField name="Sum of Margen" fld="9" baseField="0" baseItem="0" numFmtId="10"/>
  </dataFields>
  <formats count="3">
    <format dxfId="131">
      <pivotArea outline="0" fieldPosition="0">
        <references count="1">
          <reference field="4294967294" count="1">
            <x v="0"/>
          </reference>
        </references>
      </pivotArea>
    </format>
    <format dxfId="130">
      <pivotArea outline="0" fieldPosition="0">
        <references count="1">
          <reference field="4294967294" count="1">
            <x v="1"/>
          </reference>
        </references>
      </pivotArea>
    </format>
    <format dxfId="129">
      <pivotArea outline="0" fieldPosition="0">
        <references count="1">
          <reference field="4294967294" count="1">
            <x v="2"/>
          </reference>
        </references>
      </pivotArea>
    </format>
  </formats>
  <conditionalFormats count="3">
    <conditionalFormat priority="29">
      <pivotAreas count="1">
        <pivotArea type="data" collapsedLevelsAreSubtotals="1" fieldPosition="0">
          <references count="2">
            <reference field="4294967294" count="1" selected="0">
              <x v="2"/>
            </reference>
            <reference field="1" count="10">
              <x v="3"/>
              <x v="9"/>
              <x v="14"/>
              <x v="15"/>
              <x v="21"/>
              <x v="28"/>
              <x v="39"/>
              <x v="40"/>
              <x v="51"/>
              <x v="76"/>
            </reference>
          </references>
        </pivotArea>
      </pivotAreas>
    </conditionalFormat>
    <conditionalFormat priority="30">
      <pivotAreas count="1">
        <pivotArea type="data" collapsedLevelsAreSubtotals="1" fieldPosition="0">
          <references count="2">
            <reference field="4294967294" count="1" selected="0">
              <x v="1"/>
            </reference>
            <reference field="1" count="10">
              <x v="3"/>
              <x v="9"/>
              <x v="14"/>
              <x v="15"/>
              <x v="21"/>
              <x v="28"/>
              <x v="39"/>
              <x v="40"/>
              <x v="51"/>
              <x v="76"/>
            </reference>
          </references>
        </pivotArea>
      </pivotAreas>
    </conditionalFormat>
    <conditionalFormat priority="31">
      <pivotAreas count="1">
        <pivotArea type="data" collapsedLevelsAreSubtotals="1" fieldPosition="0">
          <references count="2">
            <reference field="4294967294" count="1" selected="0">
              <x v="0"/>
            </reference>
            <reference field="1" count="10">
              <x v="3"/>
              <x v="9"/>
              <x v="14"/>
              <x v="15"/>
              <x v="21"/>
              <x v="28"/>
              <x v="39"/>
              <x v="40"/>
              <x v="51"/>
              <x v="76"/>
            </reference>
          </references>
        </pivotArea>
      </pivotAreas>
    </conditionalFormat>
  </conditionalFormats>
  <chartFormats count="3">
    <chartFormat chart="0" format="3" series="1">
      <pivotArea type="data" outline="0" fieldPosition="0">
        <references count="1">
          <reference field="4294967294" count="1" selected="0">
            <x v="0"/>
          </reference>
        </references>
      </pivotArea>
    </chartFormat>
    <chartFormat chart="0" format="4" series="1">
      <pivotArea type="data" outline="0" fieldPosition="0">
        <references count="1">
          <reference field="4294967294" count="1" selected="0">
            <x v="1"/>
          </reference>
        </references>
      </pivotArea>
    </chartFormat>
    <chartFormat chart="0" format="5"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F22739C-270B-4B73-AB86-913B7E932ECF}"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8:B25" firstHeaderRow="1" firstDataRow="1" firstDataCol="1"/>
  <pivotFields count="10">
    <pivotField showAll="0"/>
    <pivotField showAll="0"/>
    <pivotField showAll="0"/>
    <pivotField axis="axisRow" numFmtId="3" showAll="0">
      <items count="7">
        <item x="2"/>
        <item x="0"/>
        <item x="5"/>
        <item x="3"/>
        <item x="1"/>
        <item x="4"/>
        <item t="default"/>
      </items>
    </pivotField>
    <pivotField dataField="1" numFmtId="4" showAll="0"/>
    <pivotField numFmtId="4" showAll="0"/>
    <pivotField showAll="0"/>
    <pivotField showAll="0"/>
    <pivotField dragToRow="0" dragToCol="0" dragToPage="0" showAll="0" defaultSubtotal="0"/>
    <pivotField dragToRow="0" dragToCol="0" dragToPage="0" showAll="0" defaultSubtotal="0"/>
  </pivotFields>
  <rowFields count="1">
    <field x="3"/>
  </rowFields>
  <rowItems count="7">
    <i>
      <x/>
    </i>
    <i>
      <x v="1"/>
    </i>
    <i>
      <x v="2"/>
    </i>
    <i>
      <x v="3"/>
    </i>
    <i>
      <x v="4"/>
    </i>
    <i>
      <x v="5"/>
    </i>
    <i t="grand">
      <x/>
    </i>
  </rowItems>
  <colItems count="1">
    <i/>
  </colItems>
  <dataFields count="1">
    <dataField name="Sum of Ingresos" fld="4" baseField="0" baseItem="0" numFmtId="164"/>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BCBC86-E628-43C9-BE3D-1450DB1CAFAD}"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8" firstHeaderRow="1" firstDataRow="1" firstDataCol="1"/>
  <pivotFields count="10">
    <pivotField showAll="0"/>
    <pivotField showAll="0"/>
    <pivotField showAll="0"/>
    <pivotField axis="axisRow" numFmtId="3" showAll="0">
      <items count="7">
        <item x="2"/>
        <item x="0"/>
        <item x="5"/>
        <item x="3"/>
        <item x="1"/>
        <item x="4"/>
        <item t="default"/>
      </items>
    </pivotField>
    <pivotField numFmtId="4" showAll="0"/>
    <pivotField numFmtId="4" showAll="0"/>
    <pivotField showAll="0"/>
    <pivotField showAll="0"/>
    <pivotField dragToRow="0" dragToCol="0" dragToPage="0" showAll="0" defaultSubtotal="0"/>
    <pivotField dataField="1" dragToRow="0" dragToCol="0" dragToPage="0" showAll="0" defaultSubtotal="0"/>
  </pivotFields>
  <rowFields count="1">
    <field x="3"/>
  </rowFields>
  <rowItems count="7">
    <i>
      <x/>
    </i>
    <i>
      <x v="1"/>
    </i>
    <i>
      <x v="2"/>
    </i>
    <i>
      <x v="3"/>
    </i>
    <i>
      <x v="4"/>
    </i>
    <i>
      <x v="5"/>
    </i>
    <i t="grand">
      <x/>
    </i>
  </rowItems>
  <colItems count="1">
    <i/>
  </colItems>
  <dataFields count="1">
    <dataField name="Sum of Margen" fld="9"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4DF492E-3449-4319-A868-3029F496A001}"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0:H48" firstHeaderRow="1" firstDataRow="2" firstDataCol="1"/>
  <pivotFields count="10">
    <pivotField showAll="0"/>
    <pivotField showAll="0"/>
    <pivotField showAll="0"/>
    <pivotField axis="axisRow" numFmtId="3" showAll="0">
      <items count="7">
        <item x="2"/>
        <item x="0"/>
        <item x="5"/>
        <item x="3"/>
        <item x="1"/>
        <item x="4"/>
        <item t="default"/>
      </items>
    </pivotField>
    <pivotField numFmtId="4" showAll="0"/>
    <pivotField numFmtId="4" showAll="0"/>
    <pivotField axis="axisCol" showAll="0">
      <items count="7">
        <item x="0"/>
        <item x="1"/>
        <item x="4"/>
        <item x="2"/>
        <item x="5"/>
        <item x="3"/>
        <item t="default"/>
      </items>
    </pivotField>
    <pivotField showAll="0"/>
    <pivotField dataField="1" dragToRow="0" dragToCol="0" dragToPage="0" showAll="0" defaultSubtotal="0"/>
    <pivotField dragToRow="0" dragToCol="0" dragToPage="0" showAll="0" defaultSubtotal="0"/>
  </pivotFields>
  <rowFields count="1">
    <field x="3"/>
  </rowFields>
  <rowItems count="7">
    <i>
      <x/>
    </i>
    <i>
      <x v="1"/>
    </i>
    <i>
      <x v="2"/>
    </i>
    <i>
      <x v="3"/>
    </i>
    <i>
      <x v="4"/>
    </i>
    <i>
      <x v="5"/>
    </i>
    <i t="grand">
      <x/>
    </i>
  </rowItems>
  <colFields count="1">
    <field x="6"/>
  </colFields>
  <colItems count="7">
    <i>
      <x/>
    </i>
    <i>
      <x v="1"/>
    </i>
    <i>
      <x v="2"/>
    </i>
    <i>
      <x v="3"/>
    </i>
    <i>
      <x v="4"/>
    </i>
    <i>
      <x v="5"/>
    </i>
    <i t="grand">
      <x/>
    </i>
  </colItems>
  <dataFields count="1">
    <dataField name="Sum of Utilidad" fld="8" baseField="0" baseItem="0" numFmtId="4"/>
  </dataFields>
  <chartFormats count="6">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64B778E-0B94-4B2B-AE45-C24929AB0BBD}"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H11" firstHeaderRow="1" firstDataRow="2" firstDataCol="1"/>
  <pivotFields count="10">
    <pivotField showAll="0"/>
    <pivotField showAll="0"/>
    <pivotField showAll="0"/>
    <pivotField axis="axisCol" numFmtId="3" showAll="0">
      <items count="7">
        <item x="2"/>
        <item x="0"/>
        <item x="5"/>
        <item x="3"/>
        <item x="1"/>
        <item x="4"/>
        <item t="default"/>
      </items>
    </pivotField>
    <pivotField dataField="1" numFmtId="4" showAll="0"/>
    <pivotField numFmtId="4" showAll="0"/>
    <pivotField showAll="0">
      <items count="7">
        <item x="0"/>
        <item x="1"/>
        <item x="4"/>
        <item x="2"/>
        <item x="5"/>
        <item x="3"/>
        <item t="default"/>
      </items>
    </pivotField>
    <pivotField axis="axisRow" showAll="0" sortType="ascending">
      <items count="9">
        <item x="5"/>
        <item x="4"/>
        <item x="2"/>
        <item x="0"/>
        <item x="3"/>
        <item x="6"/>
        <item x="7"/>
        <item x="1"/>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 dragToRow="0" dragToCol="0" dragToPage="0" showAll="0" defaultSubtotal="0"/>
  </pivotFields>
  <rowFields count="1">
    <field x="7"/>
  </rowFields>
  <rowItems count="9">
    <i>
      <x v="7"/>
    </i>
    <i>
      <x v="1"/>
    </i>
    <i>
      <x v="5"/>
    </i>
    <i>
      <x v="3"/>
    </i>
    <i>
      <x v="4"/>
    </i>
    <i>
      <x v="2"/>
    </i>
    <i>
      <x/>
    </i>
    <i>
      <x v="6"/>
    </i>
    <i t="grand">
      <x/>
    </i>
  </rowItems>
  <colFields count="1">
    <field x="3"/>
  </colFields>
  <colItems count="7">
    <i>
      <x/>
    </i>
    <i>
      <x v="1"/>
    </i>
    <i>
      <x v="2"/>
    </i>
    <i>
      <x v="3"/>
    </i>
    <i>
      <x v="4"/>
    </i>
    <i>
      <x v="5"/>
    </i>
    <i t="grand">
      <x/>
    </i>
  </colItems>
  <dataFields count="1">
    <dataField name="Sum of Ingresos" fld="4" baseField="0" baseItem="0" numFmtId="164"/>
  </dataFields>
  <chartFormats count="19">
    <chartFormat chart="0" format="3" series="1">
      <pivotArea type="data" outline="0" fieldPosition="0">
        <references count="1">
          <reference field="4294967294" count="1" selected="0">
            <x v="0"/>
          </reference>
        </references>
      </pivotArea>
    </chartFormat>
    <chartFormat chart="0" format="9" series="1">
      <pivotArea type="data" outline="0" fieldPosition="0">
        <references count="2">
          <reference field="4294967294" count="1" selected="0">
            <x v="0"/>
          </reference>
          <reference field="3" count="1" selected="0">
            <x v="1"/>
          </reference>
        </references>
      </pivotArea>
    </chartFormat>
    <chartFormat chart="0" format="10" series="1">
      <pivotArea type="data" outline="0" fieldPosition="0">
        <references count="2">
          <reference field="4294967294" count="1" selected="0">
            <x v="0"/>
          </reference>
          <reference field="3" count="1" selected="0">
            <x v="2"/>
          </reference>
        </references>
      </pivotArea>
    </chartFormat>
    <chartFormat chart="0" format="11" series="1">
      <pivotArea type="data" outline="0" fieldPosition="0">
        <references count="2">
          <reference field="4294967294" count="1" selected="0">
            <x v="0"/>
          </reference>
          <reference field="3" count="1" selected="0">
            <x v="3"/>
          </reference>
        </references>
      </pivotArea>
    </chartFormat>
    <chartFormat chart="0" format="12" series="1">
      <pivotArea type="data" outline="0" fieldPosition="0">
        <references count="2">
          <reference field="4294967294" count="1" selected="0">
            <x v="0"/>
          </reference>
          <reference field="3" count="1" selected="0">
            <x v="4"/>
          </reference>
        </references>
      </pivotArea>
    </chartFormat>
    <chartFormat chart="0" format="13" series="1">
      <pivotArea type="data" outline="0" fieldPosition="0">
        <references count="2">
          <reference field="4294967294" count="1" selected="0">
            <x v="0"/>
          </reference>
          <reference field="3" count="1" selected="0">
            <x v="5"/>
          </reference>
        </references>
      </pivotArea>
    </chartFormat>
    <chartFormat chart="3" format="25" series="1">
      <pivotArea type="data" outline="0" fieldPosition="0">
        <references count="2">
          <reference field="4294967294" count="1" selected="0">
            <x v="0"/>
          </reference>
          <reference field="3" count="1" selected="0">
            <x v="0"/>
          </reference>
        </references>
      </pivotArea>
    </chartFormat>
    <chartFormat chart="3" format="26" series="1">
      <pivotArea type="data" outline="0" fieldPosition="0">
        <references count="2">
          <reference field="4294967294" count="1" selected="0">
            <x v="0"/>
          </reference>
          <reference field="3" count="1" selected="0">
            <x v="1"/>
          </reference>
        </references>
      </pivotArea>
    </chartFormat>
    <chartFormat chart="3" format="27" series="1">
      <pivotArea type="data" outline="0" fieldPosition="0">
        <references count="2">
          <reference field="4294967294" count="1" selected="0">
            <x v="0"/>
          </reference>
          <reference field="3" count="1" selected="0">
            <x v="2"/>
          </reference>
        </references>
      </pivotArea>
    </chartFormat>
    <chartFormat chart="3" format="28" series="1">
      <pivotArea type="data" outline="0" fieldPosition="0">
        <references count="2">
          <reference field="4294967294" count="1" selected="0">
            <x v="0"/>
          </reference>
          <reference field="3" count="1" selected="0">
            <x v="3"/>
          </reference>
        </references>
      </pivotArea>
    </chartFormat>
    <chartFormat chart="3" format="29" series="1">
      <pivotArea type="data" outline="0" fieldPosition="0">
        <references count="2">
          <reference field="4294967294" count="1" selected="0">
            <x v="0"/>
          </reference>
          <reference field="3" count="1" selected="0">
            <x v="4"/>
          </reference>
        </references>
      </pivotArea>
    </chartFormat>
    <chartFormat chart="3" format="30" series="1">
      <pivotArea type="data" outline="0" fieldPosition="0">
        <references count="2">
          <reference field="4294967294" count="1" selected="0">
            <x v="0"/>
          </reference>
          <reference field="3" count="1" selected="0">
            <x v="5"/>
          </reference>
        </references>
      </pivotArea>
    </chartFormat>
    <chartFormat chart="8" format="37" series="1">
      <pivotArea type="data" outline="0" fieldPosition="0">
        <references count="2">
          <reference field="4294967294" count="1" selected="0">
            <x v="0"/>
          </reference>
          <reference field="3" count="1" selected="0">
            <x v="0"/>
          </reference>
        </references>
      </pivotArea>
    </chartFormat>
    <chartFormat chart="8" format="38" series="1">
      <pivotArea type="data" outline="0" fieldPosition="0">
        <references count="2">
          <reference field="4294967294" count="1" selected="0">
            <x v="0"/>
          </reference>
          <reference field="3" count="1" selected="0">
            <x v="1"/>
          </reference>
        </references>
      </pivotArea>
    </chartFormat>
    <chartFormat chart="8" format="39" series="1">
      <pivotArea type="data" outline="0" fieldPosition="0">
        <references count="2">
          <reference field="4294967294" count="1" selected="0">
            <x v="0"/>
          </reference>
          <reference field="3" count="1" selected="0">
            <x v="2"/>
          </reference>
        </references>
      </pivotArea>
    </chartFormat>
    <chartFormat chart="8" format="40" series="1">
      <pivotArea type="data" outline="0" fieldPosition="0">
        <references count="2">
          <reference field="4294967294" count="1" selected="0">
            <x v="0"/>
          </reference>
          <reference field="3" count="1" selected="0">
            <x v="3"/>
          </reference>
        </references>
      </pivotArea>
    </chartFormat>
    <chartFormat chart="8" format="41" series="1">
      <pivotArea type="data" outline="0" fieldPosition="0">
        <references count="2">
          <reference field="4294967294" count="1" selected="0">
            <x v="0"/>
          </reference>
          <reference field="3" count="1" selected="0">
            <x v="4"/>
          </reference>
        </references>
      </pivotArea>
    </chartFormat>
    <chartFormat chart="8" format="42" series="1">
      <pivotArea type="data" outline="0" fieldPosition="0">
        <references count="2">
          <reference field="4294967294" count="1" selected="0">
            <x v="0"/>
          </reference>
          <reference field="3" count="1" selected="0">
            <x v="5"/>
          </reference>
        </references>
      </pivotArea>
    </chartFormat>
    <chartFormat chart="0" format="14" series="1">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46D7505-F8CC-47EF-A8A3-34EBE0A3626C}" name="Cliente_Ingreso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Top 5 Clientes">
  <location ref="A35:B41" firstHeaderRow="1" firstDataRow="1" firstDataCol="1"/>
  <pivotFields count="10">
    <pivotField showAll="0">
      <items count="345">
        <item x="325"/>
        <item x="134"/>
        <item x="62"/>
        <item x="180"/>
        <item x="276"/>
        <item x="233"/>
        <item x="33"/>
        <item x="131"/>
        <item x="342"/>
        <item x="335"/>
        <item x="265"/>
        <item x="175"/>
        <item x="300"/>
        <item x="205"/>
        <item x="261"/>
        <item x="188"/>
        <item x="271"/>
        <item x="273"/>
        <item x="141"/>
        <item x="331"/>
        <item x="181"/>
        <item x="307"/>
        <item x="119"/>
        <item x="45"/>
        <item x="110"/>
        <item x="313"/>
        <item x="264"/>
        <item x="171"/>
        <item x="35"/>
        <item x="76"/>
        <item x="218"/>
        <item x="177"/>
        <item x="66"/>
        <item x="103"/>
        <item x="22"/>
        <item x="2"/>
        <item x="31"/>
        <item x="312"/>
        <item x="185"/>
        <item x="190"/>
        <item x="284"/>
        <item x="251"/>
        <item x="86"/>
        <item x="32"/>
        <item x="298"/>
        <item x="73"/>
        <item x="277"/>
        <item x="204"/>
        <item x="89"/>
        <item x="225"/>
        <item x="259"/>
        <item x="288"/>
        <item x="245"/>
        <item x="146"/>
        <item x="127"/>
        <item x="70"/>
        <item x="183"/>
        <item x="169"/>
        <item x="246"/>
        <item x="199"/>
        <item x="24"/>
        <item x="278"/>
        <item x="255"/>
        <item x="126"/>
        <item x="78"/>
        <item x="67"/>
        <item x="151"/>
        <item x="163"/>
        <item x="266"/>
        <item x="178"/>
        <item x="187"/>
        <item x="247"/>
        <item x="56"/>
        <item x="68"/>
        <item x="124"/>
        <item x="1"/>
        <item x="145"/>
        <item x="83"/>
        <item x="54"/>
        <item x="290"/>
        <item x="91"/>
        <item x="291"/>
        <item x="213"/>
        <item x="333"/>
        <item x="139"/>
        <item x="256"/>
        <item x="320"/>
        <item x="194"/>
        <item x="215"/>
        <item x="148"/>
        <item x="223"/>
        <item x="231"/>
        <item x="111"/>
        <item x="209"/>
        <item x="106"/>
        <item x="55"/>
        <item x="65"/>
        <item x="182"/>
        <item x="269"/>
        <item x="328"/>
        <item x="37"/>
        <item x="26"/>
        <item x="195"/>
        <item x="229"/>
        <item x="234"/>
        <item x="275"/>
        <item x="25"/>
        <item x="17"/>
        <item x="3"/>
        <item x="198"/>
        <item x="224"/>
        <item x="322"/>
        <item x="158"/>
        <item x="49"/>
        <item x="299"/>
        <item x="123"/>
        <item x="12"/>
        <item x="321"/>
        <item x="207"/>
        <item x="20"/>
        <item x="113"/>
        <item x="219"/>
        <item x="257"/>
        <item x="326"/>
        <item x="81"/>
        <item x="21"/>
        <item x="315"/>
        <item x="232"/>
        <item x="293"/>
        <item x="329"/>
        <item x="41"/>
        <item x="64"/>
        <item x="102"/>
        <item x="227"/>
        <item x="18"/>
        <item x="125"/>
        <item x="172"/>
        <item x="130"/>
        <item x="211"/>
        <item x="104"/>
        <item x="239"/>
        <item x="337"/>
        <item x="249"/>
        <item x="155"/>
        <item x="314"/>
        <item x="136"/>
        <item x="10"/>
        <item x="221"/>
        <item x="11"/>
        <item x="28"/>
        <item x="189"/>
        <item x="13"/>
        <item x="160"/>
        <item x="297"/>
        <item x="95"/>
        <item x="302"/>
        <item x="220"/>
        <item x="166"/>
        <item x="203"/>
        <item x="132"/>
        <item x="236"/>
        <item x="167"/>
        <item x="105"/>
        <item x="310"/>
        <item x="122"/>
        <item x="80"/>
        <item x="101"/>
        <item x="138"/>
        <item x="0"/>
        <item x="16"/>
        <item x="309"/>
        <item x="156"/>
        <item x="283"/>
        <item x="109"/>
        <item x="79"/>
        <item x="69"/>
        <item x="87"/>
        <item x="44"/>
        <item x="118"/>
        <item x="193"/>
        <item x="212"/>
        <item x="27"/>
        <item x="262"/>
        <item x="94"/>
        <item x="46"/>
        <item x="142"/>
        <item x="164"/>
        <item x="274"/>
        <item x="114"/>
        <item x="206"/>
        <item x="222"/>
        <item x="301"/>
        <item x="289"/>
        <item x="334"/>
        <item x="311"/>
        <item x="99"/>
        <item x="179"/>
        <item x="74"/>
        <item x="5"/>
        <item x="286"/>
        <item x="217"/>
        <item x="168"/>
        <item x="208"/>
        <item x="161"/>
        <item x="317"/>
        <item x="61"/>
        <item x="53"/>
        <item x="292"/>
        <item x="174"/>
        <item x="324"/>
        <item x="159"/>
        <item x="242"/>
        <item x="316"/>
        <item x="19"/>
        <item x="318"/>
        <item x="137"/>
        <item x="58"/>
        <item x="282"/>
        <item x="226"/>
        <item x="186"/>
        <item x="340"/>
        <item x="116"/>
        <item x="34"/>
        <item x="343"/>
        <item x="144"/>
        <item x="305"/>
        <item x="308"/>
        <item x="154"/>
        <item x="147"/>
        <item x="82"/>
        <item x="29"/>
        <item x="43"/>
        <item x="270"/>
        <item x="258"/>
        <item x="202"/>
        <item x="108"/>
        <item x="252"/>
        <item x="230"/>
        <item x="51"/>
        <item x="48"/>
        <item x="72"/>
        <item x="272"/>
        <item x="85"/>
        <item x="176"/>
        <item x="296"/>
        <item x="287"/>
        <item x="71"/>
        <item x="135"/>
        <item x="235"/>
        <item x="184"/>
        <item x="263"/>
        <item x="77"/>
        <item x="237"/>
        <item x="93"/>
        <item x="90"/>
        <item x="162"/>
        <item x="285"/>
        <item x="332"/>
        <item x="9"/>
        <item x="47"/>
        <item x="63"/>
        <item x="140"/>
        <item x="100"/>
        <item x="243"/>
        <item x="210"/>
        <item x="165"/>
        <item x="4"/>
        <item x="30"/>
        <item x="323"/>
        <item x="281"/>
        <item x="228"/>
        <item x="295"/>
        <item x="36"/>
        <item x="14"/>
        <item x="60"/>
        <item x="97"/>
        <item x="173"/>
        <item x="327"/>
        <item x="112"/>
        <item x="279"/>
        <item x="15"/>
        <item x="214"/>
        <item x="200"/>
        <item x="96"/>
        <item x="92"/>
        <item x="59"/>
        <item x="294"/>
        <item x="57"/>
        <item x="23"/>
        <item x="129"/>
        <item x="84"/>
        <item x="7"/>
        <item x="339"/>
        <item x="336"/>
        <item x="341"/>
        <item x="267"/>
        <item x="98"/>
        <item x="75"/>
        <item x="330"/>
        <item x="216"/>
        <item x="250"/>
        <item x="115"/>
        <item x="107"/>
        <item x="117"/>
        <item x="6"/>
        <item x="120"/>
        <item x="121"/>
        <item x="254"/>
        <item x="39"/>
        <item x="280"/>
        <item x="191"/>
        <item x="128"/>
        <item x="150"/>
        <item x="244"/>
        <item x="157"/>
        <item x="170"/>
        <item x="192"/>
        <item x="253"/>
        <item x="50"/>
        <item x="52"/>
        <item x="306"/>
        <item x="201"/>
        <item x="38"/>
        <item x="152"/>
        <item x="338"/>
        <item x="238"/>
        <item x="8"/>
        <item x="241"/>
        <item x="88"/>
        <item x="40"/>
        <item x="240"/>
        <item x="248"/>
        <item x="268"/>
        <item x="303"/>
        <item x="133"/>
        <item x="197"/>
        <item x="196"/>
        <item x="149"/>
        <item x="304"/>
        <item x="143"/>
        <item x="42"/>
        <item x="153"/>
        <item x="319"/>
        <item x="260"/>
        <item t="default"/>
      </items>
    </pivotField>
    <pivotField axis="axisRow" showAll="0" measureFilter="1" sortType="ascending">
      <items count="94">
        <item x="62"/>
        <item x="67"/>
        <item x="39"/>
        <item x="24"/>
        <item x="19"/>
        <item x="45"/>
        <item x="65"/>
        <item x="42"/>
        <item x="5"/>
        <item x="8"/>
        <item x="81"/>
        <item x="6"/>
        <item x="79"/>
        <item x="48"/>
        <item x="25"/>
        <item x="11"/>
        <item x="36"/>
        <item x="76"/>
        <item x="29"/>
        <item x="28"/>
        <item x="53"/>
        <item x="9"/>
        <item x="32"/>
        <item x="4"/>
        <item x="15"/>
        <item x="72"/>
        <item x="64"/>
        <item x="85"/>
        <item x="23"/>
        <item x="14"/>
        <item x="89"/>
        <item x="46"/>
        <item x="61"/>
        <item x="7"/>
        <item x="54"/>
        <item x="52"/>
        <item x="13"/>
        <item x="44"/>
        <item x="74"/>
        <item x="26"/>
        <item x="12"/>
        <item x="20"/>
        <item x="78"/>
        <item x="68"/>
        <item x="66"/>
        <item x="34"/>
        <item x="60"/>
        <item x="57"/>
        <item x="59"/>
        <item x="18"/>
        <item x="55"/>
        <item x="10"/>
        <item x="91"/>
        <item x="21"/>
        <item x="37"/>
        <item x="80"/>
        <item x="43"/>
        <item x="92"/>
        <item x="82"/>
        <item x="1"/>
        <item x="75"/>
        <item x="38"/>
        <item x="63"/>
        <item x="86"/>
        <item x="17"/>
        <item x="50"/>
        <item x="73"/>
        <item x="87"/>
        <item x="31"/>
        <item x="33"/>
        <item x="47"/>
        <item x="77"/>
        <item x="40"/>
        <item x="16"/>
        <item x="71"/>
        <item x="0"/>
        <item x="27"/>
        <item x="49"/>
        <item x="70"/>
        <item x="56"/>
        <item x="84"/>
        <item x="90"/>
        <item x="51"/>
        <item x="30"/>
        <item x="58"/>
        <item x="69"/>
        <item x="22"/>
        <item x="2"/>
        <item x="83"/>
        <item x="35"/>
        <item x="41"/>
        <item x="88"/>
        <item x="3"/>
        <item t="default"/>
      </items>
      <autoSortScope>
        <pivotArea dataOnly="0" outline="0" fieldPosition="0">
          <references count="1">
            <reference field="4294967294" count="1" selected="0">
              <x v="0"/>
            </reference>
          </references>
        </pivotArea>
      </autoSortScope>
    </pivotField>
    <pivotField showAll="0"/>
    <pivotField numFmtId="3" showAll="0">
      <items count="7">
        <item x="2"/>
        <item x="0"/>
        <item x="5"/>
        <item x="3"/>
        <item x="1"/>
        <item x="4"/>
        <item t="default"/>
      </items>
    </pivotField>
    <pivotField dataField="1" numFmtId="4" showAll="0"/>
    <pivotField numFmtId="4" showAll="0"/>
    <pivotField showAll="0">
      <items count="7">
        <item x="0"/>
        <item x="1"/>
        <item x="4"/>
        <item x="2"/>
        <item x="5"/>
        <item x="3"/>
        <item t="default"/>
      </items>
    </pivotField>
    <pivotField showAll="0">
      <items count="9">
        <item x="5"/>
        <item x="4"/>
        <item x="2"/>
        <item x="0"/>
        <item x="3"/>
        <item x="6"/>
        <item x="7"/>
        <item x="1"/>
        <item t="default"/>
      </items>
    </pivotField>
    <pivotField dragToRow="0" dragToCol="0" dragToPage="0" showAll="0" defaultSubtotal="0"/>
    <pivotField dragToRow="0" dragToCol="0" dragToPage="0" showAll="0" defaultSubtotal="0"/>
  </pivotFields>
  <rowFields count="1">
    <field x="1"/>
  </rowFields>
  <rowItems count="6">
    <i>
      <x v="76"/>
    </i>
    <i>
      <x v="15"/>
    </i>
    <i>
      <x v="51"/>
    </i>
    <i>
      <x v="9"/>
    </i>
    <i>
      <x v="39"/>
    </i>
    <i t="grand">
      <x/>
    </i>
  </rowItems>
  <colItems count="1">
    <i/>
  </colItems>
  <dataFields count="1">
    <dataField name="$ Ingresos" fld="4" baseField="0" baseItem="0" numFmtId="4"/>
  </dataFields>
  <formats count="5">
    <format dxfId="109">
      <pivotArea type="all" dataOnly="0" outline="0" fieldPosition="0"/>
    </format>
    <format dxfId="108">
      <pivotArea outline="0" collapsedLevelsAreSubtotals="1" fieldPosition="0"/>
    </format>
    <format dxfId="107">
      <pivotArea field="7" type="button" dataOnly="0" labelOnly="1" outline="0"/>
    </format>
    <format dxfId="106">
      <pivotArea dataOnly="0" labelOnly="1" grandRow="1" outline="0" fieldPosition="0"/>
    </format>
    <format dxfId="105">
      <pivotArea dataOnly="0" labelOnly="1" outline="0" axis="axisValues" fieldPosition="0"/>
    </format>
  </formats>
  <chartFormats count="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04894D1-5095-4385-BB8C-C17652C92B8F}" name="Periodo_Ingreso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eriodo">
  <location ref="A25:B32" firstHeaderRow="1" firstDataRow="1" firstDataCol="1"/>
  <pivotFields count="10">
    <pivotField showAll="0">
      <items count="345">
        <item x="325"/>
        <item x="134"/>
        <item x="62"/>
        <item x="180"/>
        <item x="276"/>
        <item x="233"/>
        <item x="33"/>
        <item x="131"/>
        <item x="342"/>
        <item x="335"/>
        <item x="265"/>
        <item x="175"/>
        <item x="300"/>
        <item x="205"/>
        <item x="261"/>
        <item x="188"/>
        <item x="271"/>
        <item x="273"/>
        <item x="141"/>
        <item x="331"/>
        <item x="181"/>
        <item x="307"/>
        <item x="119"/>
        <item x="45"/>
        <item x="110"/>
        <item x="313"/>
        <item x="264"/>
        <item x="171"/>
        <item x="35"/>
        <item x="76"/>
        <item x="218"/>
        <item x="177"/>
        <item x="66"/>
        <item x="103"/>
        <item x="22"/>
        <item x="2"/>
        <item x="31"/>
        <item x="312"/>
        <item x="185"/>
        <item x="190"/>
        <item x="284"/>
        <item x="251"/>
        <item x="86"/>
        <item x="32"/>
        <item x="298"/>
        <item x="73"/>
        <item x="277"/>
        <item x="204"/>
        <item x="89"/>
        <item x="225"/>
        <item x="259"/>
        <item x="288"/>
        <item x="245"/>
        <item x="146"/>
        <item x="127"/>
        <item x="70"/>
        <item x="183"/>
        <item x="169"/>
        <item x="246"/>
        <item x="199"/>
        <item x="24"/>
        <item x="278"/>
        <item x="255"/>
        <item x="126"/>
        <item x="78"/>
        <item x="67"/>
        <item x="151"/>
        <item x="163"/>
        <item x="266"/>
        <item x="178"/>
        <item x="187"/>
        <item x="247"/>
        <item x="56"/>
        <item x="68"/>
        <item x="124"/>
        <item x="1"/>
        <item x="145"/>
        <item x="83"/>
        <item x="54"/>
        <item x="290"/>
        <item x="91"/>
        <item x="291"/>
        <item x="213"/>
        <item x="333"/>
        <item x="139"/>
        <item x="256"/>
        <item x="320"/>
        <item x="194"/>
        <item x="215"/>
        <item x="148"/>
        <item x="223"/>
        <item x="231"/>
        <item x="111"/>
        <item x="209"/>
        <item x="106"/>
        <item x="55"/>
        <item x="65"/>
        <item x="182"/>
        <item x="269"/>
        <item x="328"/>
        <item x="37"/>
        <item x="26"/>
        <item x="195"/>
        <item x="229"/>
        <item x="234"/>
        <item x="275"/>
        <item x="25"/>
        <item x="17"/>
        <item x="3"/>
        <item x="198"/>
        <item x="224"/>
        <item x="322"/>
        <item x="158"/>
        <item x="49"/>
        <item x="299"/>
        <item x="123"/>
        <item x="12"/>
        <item x="321"/>
        <item x="207"/>
        <item x="20"/>
        <item x="113"/>
        <item x="219"/>
        <item x="257"/>
        <item x="326"/>
        <item x="81"/>
        <item x="21"/>
        <item x="315"/>
        <item x="232"/>
        <item x="293"/>
        <item x="329"/>
        <item x="41"/>
        <item x="64"/>
        <item x="102"/>
        <item x="227"/>
        <item x="18"/>
        <item x="125"/>
        <item x="172"/>
        <item x="130"/>
        <item x="211"/>
        <item x="104"/>
        <item x="239"/>
        <item x="337"/>
        <item x="249"/>
        <item x="155"/>
        <item x="314"/>
        <item x="136"/>
        <item x="10"/>
        <item x="221"/>
        <item x="11"/>
        <item x="28"/>
        <item x="189"/>
        <item x="13"/>
        <item x="160"/>
        <item x="297"/>
        <item x="95"/>
        <item x="302"/>
        <item x="220"/>
        <item x="166"/>
        <item x="203"/>
        <item x="132"/>
        <item x="236"/>
        <item x="167"/>
        <item x="105"/>
        <item x="310"/>
        <item x="122"/>
        <item x="80"/>
        <item x="101"/>
        <item x="138"/>
        <item x="0"/>
        <item x="16"/>
        <item x="309"/>
        <item x="156"/>
        <item x="283"/>
        <item x="109"/>
        <item x="79"/>
        <item x="69"/>
        <item x="87"/>
        <item x="44"/>
        <item x="118"/>
        <item x="193"/>
        <item x="212"/>
        <item x="27"/>
        <item x="262"/>
        <item x="94"/>
        <item x="46"/>
        <item x="142"/>
        <item x="164"/>
        <item x="274"/>
        <item x="114"/>
        <item x="206"/>
        <item x="222"/>
        <item x="301"/>
        <item x="289"/>
        <item x="334"/>
        <item x="311"/>
        <item x="99"/>
        <item x="179"/>
        <item x="74"/>
        <item x="5"/>
        <item x="286"/>
        <item x="217"/>
        <item x="168"/>
        <item x="208"/>
        <item x="161"/>
        <item x="317"/>
        <item x="61"/>
        <item x="53"/>
        <item x="292"/>
        <item x="174"/>
        <item x="324"/>
        <item x="159"/>
        <item x="242"/>
        <item x="316"/>
        <item x="19"/>
        <item x="318"/>
        <item x="137"/>
        <item x="58"/>
        <item x="282"/>
        <item x="226"/>
        <item x="186"/>
        <item x="340"/>
        <item x="116"/>
        <item x="34"/>
        <item x="343"/>
        <item x="144"/>
        <item x="305"/>
        <item x="308"/>
        <item x="154"/>
        <item x="147"/>
        <item x="82"/>
        <item x="29"/>
        <item x="43"/>
        <item x="270"/>
        <item x="258"/>
        <item x="202"/>
        <item x="108"/>
        <item x="252"/>
        <item x="230"/>
        <item x="51"/>
        <item x="48"/>
        <item x="72"/>
        <item x="272"/>
        <item x="85"/>
        <item x="176"/>
        <item x="296"/>
        <item x="287"/>
        <item x="71"/>
        <item x="135"/>
        <item x="235"/>
        <item x="184"/>
        <item x="263"/>
        <item x="77"/>
        <item x="237"/>
        <item x="93"/>
        <item x="90"/>
        <item x="162"/>
        <item x="285"/>
        <item x="332"/>
        <item x="9"/>
        <item x="47"/>
        <item x="63"/>
        <item x="140"/>
        <item x="100"/>
        <item x="243"/>
        <item x="210"/>
        <item x="165"/>
        <item x="4"/>
        <item x="30"/>
        <item x="323"/>
        <item x="281"/>
        <item x="228"/>
        <item x="295"/>
        <item x="36"/>
        <item x="14"/>
        <item x="60"/>
        <item x="97"/>
        <item x="173"/>
        <item x="327"/>
        <item x="112"/>
        <item x="279"/>
        <item x="15"/>
        <item x="214"/>
        <item x="200"/>
        <item x="96"/>
        <item x="92"/>
        <item x="59"/>
        <item x="294"/>
        <item x="57"/>
        <item x="23"/>
        <item x="129"/>
        <item x="84"/>
        <item x="7"/>
        <item x="339"/>
        <item x="336"/>
        <item x="341"/>
        <item x="267"/>
        <item x="98"/>
        <item x="75"/>
        <item x="330"/>
        <item x="216"/>
        <item x="250"/>
        <item x="115"/>
        <item x="107"/>
        <item x="117"/>
        <item x="6"/>
        <item x="120"/>
        <item x="121"/>
        <item x="254"/>
        <item x="39"/>
        <item x="280"/>
        <item x="191"/>
        <item x="128"/>
        <item x="150"/>
        <item x="244"/>
        <item x="157"/>
        <item x="170"/>
        <item x="192"/>
        <item x="253"/>
        <item x="50"/>
        <item x="52"/>
        <item x="306"/>
        <item x="201"/>
        <item x="38"/>
        <item x="152"/>
        <item x="338"/>
        <item x="238"/>
        <item x="8"/>
        <item x="241"/>
        <item x="88"/>
        <item x="40"/>
        <item x="240"/>
        <item x="248"/>
        <item x="268"/>
        <item x="303"/>
        <item x="133"/>
        <item x="197"/>
        <item x="196"/>
        <item x="149"/>
        <item x="304"/>
        <item x="143"/>
        <item x="42"/>
        <item x="153"/>
        <item x="319"/>
        <item x="260"/>
        <item t="default"/>
      </items>
    </pivotField>
    <pivotField showAll="0"/>
    <pivotField showAll="0"/>
    <pivotField axis="axisRow" numFmtId="3" showAll="0">
      <items count="7">
        <item x="2"/>
        <item x="0"/>
        <item x="5"/>
        <item x="3"/>
        <item x="1"/>
        <item x="4"/>
        <item t="default"/>
      </items>
    </pivotField>
    <pivotField dataField="1" numFmtId="4" showAll="0"/>
    <pivotField numFmtId="4" showAll="0"/>
    <pivotField showAll="0">
      <items count="7">
        <item x="0"/>
        <item x="1"/>
        <item x="4"/>
        <item x="2"/>
        <item x="5"/>
        <item x="3"/>
        <item t="default"/>
      </items>
    </pivotField>
    <pivotField showAll="0">
      <items count="9">
        <item x="5"/>
        <item x="4"/>
        <item x="2"/>
        <item x="0"/>
        <item x="3"/>
        <item x="6"/>
        <item x="7"/>
        <item x="1"/>
        <item t="default"/>
      </items>
    </pivotField>
    <pivotField dragToRow="0" dragToCol="0" dragToPage="0" showAll="0" defaultSubtotal="0"/>
    <pivotField dragToRow="0" dragToCol="0" dragToPage="0" showAll="0" defaultSubtotal="0"/>
  </pivotFields>
  <rowFields count="1">
    <field x="3"/>
  </rowFields>
  <rowItems count="7">
    <i>
      <x/>
    </i>
    <i>
      <x v="1"/>
    </i>
    <i>
      <x v="2"/>
    </i>
    <i>
      <x v="3"/>
    </i>
    <i>
      <x v="4"/>
    </i>
    <i>
      <x v="5"/>
    </i>
    <i t="grand">
      <x/>
    </i>
  </rowItems>
  <colItems count="1">
    <i/>
  </colItems>
  <dataFields count="1">
    <dataField name="$ Ingresos" fld="4" baseField="0" baseItem="0" numFmtId="4"/>
  </dataFields>
  <formats count="5">
    <format dxfId="114">
      <pivotArea type="all" dataOnly="0" outline="0" fieldPosition="0"/>
    </format>
    <format dxfId="113">
      <pivotArea outline="0" collapsedLevelsAreSubtotals="1" fieldPosition="0"/>
    </format>
    <format dxfId="112">
      <pivotArea field="7" type="button" dataOnly="0" labelOnly="1" outline="0"/>
    </format>
    <format dxfId="111">
      <pivotArea dataOnly="0" labelOnly="1" grandRow="1" outline="0" fieldPosition="0"/>
    </format>
    <format dxfId="110">
      <pivotArea dataOnly="0" labelOnly="1" outline="0" axis="axisValues" fieldPosition="0"/>
    </format>
  </formats>
  <chartFormats count="4">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4F55375-A5DB-419D-9BF0-C6C242F19BB7}" name="Tipo_Producto_Ingreso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ipo Producto">
  <location ref="A13:B22" firstHeaderRow="1" firstDataRow="1" firstDataCol="1"/>
  <pivotFields count="10">
    <pivotField showAll="0">
      <items count="345">
        <item x="325"/>
        <item x="134"/>
        <item x="62"/>
        <item x="180"/>
        <item x="276"/>
        <item x="233"/>
        <item x="33"/>
        <item x="131"/>
        <item x="342"/>
        <item x="335"/>
        <item x="265"/>
        <item x="175"/>
        <item x="300"/>
        <item x="205"/>
        <item x="261"/>
        <item x="188"/>
        <item x="271"/>
        <item x="273"/>
        <item x="141"/>
        <item x="331"/>
        <item x="181"/>
        <item x="307"/>
        <item x="119"/>
        <item x="45"/>
        <item x="110"/>
        <item x="313"/>
        <item x="264"/>
        <item x="171"/>
        <item x="35"/>
        <item x="76"/>
        <item x="218"/>
        <item x="177"/>
        <item x="66"/>
        <item x="103"/>
        <item x="22"/>
        <item x="2"/>
        <item x="31"/>
        <item x="312"/>
        <item x="185"/>
        <item x="190"/>
        <item x="284"/>
        <item x="251"/>
        <item x="86"/>
        <item x="32"/>
        <item x="298"/>
        <item x="73"/>
        <item x="277"/>
        <item x="204"/>
        <item x="89"/>
        <item x="225"/>
        <item x="259"/>
        <item x="288"/>
        <item x="245"/>
        <item x="146"/>
        <item x="127"/>
        <item x="70"/>
        <item x="183"/>
        <item x="169"/>
        <item x="246"/>
        <item x="199"/>
        <item x="24"/>
        <item x="278"/>
        <item x="255"/>
        <item x="126"/>
        <item x="78"/>
        <item x="67"/>
        <item x="151"/>
        <item x="163"/>
        <item x="266"/>
        <item x="178"/>
        <item x="187"/>
        <item x="247"/>
        <item x="56"/>
        <item x="68"/>
        <item x="124"/>
        <item x="1"/>
        <item x="145"/>
        <item x="83"/>
        <item x="54"/>
        <item x="290"/>
        <item x="91"/>
        <item x="291"/>
        <item x="213"/>
        <item x="333"/>
        <item x="139"/>
        <item x="256"/>
        <item x="320"/>
        <item x="194"/>
        <item x="215"/>
        <item x="148"/>
        <item x="223"/>
        <item x="231"/>
        <item x="111"/>
        <item x="209"/>
        <item x="106"/>
        <item x="55"/>
        <item x="65"/>
        <item x="182"/>
        <item x="269"/>
        <item x="328"/>
        <item x="37"/>
        <item x="26"/>
        <item x="195"/>
        <item x="229"/>
        <item x="234"/>
        <item x="275"/>
        <item x="25"/>
        <item x="17"/>
        <item x="3"/>
        <item x="198"/>
        <item x="224"/>
        <item x="322"/>
        <item x="158"/>
        <item x="49"/>
        <item x="299"/>
        <item x="123"/>
        <item x="12"/>
        <item x="321"/>
        <item x="207"/>
        <item x="20"/>
        <item x="113"/>
        <item x="219"/>
        <item x="257"/>
        <item x="326"/>
        <item x="81"/>
        <item x="21"/>
        <item x="315"/>
        <item x="232"/>
        <item x="293"/>
        <item x="329"/>
        <item x="41"/>
        <item x="64"/>
        <item x="102"/>
        <item x="227"/>
        <item x="18"/>
        <item x="125"/>
        <item x="172"/>
        <item x="130"/>
        <item x="211"/>
        <item x="104"/>
        <item x="239"/>
        <item x="337"/>
        <item x="249"/>
        <item x="155"/>
        <item x="314"/>
        <item x="136"/>
        <item x="10"/>
        <item x="221"/>
        <item x="11"/>
        <item x="28"/>
        <item x="189"/>
        <item x="13"/>
        <item x="160"/>
        <item x="297"/>
        <item x="95"/>
        <item x="302"/>
        <item x="220"/>
        <item x="166"/>
        <item x="203"/>
        <item x="132"/>
        <item x="236"/>
        <item x="167"/>
        <item x="105"/>
        <item x="310"/>
        <item x="122"/>
        <item x="80"/>
        <item x="101"/>
        <item x="138"/>
        <item x="0"/>
        <item x="16"/>
        <item x="309"/>
        <item x="156"/>
        <item x="283"/>
        <item x="109"/>
        <item x="79"/>
        <item x="69"/>
        <item x="87"/>
        <item x="44"/>
        <item x="118"/>
        <item x="193"/>
        <item x="212"/>
        <item x="27"/>
        <item x="262"/>
        <item x="94"/>
        <item x="46"/>
        <item x="142"/>
        <item x="164"/>
        <item x="274"/>
        <item x="114"/>
        <item x="206"/>
        <item x="222"/>
        <item x="301"/>
        <item x="289"/>
        <item x="334"/>
        <item x="311"/>
        <item x="99"/>
        <item x="179"/>
        <item x="74"/>
        <item x="5"/>
        <item x="286"/>
        <item x="217"/>
        <item x="168"/>
        <item x="208"/>
        <item x="161"/>
        <item x="317"/>
        <item x="61"/>
        <item x="53"/>
        <item x="292"/>
        <item x="174"/>
        <item x="324"/>
        <item x="159"/>
        <item x="242"/>
        <item x="316"/>
        <item x="19"/>
        <item x="318"/>
        <item x="137"/>
        <item x="58"/>
        <item x="282"/>
        <item x="226"/>
        <item x="186"/>
        <item x="340"/>
        <item x="116"/>
        <item x="34"/>
        <item x="343"/>
        <item x="144"/>
        <item x="305"/>
        <item x="308"/>
        <item x="154"/>
        <item x="147"/>
        <item x="82"/>
        <item x="29"/>
        <item x="43"/>
        <item x="270"/>
        <item x="258"/>
        <item x="202"/>
        <item x="108"/>
        <item x="252"/>
        <item x="230"/>
        <item x="51"/>
        <item x="48"/>
        <item x="72"/>
        <item x="272"/>
        <item x="85"/>
        <item x="176"/>
        <item x="296"/>
        <item x="287"/>
        <item x="71"/>
        <item x="135"/>
        <item x="235"/>
        <item x="184"/>
        <item x="263"/>
        <item x="77"/>
        <item x="237"/>
        <item x="93"/>
        <item x="90"/>
        <item x="162"/>
        <item x="285"/>
        <item x="332"/>
        <item x="9"/>
        <item x="47"/>
        <item x="63"/>
        <item x="140"/>
        <item x="100"/>
        <item x="243"/>
        <item x="210"/>
        <item x="165"/>
        <item x="4"/>
        <item x="30"/>
        <item x="323"/>
        <item x="281"/>
        <item x="228"/>
        <item x="295"/>
        <item x="36"/>
        <item x="14"/>
        <item x="60"/>
        <item x="97"/>
        <item x="173"/>
        <item x="327"/>
        <item x="112"/>
        <item x="279"/>
        <item x="15"/>
        <item x="214"/>
        <item x="200"/>
        <item x="96"/>
        <item x="92"/>
        <item x="59"/>
        <item x="294"/>
        <item x="57"/>
        <item x="23"/>
        <item x="129"/>
        <item x="84"/>
        <item x="7"/>
        <item x="339"/>
        <item x="336"/>
        <item x="341"/>
        <item x="267"/>
        <item x="98"/>
        <item x="75"/>
        <item x="330"/>
        <item x="216"/>
        <item x="250"/>
        <item x="115"/>
        <item x="107"/>
        <item x="117"/>
        <item x="6"/>
        <item x="120"/>
        <item x="121"/>
        <item x="254"/>
        <item x="39"/>
        <item x="280"/>
        <item x="191"/>
        <item x="128"/>
        <item x="150"/>
        <item x="244"/>
        <item x="157"/>
        <item x="170"/>
        <item x="192"/>
        <item x="253"/>
        <item x="50"/>
        <item x="52"/>
        <item x="306"/>
        <item x="201"/>
        <item x="38"/>
        <item x="152"/>
        <item x="338"/>
        <item x="238"/>
        <item x="8"/>
        <item x="241"/>
        <item x="88"/>
        <item x="40"/>
        <item x="240"/>
        <item x="248"/>
        <item x="268"/>
        <item x="303"/>
        <item x="133"/>
        <item x="197"/>
        <item x="196"/>
        <item x="149"/>
        <item x="304"/>
        <item x="143"/>
        <item x="42"/>
        <item x="153"/>
        <item x="319"/>
        <item x="260"/>
        <item t="default"/>
      </items>
    </pivotField>
    <pivotField showAll="0"/>
    <pivotField showAll="0"/>
    <pivotField numFmtId="3" showAll="0">
      <items count="7">
        <item x="2"/>
        <item x="0"/>
        <item x="5"/>
        <item x="3"/>
        <item x="1"/>
        <item x="4"/>
        <item t="default"/>
      </items>
    </pivotField>
    <pivotField dataField="1" numFmtId="4" showAll="0"/>
    <pivotField numFmtId="4" showAll="0"/>
    <pivotField showAll="0">
      <items count="7">
        <item x="0"/>
        <item x="1"/>
        <item x="4"/>
        <item x="2"/>
        <item x="5"/>
        <item x="3"/>
        <item t="default"/>
      </items>
    </pivotField>
    <pivotField axis="axisRow" showAll="0" sortType="descending">
      <items count="9">
        <item x="5"/>
        <item x="4"/>
        <item x="2"/>
        <item x="0"/>
        <item x="3"/>
        <item x="6"/>
        <item x="7"/>
        <item x="1"/>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 dragToRow="0" dragToCol="0" dragToPage="0" showAll="0" defaultSubtotal="0"/>
  </pivotFields>
  <rowFields count="1">
    <field x="7"/>
  </rowFields>
  <rowItems count="9">
    <i>
      <x v="6"/>
    </i>
    <i>
      <x/>
    </i>
    <i>
      <x v="2"/>
    </i>
    <i>
      <x v="4"/>
    </i>
    <i>
      <x v="3"/>
    </i>
    <i>
      <x v="5"/>
    </i>
    <i>
      <x v="1"/>
    </i>
    <i>
      <x v="7"/>
    </i>
    <i t="grand">
      <x/>
    </i>
  </rowItems>
  <colItems count="1">
    <i/>
  </colItems>
  <dataFields count="1">
    <dataField name="$ Ingresos" fld="4" baseField="0" baseItem="0" numFmtId="4"/>
  </dataFields>
  <chartFormats count="4">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987C593-C2CC-43A5-A4B2-8AEE25C44B61}" name="Region_Ingreso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Region">
  <location ref="A1:B8" firstHeaderRow="1" firstDataRow="1" firstDataCol="1"/>
  <pivotFields count="10">
    <pivotField showAll="0"/>
    <pivotField showAll="0"/>
    <pivotField showAll="0"/>
    <pivotField numFmtId="3" showAll="0">
      <items count="7">
        <item x="2"/>
        <item x="0"/>
        <item x="5"/>
        <item x="3"/>
        <item x="1"/>
        <item x="4"/>
        <item t="default"/>
      </items>
    </pivotField>
    <pivotField dataField="1" numFmtId="4" showAll="0"/>
    <pivotField numFmtId="4" showAll="0"/>
    <pivotField axis="axisRow" showAll="0">
      <items count="7">
        <item x="0"/>
        <item x="1"/>
        <item x="4"/>
        <item x="2"/>
        <item x="5"/>
        <item x="3"/>
        <item t="default"/>
      </items>
    </pivotField>
    <pivotField showAll="0"/>
    <pivotField dragToRow="0" dragToCol="0" dragToPage="0" showAll="0" defaultSubtotal="0"/>
    <pivotField dragToRow="0" dragToCol="0" dragToPage="0" showAll="0" defaultSubtotal="0"/>
  </pivotFields>
  <rowFields count="1">
    <field x="6"/>
  </rowFields>
  <rowItems count="7">
    <i>
      <x/>
    </i>
    <i>
      <x v="1"/>
    </i>
    <i>
      <x v="2"/>
    </i>
    <i>
      <x v="3"/>
    </i>
    <i>
      <x v="4"/>
    </i>
    <i>
      <x v="5"/>
    </i>
    <i t="grand">
      <x/>
    </i>
  </rowItems>
  <colItems count="1">
    <i/>
  </colItems>
  <dataFields count="1">
    <dataField name="$ Ingresos" fld="4" baseField="0" baseItem="0" numFmtId="4"/>
  </dataFields>
  <chartFormats count="22">
    <chartFormat chart="0" format="0"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6" count="1" selected="0">
            <x v="0"/>
          </reference>
        </references>
      </pivotArea>
    </chartFormat>
    <chartFormat chart="2" format="10">
      <pivotArea type="data" outline="0" fieldPosition="0">
        <references count="2">
          <reference field="4294967294" count="1" selected="0">
            <x v="0"/>
          </reference>
          <reference field="6" count="1" selected="0">
            <x v="1"/>
          </reference>
        </references>
      </pivotArea>
    </chartFormat>
    <chartFormat chart="2" format="11">
      <pivotArea type="data" outline="0" fieldPosition="0">
        <references count="2">
          <reference field="4294967294" count="1" selected="0">
            <x v="0"/>
          </reference>
          <reference field="6" count="1" selected="0">
            <x v="2"/>
          </reference>
        </references>
      </pivotArea>
    </chartFormat>
    <chartFormat chart="2" format="12">
      <pivotArea type="data" outline="0" fieldPosition="0">
        <references count="2">
          <reference field="4294967294" count="1" selected="0">
            <x v="0"/>
          </reference>
          <reference field="6" count="1" selected="0">
            <x v="3"/>
          </reference>
        </references>
      </pivotArea>
    </chartFormat>
    <chartFormat chart="2" format="13">
      <pivotArea type="data" outline="0" fieldPosition="0">
        <references count="2">
          <reference field="4294967294" count="1" selected="0">
            <x v="0"/>
          </reference>
          <reference field="6" count="1" selected="0">
            <x v="4"/>
          </reference>
        </references>
      </pivotArea>
    </chartFormat>
    <chartFormat chart="2" format="14">
      <pivotArea type="data" outline="0" fieldPosition="0">
        <references count="2">
          <reference field="4294967294" count="1" selected="0">
            <x v="0"/>
          </reference>
          <reference field="6" count="1" selected="0">
            <x v="5"/>
          </reference>
        </references>
      </pivotArea>
    </chartFormat>
    <chartFormat chart="3" format="15" series="1">
      <pivotArea type="data" outline="0" fieldPosition="0">
        <references count="1">
          <reference field="4294967294" count="1" selected="0">
            <x v="0"/>
          </reference>
        </references>
      </pivotArea>
    </chartFormat>
    <chartFormat chart="3" format="16">
      <pivotArea type="data" outline="0" fieldPosition="0">
        <references count="2">
          <reference field="4294967294" count="1" selected="0">
            <x v="0"/>
          </reference>
          <reference field="6" count="1" selected="0">
            <x v="0"/>
          </reference>
        </references>
      </pivotArea>
    </chartFormat>
    <chartFormat chart="3" format="17">
      <pivotArea type="data" outline="0" fieldPosition="0">
        <references count="2">
          <reference field="4294967294" count="1" selected="0">
            <x v="0"/>
          </reference>
          <reference field="6" count="1" selected="0">
            <x v="1"/>
          </reference>
        </references>
      </pivotArea>
    </chartFormat>
    <chartFormat chart="3" format="18">
      <pivotArea type="data" outline="0" fieldPosition="0">
        <references count="2">
          <reference field="4294967294" count="1" selected="0">
            <x v="0"/>
          </reference>
          <reference field="6" count="1" selected="0">
            <x v="2"/>
          </reference>
        </references>
      </pivotArea>
    </chartFormat>
    <chartFormat chart="3" format="19">
      <pivotArea type="data" outline="0" fieldPosition="0">
        <references count="2">
          <reference field="4294967294" count="1" selected="0">
            <x v="0"/>
          </reference>
          <reference field="6" count="1" selected="0">
            <x v="3"/>
          </reference>
        </references>
      </pivotArea>
    </chartFormat>
    <chartFormat chart="3" format="20">
      <pivotArea type="data" outline="0" fieldPosition="0">
        <references count="2">
          <reference field="4294967294" count="1" selected="0">
            <x v="0"/>
          </reference>
          <reference field="6" count="1" selected="0">
            <x v="4"/>
          </reference>
        </references>
      </pivotArea>
    </chartFormat>
    <chartFormat chart="3" format="21">
      <pivotArea type="data" outline="0" fieldPosition="0">
        <references count="2">
          <reference field="4294967294" count="1" selected="0">
            <x v="0"/>
          </reference>
          <reference field="6" count="1" selected="0">
            <x v="5"/>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6" count="1" selected="0">
            <x v="0"/>
          </reference>
        </references>
      </pivotArea>
    </chartFormat>
    <chartFormat chart="4" format="24">
      <pivotArea type="data" outline="0" fieldPosition="0">
        <references count="2">
          <reference field="4294967294" count="1" selected="0">
            <x v="0"/>
          </reference>
          <reference field="6" count="1" selected="0">
            <x v="1"/>
          </reference>
        </references>
      </pivotArea>
    </chartFormat>
    <chartFormat chart="4" format="25">
      <pivotArea type="data" outline="0" fieldPosition="0">
        <references count="2">
          <reference field="4294967294" count="1" selected="0">
            <x v="0"/>
          </reference>
          <reference field="6" count="1" selected="0">
            <x v="2"/>
          </reference>
        </references>
      </pivotArea>
    </chartFormat>
    <chartFormat chart="4" format="26">
      <pivotArea type="data" outline="0" fieldPosition="0">
        <references count="2">
          <reference field="4294967294" count="1" selected="0">
            <x v="0"/>
          </reference>
          <reference field="6" count="1" selected="0">
            <x v="3"/>
          </reference>
        </references>
      </pivotArea>
    </chartFormat>
    <chartFormat chart="4" format="27">
      <pivotArea type="data" outline="0" fieldPosition="0">
        <references count="2">
          <reference field="4294967294" count="1" selected="0">
            <x v="0"/>
          </reference>
          <reference field="6" count="1" selected="0">
            <x v="4"/>
          </reference>
        </references>
      </pivotArea>
    </chartFormat>
    <chartFormat chart="4" format="28">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3100DFB-5BDC-4F69-AEDA-9D09AD52C9D2}" name="Producto_Ingreso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op 5 Productos">
  <location ref="A44:B50" firstHeaderRow="1" firstDataRow="1" firstDataCol="1"/>
  <pivotFields count="10">
    <pivotField axis="axisRow" showAll="0" measureFilter="1" sortType="ascending">
      <items count="345">
        <item x="325"/>
        <item x="134"/>
        <item x="62"/>
        <item x="180"/>
        <item x="276"/>
        <item x="233"/>
        <item x="33"/>
        <item x="131"/>
        <item x="342"/>
        <item x="335"/>
        <item x="265"/>
        <item x="175"/>
        <item x="300"/>
        <item x="205"/>
        <item x="261"/>
        <item x="188"/>
        <item x="271"/>
        <item x="273"/>
        <item x="141"/>
        <item x="331"/>
        <item x="181"/>
        <item x="307"/>
        <item x="119"/>
        <item x="45"/>
        <item x="110"/>
        <item x="313"/>
        <item x="264"/>
        <item x="171"/>
        <item x="35"/>
        <item x="76"/>
        <item x="218"/>
        <item x="177"/>
        <item x="66"/>
        <item x="103"/>
        <item x="22"/>
        <item x="2"/>
        <item x="31"/>
        <item x="312"/>
        <item x="185"/>
        <item x="190"/>
        <item x="284"/>
        <item x="251"/>
        <item x="86"/>
        <item x="32"/>
        <item x="298"/>
        <item x="73"/>
        <item x="277"/>
        <item x="204"/>
        <item x="89"/>
        <item x="225"/>
        <item x="259"/>
        <item x="288"/>
        <item x="245"/>
        <item x="146"/>
        <item x="127"/>
        <item x="70"/>
        <item x="183"/>
        <item x="169"/>
        <item x="246"/>
        <item x="199"/>
        <item x="24"/>
        <item x="278"/>
        <item x="255"/>
        <item x="126"/>
        <item x="78"/>
        <item x="67"/>
        <item x="151"/>
        <item x="163"/>
        <item x="266"/>
        <item x="178"/>
        <item x="187"/>
        <item x="247"/>
        <item x="56"/>
        <item x="68"/>
        <item x="124"/>
        <item x="1"/>
        <item x="145"/>
        <item x="83"/>
        <item x="54"/>
        <item x="290"/>
        <item x="91"/>
        <item x="291"/>
        <item x="213"/>
        <item x="333"/>
        <item x="139"/>
        <item x="256"/>
        <item x="320"/>
        <item x="194"/>
        <item x="215"/>
        <item x="148"/>
        <item x="223"/>
        <item x="231"/>
        <item x="111"/>
        <item x="209"/>
        <item x="106"/>
        <item x="55"/>
        <item x="65"/>
        <item x="182"/>
        <item x="269"/>
        <item x="328"/>
        <item x="37"/>
        <item x="26"/>
        <item x="195"/>
        <item x="229"/>
        <item x="234"/>
        <item x="275"/>
        <item x="25"/>
        <item x="17"/>
        <item x="3"/>
        <item x="198"/>
        <item x="224"/>
        <item x="322"/>
        <item x="158"/>
        <item x="49"/>
        <item x="299"/>
        <item x="123"/>
        <item x="12"/>
        <item x="321"/>
        <item x="207"/>
        <item x="20"/>
        <item x="113"/>
        <item x="219"/>
        <item x="257"/>
        <item x="326"/>
        <item x="81"/>
        <item x="21"/>
        <item x="315"/>
        <item x="232"/>
        <item x="293"/>
        <item x="329"/>
        <item x="41"/>
        <item x="64"/>
        <item x="102"/>
        <item x="227"/>
        <item x="18"/>
        <item x="125"/>
        <item x="172"/>
        <item x="130"/>
        <item x="211"/>
        <item x="104"/>
        <item x="239"/>
        <item x="337"/>
        <item x="249"/>
        <item x="155"/>
        <item x="314"/>
        <item x="136"/>
        <item x="10"/>
        <item x="221"/>
        <item x="11"/>
        <item x="28"/>
        <item x="189"/>
        <item x="13"/>
        <item x="160"/>
        <item x="297"/>
        <item x="95"/>
        <item x="302"/>
        <item x="220"/>
        <item x="166"/>
        <item x="203"/>
        <item x="132"/>
        <item x="236"/>
        <item x="167"/>
        <item x="105"/>
        <item x="310"/>
        <item x="122"/>
        <item x="80"/>
        <item x="101"/>
        <item x="138"/>
        <item x="0"/>
        <item x="16"/>
        <item x="309"/>
        <item x="156"/>
        <item x="283"/>
        <item x="109"/>
        <item x="79"/>
        <item x="69"/>
        <item x="87"/>
        <item x="44"/>
        <item x="118"/>
        <item x="193"/>
        <item x="212"/>
        <item x="27"/>
        <item x="262"/>
        <item x="94"/>
        <item x="46"/>
        <item x="142"/>
        <item x="164"/>
        <item x="274"/>
        <item x="114"/>
        <item x="206"/>
        <item x="222"/>
        <item x="301"/>
        <item x="289"/>
        <item x="334"/>
        <item x="311"/>
        <item x="99"/>
        <item x="179"/>
        <item x="74"/>
        <item x="5"/>
        <item x="286"/>
        <item x="217"/>
        <item x="168"/>
        <item x="208"/>
        <item x="161"/>
        <item x="317"/>
        <item x="61"/>
        <item x="53"/>
        <item x="292"/>
        <item x="174"/>
        <item x="324"/>
        <item x="159"/>
        <item x="242"/>
        <item x="316"/>
        <item x="19"/>
        <item x="318"/>
        <item x="137"/>
        <item x="58"/>
        <item x="282"/>
        <item x="226"/>
        <item x="186"/>
        <item x="340"/>
        <item x="116"/>
        <item x="34"/>
        <item x="343"/>
        <item x="144"/>
        <item x="305"/>
        <item x="308"/>
        <item x="154"/>
        <item x="147"/>
        <item x="82"/>
        <item x="29"/>
        <item x="43"/>
        <item x="270"/>
        <item x="258"/>
        <item x="202"/>
        <item x="108"/>
        <item x="252"/>
        <item x="230"/>
        <item x="51"/>
        <item x="48"/>
        <item x="72"/>
        <item x="272"/>
        <item x="85"/>
        <item x="176"/>
        <item x="296"/>
        <item x="287"/>
        <item x="71"/>
        <item x="135"/>
        <item x="235"/>
        <item x="184"/>
        <item x="263"/>
        <item x="77"/>
        <item x="237"/>
        <item x="93"/>
        <item x="90"/>
        <item x="162"/>
        <item x="285"/>
        <item x="332"/>
        <item x="9"/>
        <item x="47"/>
        <item x="63"/>
        <item x="140"/>
        <item x="100"/>
        <item x="243"/>
        <item x="210"/>
        <item x="165"/>
        <item x="4"/>
        <item x="30"/>
        <item x="323"/>
        <item x="281"/>
        <item x="228"/>
        <item x="295"/>
        <item x="36"/>
        <item x="14"/>
        <item x="60"/>
        <item x="97"/>
        <item x="173"/>
        <item x="327"/>
        <item x="112"/>
        <item x="279"/>
        <item x="15"/>
        <item x="214"/>
        <item x="200"/>
        <item x="96"/>
        <item x="92"/>
        <item x="59"/>
        <item x="294"/>
        <item x="57"/>
        <item x="23"/>
        <item x="129"/>
        <item x="84"/>
        <item x="7"/>
        <item x="339"/>
        <item x="336"/>
        <item x="341"/>
        <item x="267"/>
        <item x="98"/>
        <item x="75"/>
        <item x="330"/>
        <item x="216"/>
        <item x="250"/>
        <item x="115"/>
        <item x="107"/>
        <item x="117"/>
        <item x="6"/>
        <item x="120"/>
        <item x="121"/>
        <item x="254"/>
        <item x="39"/>
        <item x="280"/>
        <item x="191"/>
        <item x="128"/>
        <item x="150"/>
        <item x="244"/>
        <item x="157"/>
        <item x="170"/>
        <item x="192"/>
        <item x="253"/>
        <item x="50"/>
        <item x="52"/>
        <item x="306"/>
        <item x="201"/>
        <item x="38"/>
        <item x="152"/>
        <item x="338"/>
        <item x="238"/>
        <item x="8"/>
        <item x="241"/>
        <item x="88"/>
        <item x="40"/>
        <item x="240"/>
        <item x="248"/>
        <item x="268"/>
        <item x="303"/>
        <item x="133"/>
        <item x="197"/>
        <item x="196"/>
        <item x="149"/>
        <item x="304"/>
        <item x="143"/>
        <item x="42"/>
        <item x="153"/>
        <item x="319"/>
        <item x="260"/>
        <item t="default"/>
      </items>
      <autoSortScope>
        <pivotArea dataOnly="0" outline="0" fieldPosition="0">
          <references count="1">
            <reference field="4294967294" count="1" selected="0">
              <x v="0"/>
            </reference>
          </references>
        </pivotArea>
      </autoSortScope>
    </pivotField>
    <pivotField showAll="0" measureFilter="1">
      <items count="94">
        <item x="62"/>
        <item x="67"/>
        <item x="39"/>
        <item x="24"/>
        <item x="19"/>
        <item x="45"/>
        <item x="65"/>
        <item x="42"/>
        <item x="5"/>
        <item x="8"/>
        <item x="81"/>
        <item x="6"/>
        <item x="79"/>
        <item x="48"/>
        <item x="25"/>
        <item x="11"/>
        <item x="36"/>
        <item x="76"/>
        <item x="29"/>
        <item x="28"/>
        <item x="53"/>
        <item x="9"/>
        <item x="32"/>
        <item x="4"/>
        <item x="15"/>
        <item x="72"/>
        <item x="64"/>
        <item x="85"/>
        <item x="23"/>
        <item x="14"/>
        <item x="89"/>
        <item x="46"/>
        <item x="61"/>
        <item x="7"/>
        <item x="54"/>
        <item x="52"/>
        <item x="13"/>
        <item x="44"/>
        <item x="74"/>
        <item x="26"/>
        <item x="12"/>
        <item x="20"/>
        <item x="78"/>
        <item x="68"/>
        <item x="66"/>
        <item x="34"/>
        <item x="60"/>
        <item x="57"/>
        <item x="59"/>
        <item x="18"/>
        <item x="55"/>
        <item x="10"/>
        <item x="91"/>
        <item x="21"/>
        <item x="37"/>
        <item x="80"/>
        <item x="43"/>
        <item x="92"/>
        <item x="82"/>
        <item x="1"/>
        <item x="75"/>
        <item x="38"/>
        <item x="63"/>
        <item x="86"/>
        <item x="17"/>
        <item x="50"/>
        <item x="73"/>
        <item x="87"/>
        <item x="31"/>
        <item x="33"/>
        <item x="47"/>
        <item x="77"/>
        <item x="40"/>
        <item x="16"/>
        <item x="71"/>
        <item x="0"/>
        <item x="27"/>
        <item x="49"/>
        <item x="70"/>
        <item x="56"/>
        <item x="84"/>
        <item x="90"/>
        <item x="51"/>
        <item x="30"/>
        <item x="58"/>
        <item x="69"/>
        <item x="22"/>
        <item x="2"/>
        <item x="83"/>
        <item x="35"/>
        <item x="41"/>
        <item x="88"/>
        <item x="3"/>
        <item t="default"/>
      </items>
    </pivotField>
    <pivotField showAll="0"/>
    <pivotField numFmtId="3" showAll="0">
      <items count="7">
        <item x="2"/>
        <item x="0"/>
        <item x="5"/>
        <item x="3"/>
        <item x="1"/>
        <item x="4"/>
        <item t="default"/>
      </items>
    </pivotField>
    <pivotField dataField="1" numFmtId="4" showAll="0"/>
    <pivotField numFmtId="4" showAll="0"/>
    <pivotField showAll="0">
      <items count="7">
        <item x="0"/>
        <item x="1"/>
        <item x="4"/>
        <item x="2"/>
        <item x="5"/>
        <item x="3"/>
        <item t="default"/>
      </items>
    </pivotField>
    <pivotField showAll="0">
      <items count="9">
        <item x="5"/>
        <item x="4"/>
        <item x="2"/>
        <item x="0"/>
        <item x="3"/>
        <item x="6"/>
        <item x="7"/>
        <item x="1"/>
        <item t="default"/>
      </items>
    </pivotField>
    <pivotField dragToRow="0" dragToCol="0" dragToPage="0" showAll="0" defaultSubtotal="0"/>
    <pivotField dragToRow="0" dragToCol="0" dragToPage="0" showAll="0" defaultSubtotal="0"/>
  </pivotFields>
  <rowFields count="1">
    <field x="0"/>
  </rowFields>
  <rowItems count="6">
    <i>
      <x v="183"/>
    </i>
    <i>
      <x v="100"/>
    </i>
    <i>
      <x v="285"/>
    </i>
    <i>
      <x v="308"/>
    </i>
    <i>
      <x v="82"/>
    </i>
    <i t="grand">
      <x/>
    </i>
  </rowItems>
  <colItems count="1">
    <i/>
  </colItems>
  <dataFields count="1">
    <dataField name="$ Ingresos" fld="4" baseField="0" baseItem="0" numFmtId="4"/>
  </dataFields>
  <formats count="5">
    <format dxfId="119">
      <pivotArea type="all" dataOnly="0" outline="0" fieldPosition="0"/>
    </format>
    <format dxfId="118">
      <pivotArea outline="0" collapsedLevelsAreSubtotals="1" fieldPosition="0"/>
    </format>
    <format dxfId="117">
      <pivotArea field="7" type="button" dataOnly="0" labelOnly="1" outline="0"/>
    </format>
    <format dxfId="116">
      <pivotArea dataOnly="0" labelOnly="1" grandRow="1" outline="0" fieldPosition="0"/>
    </format>
    <format dxfId="115">
      <pivotArea dataOnly="0" labelOnly="1" outline="0" axis="axisValues" fieldPosition="0"/>
    </format>
  </formats>
  <chartFormats count="4">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count" evalOrder="-1" id="1" iMeasureFld="0">
      <autoFilter ref="A1">
        <filterColumn colId="0">
          <top10 val="5" filterVal="5"/>
        </filterColumn>
      </autoFilter>
    </filter>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32A56BF-1DAB-4B79-9548-D6B3127CD06F}" name="PivotTable3" cacheId="4"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rowHeaderCaption="Region/Cliente">
  <location ref="E28:G35" firstHeaderRow="0" firstDataRow="1" firstDataCol="1"/>
  <pivotFields count="10">
    <pivotField showAll="0"/>
    <pivotField axis="axisRow" showAll="0">
      <items count="94">
        <item x="62"/>
        <item x="67"/>
        <item x="39"/>
        <item x="24"/>
        <item x="19"/>
        <item x="45"/>
        <item x="65"/>
        <item x="42"/>
        <item x="5"/>
        <item x="8"/>
        <item x="81"/>
        <item x="6"/>
        <item x="79"/>
        <item x="48"/>
        <item x="25"/>
        <item x="11"/>
        <item x="36"/>
        <item x="76"/>
        <item x="29"/>
        <item x="28"/>
        <item x="53"/>
        <item x="9"/>
        <item x="32"/>
        <item x="4"/>
        <item x="15"/>
        <item x="72"/>
        <item x="64"/>
        <item x="85"/>
        <item x="23"/>
        <item x="14"/>
        <item x="89"/>
        <item x="46"/>
        <item x="61"/>
        <item x="7"/>
        <item x="54"/>
        <item x="52"/>
        <item x="13"/>
        <item x="44"/>
        <item x="74"/>
        <item x="26"/>
        <item x="12"/>
        <item x="20"/>
        <item x="78"/>
        <item x="68"/>
        <item x="66"/>
        <item x="34"/>
        <item x="60"/>
        <item x="57"/>
        <item x="59"/>
        <item x="18"/>
        <item x="55"/>
        <item x="10"/>
        <item x="91"/>
        <item x="21"/>
        <item x="37"/>
        <item x="80"/>
        <item x="43"/>
        <item x="92"/>
        <item x="82"/>
        <item x="1"/>
        <item x="75"/>
        <item x="38"/>
        <item x="63"/>
        <item x="86"/>
        <item x="17"/>
        <item x="50"/>
        <item x="73"/>
        <item x="87"/>
        <item x="31"/>
        <item x="33"/>
        <item x="47"/>
        <item x="77"/>
        <item x="40"/>
        <item x="16"/>
        <item x="71"/>
        <item x="0"/>
        <item x="27"/>
        <item x="49"/>
        <item x="70"/>
        <item x="56"/>
        <item x="84"/>
        <item x="90"/>
        <item x="51"/>
        <item x="30"/>
        <item x="58"/>
        <item x="69"/>
        <item x="22"/>
        <item x="2"/>
        <item x="83"/>
        <item x="35"/>
        <item x="41"/>
        <item x="88"/>
        <item x="3"/>
        <item t="default"/>
      </items>
    </pivotField>
    <pivotField showAll="0"/>
    <pivotField numFmtId="3" showAll="0">
      <items count="7">
        <item x="2"/>
        <item x="0"/>
        <item x="5"/>
        <item x="3"/>
        <item x="1"/>
        <item x="4"/>
        <item t="default"/>
      </items>
    </pivotField>
    <pivotField numFmtId="4" showAll="0"/>
    <pivotField numFmtId="4" showAll="0"/>
    <pivotField axis="axisRow" showAll="0">
      <items count="7">
        <item sd="0" x="0"/>
        <item sd="0" x="1"/>
        <item sd="0" x="4"/>
        <item sd="0" x="2"/>
        <item sd="0" x="5"/>
        <item sd="0" x="3"/>
        <item t="default" sd="0"/>
      </items>
    </pivotField>
    <pivotField showAll="0">
      <items count="9">
        <item x="5"/>
        <item x="4"/>
        <item x="2"/>
        <item x="0"/>
        <item x="3"/>
        <item x="6"/>
        <item x="7"/>
        <item x="1"/>
        <item t="default"/>
      </items>
    </pivotField>
    <pivotField dataField="1" dragToRow="0" dragToCol="0" dragToPage="0" showAll="0" defaultSubtotal="0"/>
    <pivotField dataField="1" dragToRow="0" dragToCol="0" dragToPage="0" showAll="0" defaultSubtotal="0"/>
  </pivotFields>
  <rowFields count="2">
    <field x="6"/>
    <field x="1"/>
  </rowFields>
  <rowItems count="7">
    <i>
      <x/>
    </i>
    <i>
      <x v="1"/>
    </i>
    <i>
      <x v="2"/>
    </i>
    <i>
      <x v="3"/>
    </i>
    <i>
      <x v="4"/>
    </i>
    <i>
      <x v="5"/>
    </i>
    <i t="grand">
      <x/>
    </i>
  </rowItems>
  <colFields count="1">
    <field x="-2"/>
  </colFields>
  <colItems count="2">
    <i>
      <x/>
    </i>
    <i i="1">
      <x v="1"/>
    </i>
  </colItems>
  <dataFields count="2">
    <dataField name="% Utilidad" fld="8" subtotal="product" baseField="6" baseItem="0" numFmtId="164"/>
    <dataField name="% Margen" fld="9" baseField="0" baseItem="0" numFmtId="10"/>
  </dataField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DD8F0F6-71CC-4F93-85F2-01A98F019AFB}"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1:C18" firstHeaderRow="0" firstDataRow="1" firstDataCol="1"/>
  <pivotFields count="10">
    <pivotField showAll="0"/>
    <pivotField showAll="0"/>
    <pivotField showAll="0"/>
    <pivotField axis="axisRow" numFmtId="3" showAll="0">
      <items count="7">
        <item x="2"/>
        <item x="0"/>
        <item x="5"/>
        <item x="3"/>
        <item x="1"/>
        <item x="4"/>
        <item t="default"/>
      </items>
    </pivotField>
    <pivotField numFmtId="4" showAll="0"/>
    <pivotField numFmtId="4" showAll="0"/>
    <pivotField showAll="0">
      <items count="7">
        <item x="0"/>
        <item x="1"/>
        <item x="4"/>
        <item x="2"/>
        <item x="5"/>
        <item x="3"/>
        <item t="default"/>
      </items>
    </pivotField>
    <pivotField showAll="0">
      <items count="9">
        <item x="5"/>
        <item x="4"/>
        <item x="2"/>
        <item x="0"/>
        <item x="3"/>
        <item x="6"/>
        <item x="7"/>
        <item x="1"/>
        <item t="default"/>
      </items>
    </pivotField>
    <pivotField dataField="1" dragToRow="0" dragToCol="0" dragToPage="0" showAll="0" defaultSubtotal="0"/>
    <pivotField dataField="1" dragToRow="0" dragToCol="0" dragToPage="0" showAll="0" defaultSubtotal="0"/>
  </pivotFields>
  <rowFields count="1">
    <field x="3"/>
  </rowFields>
  <rowItems count="7">
    <i>
      <x/>
    </i>
    <i>
      <x v="1"/>
    </i>
    <i>
      <x v="2"/>
    </i>
    <i>
      <x v="3"/>
    </i>
    <i>
      <x v="4"/>
    </i>
    <i>
      <x v="5"/>
    </i>
    <i t="grand">
      <x/>
    </i>
  </rowItems>
  <colFields count="1">
    <field x="-2"/>
  </colFields>
  <colItems count="2">
    <i>
      <x/>
    </i>
    <i i="1">
      <x v="1"/>
    </i>
  </colItems>
  <dataFields count="2">
    <dataField name="$ Utilidad" fld="8" baseField="6" baseItem="0" numFmtId="164"/>
    <dataField name="% Margen" fld="9" baseField="6" baseItem="0" numFmtId="1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5C93E11-0025-474D-B025-815533AEE838}"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C9" firstHeaderRow="0" firstDataRow="1" firstDataCol="1"/>
  <pivotFields count="10">
    <pivotField showAll="0"/>
    <pivotField showAll="0"/>
    <pivotField showAll="0"/>
    <pivotField numFmtId="3" showAll="0">
      <items count="7">
        <item x="2"/>
        <item x="0"/>
        <item x="5"/>
        <item x="3"/>
        <item x="1"/>
        <item x="4"/>
        <item t="default"/>
      </items>
    </pivotField>
    <pivotField numFmtId="4" showAll="0"/>
    <pivotField numFmtId="4" showAll="0"/>
    <pivotField axis="axisRow" showAll="0">
      <items count="7">
        <item x="0"/>
        <item x="1"/>
        <item x="4"/>
        <item x="2"/>
        <item x="5"/>
        <item x="3"/>
        <item t="default"/>
      </items>
    </pivotField>
    <pivotField showAll="0">
      <items count="9">
        <item x="5"/>
        <item x="4"/>
        <item x="2"/>
        <item x="0"/>
        <item x="3"/>
        <item x="6"/>
        <item x="7"/>
        <item x="1"/>
        <item t="default"/>
      </items>
    </pivotField>
    <pivotField dataField="1" dragToRow="0" dragToCol="0" dragToPage="0" showAll="0" defaultSubtotal="0"/>
    <pivotField dataField="1" dragToRow="0" dragToCol="0" dragToPage="0" showAll="0" defaultSubtotal="0"/>
  </pivotFields>
  <rowFields count="1">
    <field x="6"/>
  </rowFields>
  <rowItems count="7">
    <i>
      <x/>
    </i>
    <i>
      <x v="1"/>
    </i>
    <i>
      <x v="2"/>
    </i>
    <i>
      <x v="3"/>
    </i>
    <i>
      <x v="4"/>
    </i>
    <i>
      <x v="5"/>
    </i>
    <i t="grand">
      <x/>
    </i>
  </rowItems>
  <colFields count="1">
    <field x="-2"/>
  </colFields>
  <colItems count="2">
    <i>
      <x/>
    </i>
    <i i="1">
      <x v="1"/>
    </i>
  </colItems>
  <dataFields count="2">
    <dataField name="$ Utilidad" fld="8" baseField="6" baseItem="0" numFmtId="164"/>
    <dataField name="% Margen" fld="9" baseField="6" baseItem="0" numFmtId="1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C258FFC-DD53-4265-8D0E-1E3F815C3536}" sourceName="Region">
  <pivotTables>
    <pivotTable tabId="13" name="Region_Ingresos"/>
    <pivotTable tabId="13" name="Cliente_Ingresos"/>
    <pivotTable tabId="13" name="Periodo_Ingresos"/>
    <pivotTable tabId="13" name="Producto_Ingresos"/>
    <pivotTable tabId="13" name="Tipo_Producto_Ingresos"/>
  </pivotTables>
  <data>
    <tabular pivotCacheId="1287139353">
      <items count="6">
        <i x="0" s="1"/>
        <i x="1" s="1"/>
        <i x="4" s="1"/>
        <i x="2" s="1"/>
        <i x="5"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íodo" xr10:uid="{22C0EBC1-2718-4EF4-BD61-F8563B3F396B}" sourceName="Período">
  <pivotTables>
    <pivotTable tabId="13" name="Region_Ingresos"/>
    <pivotTable tabId="13" name="Cliente_Ingresos"/>
    <pivotTable tabId="13" name="Periodo_Ingresos"/>
    <pivotTable tabId="13" name="Producto_Ingresos"/>
    <pivotTable tabId="13" name="Tipo_Producto_Ingresos"/>
  </pivotTables>
  <data>
    <tabular pivotCacheId="1287139353">
      <items count="6">
        <i x="2" s="1"/>
        <i x="0" s="1"/>
        <i x="5" s="1"/>
        <i x="3"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po_Producto" xr10:uid="{CCCFEEB1-BAC2-4F57-AF42-CD7212F1B36A}" sourceName="Tipo Producto">
  <pivotTables>
    <pivotTable tabId="15" name="PivotTable3"/>
    <pivotTable tabId="15" name="PivotTable1"/>
    <pivotTable tabId="15" name="PivotTable2"/>
  </pivotTables>
  <data>
    <tabular pivotCacheId="1287139353">
      <items count="8">
        <i x="5" s="1"/>
        <i x="4" s="1"/>
        <i x="2" s="1"/>
        <i x="0" s="1"/>
        <i x="3" s="1"/>
        <i x="6" s="1"/>
        <i x="7"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B9945D6-2D87-49F4-BB4C-C0F2BC687CD0}" sourceName="Region">
  <pivotTables>
    <pivotTable tabId="15" name="PivotTable3"/>
    <pivotTable tabId="15" name="PivotTable1"/>
    <pivotTable tabId="15" name="PivotTable2"/>
  </pivotTables>
  <data>
    <tabular pivotCacheId="1287139353">
      <items count="6">
        <i x="0" s="1"/>
        <i x="1" s="1"/>
        <i x="4" s="1"/>
        <i x="2" s="1"/>
        <i x="5"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íodo1" xr10:uid="{76A3EBE2-E5D0-48EF-85FC-B8B7887EE23C}" sourceName="Período">
  <pivotTables>
    <pivotTable tabId="15" name="PivotTable3"/>
    <pivotTable tabId="15" name="PivotTable1"/>
    <pivotTable tabId="15" name="PivotTable2"/>
  </pivotTables>
  <data>
    <tabular pivotCacheId="1287139353">
      <items count="6">
        <i x="2" s="1"/>
        <i x="0" s="1"/>
        <i x="5" s="1"/>
        <i x="3"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CC2BD65-FC67-4406-ABC4-12D9DB33C783}" cache="Slicer_Region" caption="Region" columnCount="2" style="SlicerStyleDark1" rowHeight="241300"/>
  <slicer name="Período" xr10:uid="{12394356-37F6-4AA7-9566-D2B7930AAFE4}" cache="Slicer_Período" caption="Período" columnCount="2"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po Producto" xr10:uid="{FC763A4D-1687-456E-AC28-83340C02429F}" cache="Slicer_Tipo_Producto" caption="Tipo Producto" columnCount="4" style="SlicerStyleDark5" rowHeight="241300"/>
  <slicer name="Region 1" xr10:uid="{0EDF16FA-651C-491C-BF1A-D49354EDB474}" cache="Slicer_Region1" caption="Region" columnCount="3" style="SlicerStyleDark5" rowHeight="241300"/>
  <slicer name="Período 1" xr10:uid="{8C57A759-A4B0-4BF8-A880-9FB664782FEA}" cache="Slicer_Período1" caption="Período" columnCount="3" style="SlicerStyleDark5"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4AAC25D-46C4-4A40-BA02-2DB093839FD8}" name="Registros" displayName="Registros" ref="A1:H3092" totalsRowShown="0" headerRowDxfId="150" dataDxfId="148" headerRowBorderDxfId="149" headerRowCellStyle="Normal 2" dataCellStyle="Normal 2">
  <autoFilter ref="A1:H3092" xr:uid="{34AAC25D-46C4-4A40-BA02-2DB093839FD8}"/>
  <tableColumns count="8">
    <tableColumn id="1" xr3:uid="{41B7161D-49D3-4EDA-B6F5-48632D981E1F}" name="Producto" dataDxfId="147" dataCellStyle="Normal 2"/>
    <tableColumn id="2" xr3:uid="{1E3C69CF-4214-4D92-80D3-714457141DD8}" name="Cliente" dataDxfId="146" dataCellStyle="Normal 2"/>
    <tableColumn id="4" xr3:uid="{4C3AB858-1955-4405-9D69-A26F70FA0BD5}" name="Año" dataDxfId="145" dataCellStyle="Normal 2"/>
    <tableColumn id="5" xr3:uid="{32C99B66-40E1-4B33-B73C-67D89014A743}" name="Período" dataDxfId="144" dataCellStyle="Normal 2"/>
    <tableColumn id="6" xr3:uid="{12EAC407-2FA1-429F-BC34-298027C9A350}" name="Ingresos" dataDxfId="143" dataCellStyle="Normal 2"/>
    <tableColumn id="7" xr3:uid="{F64DF180-0576-4FC5-8171-3157FA035E8C}" name="Costos" dataDxfId="142" dataCellStyle="Normal 2"/>
    <tableColumn id="8" xr3:uid="{A6FB9D26-EF08-4879-971A-B7E2C455F646}" name="Region" dataDxfId="141" dataCellStyle="Normal 2">
      <calculatedColumnFormula>VLOOKUP(Registros[[#This Row],[Cliente]],Cliente_Region[],2,FALSE)</calculatedColumnFormula>
    </tableColumn>
    <tableColumn id="9" xr3:uid="{7A45361C-7691-4979-8D70-64C005449B2F}" name="Tipo Producto" dataDxfId="140" dataCellStyle="Normal 2">
      <calculatedColumnFormula>VLOOKUP(Registros[[#This Row],[Producto]],Producto[],2,FALSE)</calculatedColumnFormula>
    </tableColumn>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8A0C86A-727F-4B66-80AE-0348839F5F69}" name="Cliente_Region" displayName="Cliente_Region" ref="A1:B94" totalsRowShown="0" headerRowDxfId="139" dataDxfId="138" headerRowCellStyle="Normal 2" dataCellStyle="Normal 2">
  <autoFilter ref="A1:B94" xr:uid="{78A0C86A-727F-4B66-80AE-0348839F5F69}"/>
  <tableColumns count="2">
    <tableColumn id="1" xr3:uid="{F454373E-ED92-40DC-B59A-D3427F86FCE2}" name="Cliente" dataDxfId="137" dataCellStyle="Normal 2"/>
    <tableColumn id="2" xr3:uid="{85916256-B8BF-47D0-82B6-ADCA73681182}" name="Region" dataDxfId="136" dataCellStyle="Normal 2"/>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42E41EC-10B4-4DF3-81E5-4524FF2F0375}" name="Producto" displayName="Producto" ref="D1:E345" totalsRowShown="0" headerRowDxfId="135" dataDxfId="134" headerRowCellStyle="Normal 2" dataCellStyle="Normal 2">
  <autoFilter ref="D1:E345" xr:uid="{B42E41EC-10B4-4DF3-81E5-4524FF2F0375}"/>
  <tableColumns count="2">
    <tableColumn id="1" xr3:uid="{CB18ADDD-4E17-41AA-97D2-20E332A6C0DD}" name="Producto" dataDxfId="133" dataCellStyle="Normal 2"/>
    <tableColumn id="2" xr3:uid="{AAA7E1F9-B0D0-40BB-B1A7-068F4CC445E3}" name="Tipo de Producto" dataDxfId="132" dataCellStyle="Normal 2"/>
  </tableColumns>
  <tableStyleInfo name="TableStyleLight10"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_rels/themeOverride5.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Banded">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Banded">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nded">
      <a:fillStyleLst>
        <a:solidFill>
          <a:schemeClr val="phClr"/>
        </a:solidFill>
        <a:gradFill rotWithShape="1">
          <a:gsLst>
            <a:gs pos="0">
              <a:schemeClr val="phClr">
                <a:tint val="65000"/>
                <a:satMod val="120000"/>
                <a:lumMod val="107000"/>
              </a:schemeClr>
            </a:gs>
            <a:gs pos="50000">
              <a:schemeClr val="phClr">
                <a:tint val="70000"/>
                <a:satMod val="124000"/>
                <a:lumMod val="103000"/>
              </a:schemeClr>
            </a:gs>
            <a:gs pos="100000">
              <a:schemeClr val="phClr">
                <a:tint val="85000"/>
                <a:satMod val="120000"/>
                <a:lumMod val="100000"/>
              </a:schemeClr>
            </a:gs>
          </a:gsLst>
          <a:lin ang="5400000" scaled="0"/>
        </a:gradFill>
        <a:gradFill rotWithShape="1">
          <a:gsLst>
            <a:gs pos="0">
              <a:schemeClr val="phClr">
                <a:tint val="85000"/>
                <a:shade val="98000"/>
                <a:satMod val="110000"/>
                <a:lumMod val="103000"/>
              </a:schemeClr>
            </a:gs>
            <a:gs pos="50000">
              <a:schemeClr val="phClr">
                <a:shade val="85000"/>
                <a:satMod val="105000"/>
                <a:lumMod val="100000"/>
              </a:schemeClr>
            </a:gs>
            <a:gs pos="100000">
              <a:schemeClr val="phClr">
                <a:shade val="60000"/>
                <a:satMod val="12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15875" dir="5400000" algn="ctr" rotWithShape="0">
              <a:srgbClr val="000000">
                <a:alpha val="68000"/>
              </a:srgbClr>
            </a:outerShdw>
          </a:effectLst>
        </a:effectStyle>
        <a:effectStyle>
          <a:effectLst>
            <a:outerShdw blurRad="88900" dist="27940" dir="5400000" algn="ctr" rotWithShape="0">
              <a:srgbClr val="000000">
                <a:alpha val="63000"/>
              </a:srgbClr>
            </a:outerShdw>
          </a:effectLst>
        </a:effectStyle>
      </a:effectStyleLst>
      <a:bgFillStyleLst>
        <a:solidFill>
          <a:schemeClr val="phClr"/>
        </a:solidFill>
        <a:blipFill rotWithShape="1">
          <a:blip xmlns:r="http://schemas.openxmlformats.org/officeDocument/2006/relationships" r:embed="rId1">
            <a:duotone>
              <a:schemeClr val="phClr"/>
              <a:schemeClr val="phClr">
                <a:shade val="91000"/>
                <a:satMod val="105000"/>
              </a:schemeClr>
            </a:duotone>
          </a:blip>
          <a:tile tx="0" ty="0" sx="100000" sy="100000" flip="none" algn="tl"/>
        </a:blipFill>
        <a:gradFill rotWithShape="1">
          <a:gsLst>
            <a:gs pos="0">
              <a:schemeClr val="phClr">
                <a:tint val="100000"/>
                <a:shade val="0"/>
                <a:satMod val="100000"/>
              </a:schemeClr>
            </a:gs>
            <a:gs pos="100000">
              <a:schemeClr val="phClr">
                <a:shade val="100000"/>
                <a:satMod val="100000"/>
              </a:schemeClr>
            </a:gs>
          </a:gsLst>
          <a:lin ang="5400000" scaled="0"/>
        </a:gradFill>
      </a:bgFillStyleLst>
    </a:fmtScheme>
  </a:themeElements>
  <a:objectDefaults/>
  <a:extraClrSchemeLst/>
  <a:extLst>
    <a:ext uri="{05A4C25C-085E-4340-85A3-A5531E510DB2}">
      <thm15:themeFamily xmlns:thm15="http://schemas.microsoft.com/office/thememl/2012/main" name="Banded" id="{98DFF888-2449-4D28-977C-6306C017633E}" vid="{9792607F-9579-4224-82FF-9C88C3E1E53D}"/>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Banded">
    <a:maj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orbel" panose="020B0503020204020204"/>
      <a:ea typeface=""/>
      <a:cs typeface=""/>
      <a:font script="Jpan" typeface="ＭＳ ゴシック"/>
      <a:font script="Hang" typeface="맑은 고딕"/>
      <a:font script="Hans" typeface="宋体"/>
      <a:font script="Hant" typeface="新細明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Verdana"/>
      <a:font script="Uigh" typeface="Microsoft Uighur"/>
      <a:font script="Geor" typeface="Sylfaen"/>
    </a:minorFont>
  </a:fontScheme>
  <a:fmtScheme name="Banded">
    <a:fillStyleLst>
      <a:solidFill>
        <a:schemeClr val="phClr"/>
      </a:solidFill>
      <a:gradFill rotWithShape="1">
        <a:gsLst>
          <a:gs pos="0">
            <a:schemeClr val="phClr">
              <a:tint val="65000"/>
              <a:satMod val="120000"/>
              <a:lumMod val="107000"/>
            </a:schemeClr>
          </a:gs>
          <a:gs pos="50000">
            <a:schemeClr val="phClr">
              <a:tint val="70000"/>
              <a:satMod val="124000"/>
              <a:lumMod val="103000"/>
            </a:schemeClr>
          </a:gs>
          <a:gs pos="100000">
            <a:schemeClr val="phClr">
              <a:tint val="85000"/>
              <a:satMod val="120000"/>
              <a:lumMod val="100000"/>
            </a:schemeClr>
          </a:gs>
        </a:gsLst>
        <a:lin ang="5400000" scaled="0"/>
      </a:gradFill>
      <a:gradFill rotWithShape="1">
        <a:gsLst>
          <a:gs pos="0">
            <a:schemeClr val="phClr">
              <a:tint val="85000"/>
              <a:shade val="98000"/>
              <a:satMod val="110000"/>
              <a:lumMod val="103000"/>
            </a:schemeClr>
          </a:gs>
          <a:gs pos="50000">
            <a:schemeClr val="phClr">
              <a:shade val="85000"/>
              <a:satMod val="105000"/>
              <a:lumMod val="100000"/>
            </a:schemeClr>
          </a:gs>
          <a:gs pos="100000">
            <a:schemeClr val="phClr">
              <a:shade val="60000"/>
              <a:satMod val="12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50800" dist="15875" dir="5400000" algn="ctr" rotWithShape="0">
            <a:srgbClr val="000000">
              <a:alpha val="68000"/>
            </a:srgbClr>
          </a:outerShdw>
        </a:effectLst>
      </a:effectStyle>
      <a:effectStyle>
        <a:effectLst>
          <a:outerShdw blurRad="88900" dist="27940" dir="5400000" algn="ctr" rotWithShape="0">
            <a:srgbClr val="000000">
              <a:alpha val="63000"/>
            </a:srgbClr>
          </a:outerShdw>
        </a:effectLst>
      </a:effectStyle>
    </a:effectStyleLst>
    <a:bgFillStyleLst>
      <a:solidFill>
        <a:schemeClr val="phClr"/>
      </a:solidFill>
      <a:blipFill rotWithShape="1">
        <a:blip xmlns:r="http://schemas.openxmlformats.org/officeDocument/2006/relationships" r:embed="rId1">
          <a:duotone>
            <a:schemeClr val="phClr"/>
            <a:schemeClr val="phClr">
              <a:shade val="91000"/>
              <a:satMod val="105000"/>
            </a:schemeClr>
          </a:duotone>
        </a:blip>
        <a:tile tx="0" ty="0" sx="100000" sy="100000" flip="none" algn="tl"/>
      </a:blipFill>
      <a:gradFill rotWithShape="1">
        <a:gsLst>
          <a:gs pos="0">
            <a:schemeClr val="phClr">
              <a:tint val="100000"/>
              <a:shade val="0"/>
              <a:satMod val="100000"/>
            </a:schemeClr>
          </a:gs>
          <a:gs pos="100000">
            <a:schemeClr val="phClr">
              <a:shade val="100000"/>
              <a:satMod val="10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4"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12.xml"/><Relationship Id="rId2" Type="http://schemas.openxmlformats.org/officeDocument/2006/relationships/pivotTable" Target="../pivotTables/pivotTable11.xml"/><Relationship Id="rId1" Type="http://schemas.openxmlformats.org/officeDocument/2006/relationships/pivotTable" Target="../pivotTables/pivotTable10.xml"/><Relationship Id="rId5" Type="http://schemas.openxmlformats.org/officeDocument/2006/relationships/pivotTable" Target="../pivotTables/pivotTable14.xml"/><Relationship Id="rId4"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7.xml"/><Relationship Id="rId2" Type="http://schemas.openxmlformats.org/officeDocument/2006/relationships/pivotTable" Target="../pivotTables/pivotTable16.xml"/><Relationship Id="rId1" Type="http://schemas.openxmlformats.org/officeDocument/2006/relationships/pivotTable" Target="../pivotTables/pivotTable15.xml"/><Relationship Id="rId5" Type="http://schemas.microsoft.com/office/2007/relationships/slicer" Target="../slicers/slicer2.xm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83DC1-CF03-43A3-ACC0-D59F42492621}">
  <dimension ref="A3:H98"/>
  <sheetViews>
    <sheetView workbookViewId="0">
      <selection activeCell="B12" sqref="B12"/>
    </sheetView>
  </sheetViews>
  <sheetFormatPr defaultRowHeight="15" x14ac:dyDescent="0.25"/>
  <cols>
    <col min="1" max="1" width="28" bestFit="1" customWidth="1"/>
    <col min="2" max="2" width="14.75" bestFit="1" customWidth="1"/>
    <col min="3" max="4" width="10.625" bestFit="1" customWidth="1"/>
    <col min="5" max="5" width="10.25" bestFit="1" customWidth="1"/>
    <col min="6" max="6" width="10.375" bestFit="1" customWidth="1"/>
    <col min="7" max="7" width="10.5" bestFit="1" customWidth="1"/>
    <col min="8" max="8" width="11.75" bestFit="1" customWidth="1"/>
  </cols>
  <sheetData>
    <row r="3" spans="1:8" x14ac:dyDescent="0.25">
      <c r="A3" s="7" t="s">
        <v>461</v>
      </c>
      <c r="B3" s="7" t="s">
        <v>463</v>
      </c>
    </row>
    <row r="4" spans="1:8" x14ac:dyDescent="0.25">
      <c r="A4" s="7" t="s">
        <v>460</v>
      </c>
      <c r="B4" t="s">
        <v>444</v>
      </c>
      <c r="C4" t="s">
        <v>438</v>
      </c>
      <c r="D4" t="s">
        <v>441</v>
      </c>
      <c r="E4" t="s">
        <v>442</v>
      </c>
      <c r="F4" t="s">
        <v>440</v>
      </c>
      <c r="G4" t="s">
        <v>443</v>
      </c>
      <c r="H4" t="s">
        <v>462</v>
      </c>
    </row>
    <row r="5" spans="1:8" x14ac:dyDescent="0.25">
      <c r="A5" s="8" t="s">
        <v>379</v>
      </c>
      <c r="B5" s="10">
        <v>0</v>
      </c>
      <c r="C5" s="10">
        <v>6624.46</v>
      </c>
      <c r="D5" s="10">
        <v>0</v>
      </c>
      <c r="E5" s="10">
        <v>0</v>
      </c>
      <c r="F5" s="10">
        <v>0</v>
      </c>
      <c r="G5" s="10">
        <v>0</v>
      </c>
      <c r="H5" s="10">
        <v>6624.46</v>
      </c>
    </row>
    <row r="6" spans="1:8" x14ac:dyDescent="0.25">
      <c r="A6" s="8" t="s">
        <v>389</v>
      </c>
      <c r="B6" s="10">
        <v>0</v>
      </c>
      <c r="C6" s="10">
        <v>0</v>
      </c>
      <c r="D6" s="10">
        <v>0</v>
      </c>
      <c r="E6" s="10">
        <v>0</v>
      </c>
      <c r="F6" s="10">
        <v>24854.63</v>
      </c>
      <c r="G6" s="10">
        <v>0</v>
      </c>
      <c r="H6" s="10">
        <v>24854.63</v>
      </c>
    </row>
    <row r="7" spans="1:8" x14ac:dyDescent="0.25">
      <c r="A7" s="8" t="s">
        <v>314</v>
      </c>
      <c r="B7" s="10">
        <v>0</v>
      </c>
      <c r="C7" s="10">
        <v>0</v>
      </c>
      <c r="D7" s="10">
        <v>0</v>
      </c>
      <c r="E7" s="10">
        <v>0</v>
      </c>
      <c r="F7" s="10">
        <v>6800.3699999999981</v>
      </c>
      <c r="G7" s="10">
        <v>0</v>
      </c>
      <c r="H7" s="10">
        <v>6800.3699999999981</v>
      </c>
    </row>
    <row r="8" spans="1:8" x14ac:dyDescent="0.25">
      <c r="A8" s="8" t="s">
        <v>236</v>
      </c>
      <c r="B8" s="10">
        <v>0</v>
      </c>
      <c r="C8" s="10">
        <v>0</v>
      </c>
      <c r="D8" s="10">
        <v>0</v>
      </c>
      <c r="E8" s="10">
        <v>0</v>
      </c>
      <c r="F8" s="10">
        <v>57518.96</v>
      </c>
      <c r="G8" s="10">
        <v>0</v>
      </c>
      <c r="H8" s="10">
        <v>57518.96</v>
      </c>
    </row>
    <row r="9" spans="1:8" x14ac:dyDescent="0.25">
      <c r="A9" s="8" t="s">
        <v>216</v>
      </c>
      <c r="B9" s="10">
        <v>0</v>
      </c>
      <c r="C9" s="10">
        <v>0</v>
      </c>
      <c r="D9" s="10">
        <v>30772.5</v>
      </c>
      <c r="E9" s="10">
        <v>0</v>
      </c>
      <c r="F9" s="10">
        <v>0</v>
      </c>
      <c r="G9" s="10">
        <v>0</v>
      </c>
      <c r="H9" s="10">
        <v>30772.5</v>
      </c>
    </row>
    <row r="10" spans="1:8" x14ac:dyDescent="0.25">
      <c r="A10" s="8" t="s">
        <v>326</v>
      </c>
      <c r="B10" s="10">
        <v>0</v>
      </c>
      <c r="C10" s="10">
        <v>0</v>
      </c>
      <c r="D10" s="10">
        <v>0</v>
      </c>
      <c r="E10" s="10">
        <v>7346.1200000000008</v>
      </c>
      <c r="F10" s="10">
        <v>0</v>
      </c>
      <c r="G10" s="10">
        <v>0</v>
      </c>
      <c r="H10" s="10">
        <v>7346.1200000000008</v>
      </c>
    </row>
    <row r="11" spans="1:8" x14ac:dyDescent="0.25">
      <c r="A11" s="8" t="s">
        <v>382</v>
      </c>
      <c r="B11" s="10">
        <v>0</v>
      </c>
      <c r="C11" s="10">
        <v>8803.91</v>
      </c>
      <c r="D11" s="10">
        <v>0</v>
      </c>
      <c r="E11" s="10">
        <v>0</v>
      </c>
      <c r="F11" s="10">
        <v>0</v>
      </c>
      <c r="G11" s="10">
        <v>0</v>
      </c>
      <c r="H11" s="10">
        <v>8803.91</v>
      </c>
    </row>
    <row r="12" spans="1:8" x14ac:dyDescent="0.25">
      <c r="A12" s="8" t="s">
        <v>319</v>
      </c>
      <c r="B12" s="10">
        <v>0</v>
      </c>
      <c r="C12" s="10">
        <v>0</v>
      </c>
      <c r="D12" s="10">
        <v>0</v>
      </c>
      <c r="E12" s="10">
        <v>0</v>
      </c>
      <c r="F12" s="10">
        <v>465.78000000000003</v>
      </c>
      <c r="G12" s="10">
        <v>0</v>
      </c>
      <c r="H12" s="10">
        <v>465.78000000000003</v>
      </c>
    </row>
    <row r="13" spans="1:8" x14ac:dyDescent="0.25">
      <c r="A13" s="8" t="s">
        <v>76</v>
      </c>
      <c r="B13" s="10">
        <v>0</v>
      </c>
      <c r="C13" s="10">
        <v>0</v>
      </c>
      <c r="D13" s="10">
        <v>22825</v>
      </c>
      <c r="E13" s="10">
        <v>0</v>
      </c>
      <c r="F13" s="10">
        <v>0</v>
      </c>
      <c r="G13" s="10">
        <v>0</v>
      </c>
      <c r="H13" s="10">
        <v>22825</v>
      </c>
    </row>
    <row r="14" spans="1:8" x14ac:dyDescent="0.25">
      <c r="A14" s="8" t="s">
        <v>97</v>
      </c>
      <c r="B14" s="10">
        <v>0</v>
      </c>
      <c r="C14" s="10">
        <v>268565.8</v>
      </c>
      <c r="D14" s="10">
        <v>0</v>
      </c>
      <c r="E14" s="10">
        <v>0</v>
      </c>
      <c r="F14" s="10">
        <v>0</v>
      </c>
      <c r="G14" s="10">
        <v>0</v>
      </c>
      <c r="H14" s="10">
        <v>268565.8</v>
      </c>
    </row>
    <row r="15" spans="1:8" x14ac:dyDescent="0.25">
      <c r="A15" s="8" t="s">
        <v>406</v>
      </c>
      <c r="B15" s="10">
        <v>0</v>
      </c>
      <c r="C15" s="10">
        <v>0</v>
      </c>
      <c r="D15" s="10">
        <v>0</v>
      </c>
      <c r="E15" s="10">
        <v>0</v>
      </c>
      <c r="F15" s="10">
        <v>0</v>
      </c>
      <c r="G15" s="10">
        <v>734.4</v>
      </c>
      <c r="H15" s="10">
        <v>734.4</v>
      </c>
    </row>
    <row r="16" spans="1:8" x14ac:dyDescent="0.25">
      <c r="A16" s="8" t="s">
        <v>85</v>
      </c>
      <c r="B16" s="10">
        <v>0</v>
      </c>
      <c r="C16" s="10">
        <v>2227.75</v>
      </c>
      <c r="D16" s="10">
        <v>0</v>
      </c>
      <c r="E16" s="10">
        <v>0</v>
      </c>
      <c r="F16" s="10">
        <v>0</v>
      </c>
      <c r="G16" s="10">
        <v>0</v>
      </c>
      <c r="H16" s="10">
        <v>2227.75</v>
      </c>
    </row>
    <row r="17" spans="1:8" x14ac:dyDescent="0.25">
      <c r="A17" s="8" t="s">
        <v>404</v>
      </c>
      <c r="B17" s="10">
        <v>0</v>
      </c>
      <c r="C17" s="10">
        <v>0</v>
      </c>
      <c r="D17" s="10">
        <v>240</v>
      </c>
      <c r="E17" s="10">
        <v>0</v>
      </c>
      <c r="F17" s="10">
        <v>0</v>
      </c>
      <c r="G17" s="10">
        <v>0</v>
      </c>
      <c r="H17" s="10">
        <v>240</v>
      </c>
    </row>
    <row r="18" spans="1:8" x14ac:dyDescent="0.25">
      <c r="A18" s="8" t="s">
        <v>332</v>
      </c>
      <c r="B18" s="10">
        <v>20063.789999999994</v>
      </c>
      <c r="C18" s="10">
        <v>0</v>
      </c>
      <c r="D18" s="10">
        <v>0</v>
      </c>
      <c r="E18" s="10">
        <v>0</v>
      </c>
      <c r="F18" s="10">
        <v>0</v>
      </c>
      <c r="G18" s="10">
        <v>0</v>
      </c>
      <c r="H18" s="10">
        <v>20063.789999999994</v>
      </c>
    </row>
    <row r="19" spans="1:8" x14ac:dyDescent="0.25">
      <c r="A19" s="8" t="s">
        <v>239</v>
      </c>
      <c r="B19" s="10">
        <v>0</v>
      </c>
      <c r="C19" s="10">
        <v>0</v>
      </c>
      <c r="D19" s="10">
        <v>0</v>
      </c>
      <c r="E19" s="10">
        <v>80292.55</v>
      </c>
      <c r="F19" s="10">
        <v>0</v>
      </c>
      <c r="G19" s="10">
        <v>0</v>
      </c>
      <c r="H19" s="10">
        <v>80292.55</v>
      </c>
    </row>
    <row r="20" spans="1:8" x14ac:dyDescent="0.25">
      <c r="A20" s="8" t="s">
        <v>193</v>
      </c>
      <c r="B20" s="10">
        <v>0</v>
      </c>
      <c r="C20" s="10">
        <v>0</v>
      </c>
      <c r="D20" s="10">
        <v>0</v>
      </c>
      <c r="E20" s="10">
        <v>0</v>
      </c>
      <c r="F20" s="10">
        <v>102995.76</v>
      </c>
      <c r="G20" s="10">
        <v>0</v>
      </c>
      <c r="H20" s="10">
        <v>102995.76</v>
      </c>
    </row>
    <row r="21" spans="1:8" x14ac:dyDescent="0.25">
      <c r="A21" s="8" t="s">
        <v>303</v>
      </c>
      <c r="B21" s="10">
        <v>0</v>
      </c>
      <c r="C21" s="10">
        <v>832.38</v>
      </c>
      <c r="D21" s="10">
        <v>0</v>
      </c>
      <c r="E21" s="10">
        <v>0</v>
      </c>
      <c r="F21" s="10">
        <v>0</v>
      </c>
      <c r="G21" s="10">
        <v>0</v>
      </c>
      <c r="H21" s="10">
        <v>832.38</v>
      </c>
    </row>
    <row r="22" spans="1:8" x14ac:dyDescent="0.25">
      <c r="A22" s="8" t="s">
        <v>401</v>
      </c>
      <c r="B22" s="10">
        <v>0</v>
      </c>
      <c r="C22" s="10">
        <v>19</v>
      </c>
      <c r="D22" s="10">
        <v>0</v>
      </c>
      <c r="E22" s="10">
        <v>0</v>
      </c>
      <c r="F22" s="10">
        <v>0</v>
      </c>
      <c r="G22" s="10">
        <v>0</v>
      </c>
      <c r="H22" s="10">
        <v>19</v>
      </c>
    </row>
    <row r="23" spans="1:8" x14ac:dyDescent="0.25">
      <c r="A23" s="8" t="s">
        <v>273</v>
      </c>
      <c r="B23" s="10">
        <v>0</v>
      </c>
      <c r="C23" s="10">
        <v>0</v>
      </c>
      <c r="D23" s="10">
        <v>0</v>
      </c>
      <c r="E23" s="10">
        <v>0</v>
      </c>
      <c r="F23" s="10">
        <v>1360.5</v>
      </c>
      <c r="G23" s="10">
        <v>0</v>
      </c>
      <c r="H23" s="10">
        <v>1360.5</v>
      </c>
    </row>
    <row r="24" spans="1:8" x14ac:dyDescent="0.25">
      <c r="A24" s="8" t="s">
        <v>272</v>
      </c>
      <c r="B24" s="10">
        <v>0</v>
      </c>
      <c r="C24" s="10">
        <v>4480</v>
      </c>
      <c r="D24" s="10">
        <v>0</v>
      </c>
      <c r="E24" s="10">
        <v>0</v>
      </c>
      <c r="F24" s="10">
        <v>0</v>
      </c>
      <c r="G24" s="10">
        <v>0</v>
      </c>
      <c r="H24" s="10">
        <v>4480</v>
      </c>
    </row>
    <row r="25" spans="1:8" x14ac:dyDescent="0.25">
      <c r="A25" s="8" t="s">
        <v>348</v>
      </c>
      <c r="B25" s="10">
        <v>6594.3900000000021</v>
      </c>
      <c r="C25" s="10">
        <v>0</v>
      </c>
      <c r="D25" s="10">
        <v>0</v>
      </c>
      <c r="E25" s="10">
        <v>0</v>
      </c>
      <c r="F25" s="10">
        <v>0</v>
      </c>
      <c r="G25" s="10">
        <v>0</v>
      </c>
      <c r="H25" s="10">
        <v>6594.3900000000021</v>
      </c>
    </row>
    <row r="26" spans="1:8" x14ac:dyDescent="0.25">
      <c r="A26" s="8" t="s">
        <v>132</v>
      </c>
      <c r="B26" s="10">
        <v>0</v>
      </c>
      <c r="C26" s="10">
        <v>0</v>
      </c>
      <c r="D26" s="10">
        <v>0</v>
      </c>
      <c r="E26" s="10">
        <v>47453.1</v>
      </c>
      <c r="F26" s="10">
        <v>0</v>
      </c>
      <c r="G26" s="10">
        <v>0</v>
      </c>
      <c r="H26" s="10">
        <v>47453.1</v>
      </c>
    </row>
    <row r="27" spans="1:8" x14ac:dyDescent="0.25">
      <c r="A27" s="8" t="s">
        <v>278</v>
      </c>
      <c r="B27" s="10">
        <v>0</v>
      </c>
      <c r="C27" s="10">
        <v>1352</v>
      </c>
      <c r="D27" s="10">
        <v>0</v>
      </c>
      <c r="E27" s="10">
        <v>0</v>
      </c>
      <c r="F27" s="10">
        <v>0</v>
      </c>
      <c r="G27" s="10">
        <v>0</v>
      </c>
      <c r="H27" s="10">
        <v>1352</v>
      </c>
    </row>
    <row r="28" spans="1:8" x14ac:dyDescent="0.25">
      <c r="A28" s="8" t="s">
        <v>67</v>
      </c>
      <c r="B28" s="10">
        <v>28735.85</v>
      </c>
      <c r="C28" s="10">
        <v>0</v>
      </c>
      <c r="D28" s="10">
        <v>0</v>
      </c>
      <c r="E28" s="10">
        <v>0</v>
      </c>
      <c r="F28" s="10">
        <v>0</v>
      </c>
      <c r="G28" s="10">
        <v>0</v>
      </c>
      <c r="H28" s="10">
        <v>28735.85</v>
      </c>
    </row>
    <row r="29" spans="1:8" x14ac:dyDescent="0.25">
      <c r="A29" s="8" t="s">
        <v>203</v>
      </c>
      <c r="B29" s="10">
        <v>0</v>
      </c>
      <c r="C29" s="10">
        <v>0</v>
      </c>
      <c r="D29" s="10">
        <v>247</v>
      </c>
      <c r="E29" s="10">
        <v>0</v>
      </c>
      <c r="F29" s="10">
        <v>0</v>
      </c>
      <c r="G29" s="10">
        <v>0</v>
      </c>
      <c r="H29" s="10">
        <v>247</v>
      </c>
    </row>
    <row r="30" spans="1:8" x14ac:dyDescent="0.25">
      <c r="A30" s="8" t="s">
        <v>396</v>
      </c>
      <c r="B30" s="10">
        <v>0</v>
      </c>
      <c r="C30" s="10">
        <v>0</v>
      </c>
      <c r="D30" s="10">
        <v>0</v>
      </c>
      <c r="E30" s="10">
        <v>0</v>
      </c>
      <c r="F30" s="10">
        <v>3719.8900000000003</v>
      </c>
      <c r="G30" s="10">
        <v>0</v>
      </c>
      <c r="H30" s="10">
        <v>3719.8900000000003</v>
      </c>
    </row>
    <row r="31" spans="1:8" x14ac:dyDescent="0.25">
      <c r="A31" s="8" t="s">
        <v>381</v>
      </c>
      <c r="B31" s="10">
        <v>0</v>
      </c>
      <c r="C31" s="10">
        <v>4773.3300000000008</v>
      </c>
      <c r="D31" s="10">
        <v>0</v>
      </c>
      <c r="E31" s="10">
        <v>0</v>
      </c>
      <c r="F31" s="10">
        <v>0</v>
      </c>
      <c r="G31" s="10">
        <v>0</v>
      </c>
      <c r="H31" s="10">
        <v>4773.3300000000008</v>
      </c>
    </row>
    <row r="32" spans="1:8" x14ac:dyDescent="0.25">
      <c r="A32" s="8" t="s">
        <v>413</v>
      </c>
      <c r="B32" s="10">
        <v>0</v>
      </c>
      <c r="C32" s="10">
        <v>267</v>
      </c>
      <c r="D32" s="10">
        <v>0</v>
      </c>
      <c r="E32" s="10">
        <v>0</v>
      </c>
      <c r="F32" s="10">
        <v>0</v>
      </c>
      <c r="G32" s="10">
        <v>0</v>
      </c>
      <c r="H32" s="10">
        <v>267</v>
      </c>
    </row>
    <row r="33" spans="1:8" x14ac:dyDescent="0.25">
      <c r="A33" s="8" t="s">
        <v>229</v>
      </c>
      <c r="B33" s="10">
        <v>0</v>
      </c>
      <c r="C33" s="10">
        <v>39543.4</v>
      </c>
      <c r="D33" s="10">
        <v>0</v>
      </c>
      <c r="E33" s="10">
        <v>0</v>
      </c>
      <c r="F33" s="10">
        <v>0</v>
      </c>
      <c r="G33" s="10">
        <v>0</v>
      </c>
      <c r="H33" s="10">
        <v>39543.4</v>
      </c>
    </row>
    <row r="34" spans="1:8" x14ac:dyDescent="0.25">
      <c r="A34" s="8" t="s">
        <v>202</v>
      </c>
      <c r="B34" s="10">
        <v>0</v>
      </c>
      <c r="C34" s="10">
        <v>0</v>
      </c>
      <c r="D34" s="10">
        <v>9320</v>
      </c>
      <c r="E34" s="10">
        <v>0</v>
      </c>
      <c r="F34" s="10">
        <v>0</v>
      </c>
      <c r="G34" s="10">
        <v>0</v>
      </c>
      <c r="H34" s="10">
        <v>9320</v>
      </c>
    </row>
    <row r="35" spans="1:8" x14ac:dyDescent="0.25">
      <c r="A35" s="8" t="s">
        <v>417</v>
      </c>
      <c r="B35" s="10">
        <v>0</v>
      </c>
      <c r="C35" s="10">
        <v>0</v>
      </c>
      <c r="D35" s="10">
        <v>1006.5</v>
      </c>
      <c r="E35" s="10">
        <v>0</v>
      </c>
      <c r="F35" s="10">
        <v>0</v>
      </c>
      <c r="G35" s="10">
        <v>0</v>
      </c>
      <c r="H35" s="10">
        <v>1006.5</v>
      </c>
    </row>
    <row r="36" spans="1:8" x14ac:dyDescent="0.25">
      <c r="A36" s="8" t="s">
        <v>329</v>
      </c>
      <c r="B36" s="10">
        <v>0</v>
      </c>
      <c r="C36" s="10">
        <v>0</v>
      </c>
      <c r="D36" s="10">
        <v>712</v>
      </c>
      <c r="E36" s="10">
        <v>0</v>
      </c>
      <c r="F36" s="10">
        <v>0</v>
      </c>
      <c r="G36" s="10">
        <v>0</v>
      </c>
      <c r="H36" s="10">
        <v>712</v>
      </c>
    </row>
    <row r="37" spans="1:8" x14ac:dyDescent="0.25">
      <c r="A37" s="8" t="s">
        <v>377</v>
      </c>
      <c r="B37" s="10">
        <v>0</v>
      </c>
      <c r="C37" s="10">
        <v>0</v>
      </c>
      <c r="D37" s="10">
        <v>0</v>
      </c>
      <c r="E37" s="10">
        <v>0</v>
      </c>
      <c r="F37" s="10">
        <v>358.5</v>
      </c>
      <c r="G37" s="10">
        <v>0</v>
      </c>
      <c r="H37" s="10">
        <v>358.5</v>
      </c>
    </row>
    <row r="38" spans="1:8" x14ac:dyDescent="0.25">
      <c r="A38" s="8" t="s">
        <v>94</v>
      </c>
      <c r="B38" s="10">
        <v>960</v>
      </c>
      <c r="C38" s="10">
        <v>0</v>
      </c>
      <c r="D38" s="10">
        <v>0</v>
      </c>
      <c r="E38" s="10">
        <v>0</v>
      </c>
      <c r="F38" s="10">
        <v>0</v>
      </c>
      <c r="G38" s="10">
        <v>0</v>
      </c>
      <c r="H38" s="10">
        <v>960</v>
      </c>
    </row>
    <row r="39" spans="1:8" x14ac:dyDescent="0.25">
      <c r="A39" s="8" t="s">
        <v>355</v>
      </c>
      <c r="B39" s="10">
        <v>0</v>
      </c>
      <c r="C39" s="10">
        <v>0</v>
      </c>
      <c r="D39" s="10">
        <v>0</v>
      </c>
      <c r="E39" s="10">
        <v>0</v>
      </c>
      <c r="F39" s="10">
        <v>0</v>
      </c>
      <c r="G39" s="10">
        <v>10176.82</v>
      </c>
      <c r="H39" s="10">
        <v>10176.82</v>
      </c>
    </row>
    <row r="40" spans="1:8" x14ac:dyDescent="0.25">
      <c r="A40" s="8" t="s">
        <v>346</v>
      </c>
      <c r="B40" s="10">
        <v>0</v>
      </c>
      <c r="C40" s="10">
        <v>0</v>
      </c>
      <c r="D40" s="10">
        <v>4400</v>
      </c>
      <c r="E40" s="10">
        <v>0</v>
      </c>
      <c r="F40" s="10">
        <v>0</v>
      </c>
      <c r="G40" s="10">
        <v>0</v>
      </c>
      <c r="H40" s="10">
        <v>4400</v>
      </c>
    </row>
    <row r="41" spans="1:8" x14ac:dyDescent="0.25">
      <c r="A41" s="8" t="s">
        <v>201</v>
      </c>
      <c r="B41" s="10">
        <v>16040</v>
      </c>
      <c r="C41" s="10">
        <v>0</v>
      </c>
      <c r="D41" s="10">
        <v>0</v>
      </c>
      <c r="E41" s="10">
        <v>0</v>
      </c>
      <c r="F41" s="10">
        <v>0</v>
      </c>
      <c r="G41" s="10">
        <v>0</v>
      </c>
      <c r="H41" s="10">
        <v>16040</v>
      </c>
    </row>
    <row r="42" spans="1:8" x14ac:dyDescent="0.25">
      <c r="A42" s="8" t="s">
        <v>325</v>
      </c>
      <c r="B42" s="10">
        <v>0</v>
      </c>
      <c r="C42" s="10">
        <v>0</v>
      </c>
      <c r="D42" s="10">
        <v>0</v>
      </c>
      <c r="E42" s="10">
        <v>1631.43</v>
      </c>
      <c r="F42" s="10">
        <v>0</v>
      </c>
      <c r="G42" s="10">
        <v>0</v>
      </c>
      <c r="H42" s="10">
        <v>1631.43</v>
      </c>
    </row>
    <row r="43" spans="1:8" x14ac:dyDescent="0.25">
      <c r="A43" s="8" t="s">
        <v>398</v>
      </c>
      <c r="B43" s="10">
        <v>0</v>
      </c>
      <c r="C43" s="10">
        <v>0</v>
      </c>
      <c r="D43" s="10">
        <v>0</v>
      </c>
      <c r="E43" s="10">
        <v>3381.86</v>
      </c>
      <c r="F43" s="10">
        <v>0</v>
      </c>
      <c r="G43" s="10">
        <v>0</v>
      </c>
      <c r="H43" s="10">
        <v>3381.86</v>
      </c>
    </row>
    <row r="44" spans="1:8" x14ac:dyDescent="0.25">
      <c r="A44" s="8" t="s">
        <v>250</v>
      </c>
      <c r="B44" s="10">
        <v>0</v>
      </c>
      <c r="C44" s="10">
        <v>0</v>
      </c>
      <c r="D44" s="10">
        <v>353024.02999999991</v>
      </c>
      <c r="E44" s="10">
        <v>0</v>
      </c>
      <c r="F44" s="10">
        <v>0</v>
      </c>
      <c r="G44" s="10">
        <v>0</v>
      </c>
      <c r="H44" s="10">
        <v>353024.02999999991</v>
      </c>
    </row>
    <row r="45" spans="1:8" x14ac:dyDescent="0.25">
      <c r="A45" s="8" t="s">
        <v>199</v>
      </c>
      <c r="B45" s="10">
        <v>0</v>
      </c>
      <c r="C45" s="10">
        <v>0</v>
      </c>
      <c r="D45" s="10">
        <v>0</v>
      </c>
      <c r="E45" s="10">
        <v>0</v>
      </c>
      <c r="F45" s="10">
        <v>0</v>
      </c>
      <c r="G45" s="10">
        <v>42328.12</v>
      </c>
      <c r="H45" s="10">
        <v>42328.12</v>
      </c>
    </row>
    <row r="46" spans="1:8" x14ac:dyDescent="0.25">
      <c r="A46" s="8" t="s">
        <v>219</v>
      </c>
      <c r="B46" s="10">
        <v>0</v>
      </c>
      <c r="C46" s="10">
        <v>0</v>
      </c>
      <c r="D46" s="10">
        <v>0</v>
      </c>
      <c r="E46" s="10">
        <v>0</v>
      </c>
      <c r="F46" s="10">
        <v>0</v>
      </c>
      <c r="G46" s="10">
        <v>23191.87</v>
      </c>
      <c r="H46" s="10">
        <v>23191.87</v>
      </c>
    </row>
    <row r="47" spans="1:8" x14ac:dyDescent="0.25">
      <c r="A47" s="8" t="s">
        <v>403</v>
      </c>
      <c r="B47" s="10">
        <v>0</v>
      </c>
      <c r="C47" s="10">
        <v>0</v>
      </c>
      <c r="D47" s="10">
        <v>7338.85</v>
      </c>
      <c r="E47" s="10">
        <v>0</v>
      </c>
      <c r="F47" s="10">
        <v>0</v>
      </c>
      <c r="G47" s="10">
        <v>0</v>
      </c>
      <c r="H47" s="10">
        <v>7338.85</v>
      </c>
    </row>
    <row r="48" spans="1:8" x14ac:dyDescent="0.25">
      <c r="A48" s="8" t="s">
        <v>391</v>
      </c>
      <c r="B48" s="10">
        <v>0</v>
      </c>
      <c r="C48" s="10">
        <v>0</v>
      </c>
      <c r="D48" s="10">
        <v>4168.1799999999994</v>
      </c>
      <c r="E48" s="10">
        <v>0</v>
      </c>
      <c r="F48" s="10">
        <v>0</v>
      </c>
      <c r="G48" s="10">
        <v>0</v>
      </c>
      <c r="H48" s="10">
        <v>4168.1799999999994</v>
      </c>
    </row>
    <row r="49" spans="1:8" x14ac:dyDescent="0.25">
      <c r="A49" s="8" t="s">
        <v>388</v>
      </c>
      <c r="B49" s="10">
        <v>0</v>
      </c>
      <c r="C49" s="10">
        <v>0</v>
      </c>
      <c r="D49" s="10">
        <v>219.56</v>
      </c>
      <c r="E49" s="10">
        <v>0</v>
      </c>
      <c r="F49" s="10">
        <v>0</v>
      </c>
      <c r="G49" s="10">
        <v>0</v>
      </c>
      <c r="H49" s="10">
        <v>219.56</v>
      </c>
    </row>
    <row r="50" spans="1:8" x14ac:dyDescent="0.25">
      <c r="A50" s="8" t="s">
        <v>283</v>
      </c>
      <c r="B50" s="10">
        <v>8849.5999999999985</v>
      </c>
      <c r="C50" s="10">
        <v>0</v>
      </c>
      <c r="D50" s="10">
        <v>0</v>
      </c>
      <c r="E50" s="10">
        <v>0</v>
      </c>
      <c r="F50" s="10">
        <v>0</v>
      </c>
      <c r="G50" s="10">
        <v>0</v>
      </c>
      <c r="H50" s="10">
        <v>8849.5999999999985</v>
      </c>
    </row>
    <row r="51" spans="1:8" x14ac:dyDescent="0.25">
      <c r="A51" s="8" t="s">
        <v>374</v>
      </c>
      <c r="B51" s="10">
        <v>0</v>
      </c>
      <c r="C51" s="10">
        <v>0</v>
      </c>
      <c r="D51" s="10">
        <v>0</v>
      </c>
      <c r="E51" s="10">
        <v>3082.7599999999993</v>
      </c>
      <c r="F51" s="10">
        <v>0</v>
      </c>
      <c r="G51" s="10">
        <v>0</v>
      </c>
      <c r="H51" s="10">
        <v>3082.7599999999993</v>
      </c>
    </row>
    <row r="52" spans="1:8" x14ac:dyDescent="0.25">
      <c r="A52" s="8" t="s">
        <v>368</v>
      </c>
      <c r="B52" s="10">
        <v>0</v>
      </c>
      <c r="C52" s="10">
        <v>8187.0199999999995</v>
      </c>
      <c r="D52" s="10">
        <v>0</v>
      </c>
      <c r="E52" s="10">
        <v>0</v>
      </c>
      <c r="F52" s="10">
        <v>0</v>
      </c>
      <c r="G52" s="10">
        <v>0</v>
      </c>
      <c r="H52" s="10">
        <v>8187.0199999999995</v>
      </c>
    </row>
    <row r="53" spans="1:8" x14ac:dyDescent="0.25">
      <c r="A53" s="8" t="s">
        <v>373</v>
      </c>
      <c r="B53" s="10">
        <v>0</v>
      </c>
      <c r="C53" s="10">
        <v>0</v>
      </c>
      <c r="D53" s="10">
        <v>0</v>
      </c>
      <c r="E53" s="10">
        <v>1320</v>
      </c>
      <c r="F53" s="10">
        <v>0</v>
      </c>
      <c r="G53" s="10">
        <v>0</v>
      </c>
      <c r="H53" s="10">
        <v>1320</v>
      </c>
    </row>
    <row r="54" spans="1:8" x14ac:dyDescent="0.25">
      <c r="A54" s="8" t="s">
        <v>215</v>
      </c>
      <c r="B54" s="10">
        <v>0</v>
      </c>
      <c r="C54" s="10">
        <v>420</v>
      </c>
      <c r="D54" s="10">
        <v>0</v>
      </c>
      <c r="E54" s="10">
        <v>0</v>
      </c>
      <c r="F54" s="10">
        <v>0</v>
      </c>
      <c r="G54" s="10">
        <v>0</v>
      </c>
      <c r="H54" s="10">
        <v>420</v>
      </c>
    </row>
    <row r="55" spans="1:8" x14ac:dyDescent="0.25">
      <c r="A55" s="8" t="s">
        <v>360</v>
      </c>
      <c r="B55" s="10">
        <v>0</v>
      </c>
      <c r="C55" s="10">
        <v>20500.100000000006</v>
      </c>
      <c r="D55" s="10">
        <v>0</v>
      </c>
      <c r="E55" s="10">
        <v>0</v>
      </c>
      <c r="F55" s="10">
        <v>0</v>
      </c>
      <c r="G55" s="10">
        <v>0</v>
      </c>
      <c r="H55" s="10">
        <v>20500.100000000006</v>
      </c>
    </row>
    <row r="56" spans="1:8" x14ac:dyDescent="0.25">
      <c r="A56" s="8" t="s">
        <v>152</v>
      </c>
      <c r="B56" s="10">
        <v>0</v>
      </c>
      <c r="C56" s="10">
        <v>0</v>
      </c>
      <c r="D56" s="10">
        <v>0</v>
      </c>
      <c r="E56" s="10">
        <v>0</v>
      </c>
      <c r="F56" s="10">
        <v>0</v>
      </c>
      <c r="G56" s="10">
        <v>218826.78</v>
      </c>
      <c r="H56" s="10">
        <v>218826.78</v>
      </c>
    </row>
    <row r="57" spans="1:8" x14ac:dyDescent="0.25">
      <c r="A57" s="8" t="s">
        <v>424</v>
      </c>
      <c r="B57" s="10">
        <v>0</v>
      </c>
      <c r="C57" s="10">
        <v>0</v>
      </c>
      <c r="D57" s="10">
        <v>0</v>
      </c>
      <c r="E57" s="10">
        <v>0</v>
      </c>
      <c r="F57" s="10">
        <v>0</v>
      </c>
      <c r="G57" s="10">
        <v>4436.3999999999996</v>
      </c>
      <c r="H57" s="10">
        <v>4436.3999999999996</v>
      </c>
    </row>
    <row r="58" spans="1:8" x14ac:dyDescent="0.25">
      <c r="A58" s="8" t="s">
        <v>224</v>
      </c>
      <c r="B58" s="10">
        <v>0</v>
      </c>
      <c r="C58" s="10">
        <v>0</v>
      </c>
      <c r="D58" s="10">
        <v>0</v>
      </c>
      <c r="E58" s="10">
        <v>0</v>
      </c>
      <c r="F58" s="10">
        <v>4084</v>
      </c>
      <c r="G58" s="10">
        <v>0</v>
      </c>
      <c r="H58" s="10">
        <v>4084</v>
      </c>
    </row>
    <row r="59" spans="1:8" x14ac:dyDescent="0.25">
      <c r="A59" s="8" t="s">
        <v>306</v>
      </c>
      <c r="B59" s="10">
        <v>0</v>
      </c>
      <c r="C59" s="10">
        <v>0</v>
      </c>
      <c r="D59" s="10">
        <v>0</v>
      </c>
      <c r="E59" s="10">
        <v>0</v>
      </c>
      <c r="F59" s="10">
        <v>0</v>
      </c>
      <c r="G59" s="10">
        <v>658.54</v>
      </c>
      <c r="H59" s="10">
        <v>658.54</v>
      </c>
    </row>
    <row r="60" spans="1:8" x14ac:dyDescent="0.25">
      <c r="A60" s="8" t="s">
        <v>405</v>
      </c>
      <c r="B60" s="10">
        <v>317.5</v>
      </c>
      <c r="C60" s="10">
        <v>0</v>
      </c>
      <c r="D60" s="10">
        <v>0</v>
      </c>
      <c r="E60" s="10">
        <v>0</v>
      </c>
      <c r="F60" s="10">
        <v>0</v>
      </c>
      <c r="G60" s="10">
        <v>0</v>
      </c>
      <c r="H60" s="10">
        <v>317.5</v>
      </c>
    </row>
    <row r="61" spans="1:8" x14ac:dyDescent="0.25">
      <c r="A61" s="8" t="s">
        <v>320</v>
      </c>
      <c r="B61" s="10">
        <v>0</v>
      </c>
      <c r="C61" s="10">
        <v>0</v>
      </c>
      <c r="D61" s="10">
        <v>2277</v>
      </c>
      <c r="E61" s="10">
        <v>0</v>
      </c>
      <c r="F61" s="10">
        <v>0</v>
      </c>
      <c r="G61" s="10">
        <v>0</v>
      </c>
      <c r="H61" s="10">
        <v>2277</v>
      </c>
    </row>
    <row r="62" spans="1:8" x14ac:dyDescent="0.25">
      <c r="A62" s="8" t="s">
        <v>436</v>
      </c>
      <c r="B62" s="10">
        <v>0</v>
      </c>
      <c r="C62" s="10">
        <v>427.5</v>
      </c>
      <c r="D62" s="10">
        <v>0</v>
      </c>
      <c r="E62" s="10">
        <v>0</v>
      </c>
      <c r="F62" s="10">
        <v>0</v>
      </c>
      <c r="G62" s="10">
        <v>0</v>
      </c>
      <c r="H62" s="10">
        <v>427.5</v>
      </c>
    </row>
    <row r="63" spans="1:8" x14ac:dyDescent="0.25">
      <c r="A63" s="8" t="s">
        <v>409</v>
      </c>
      <c r="B63" s="10">
        <v>0</v>
      </c>
      <c r="C63" s="10">
        <v>0</v>
      </c>
      <c r="D63" s="10">
        <v>0</v>
      </c>
      <c r="E63" s="10">
        <v>0</v>
      </c>
      <c r="F63" s="10">
        <v>111</v>
      </c>
      <c r="G63" s="10">
        <v>0</v>
      </c>
      <c r="H63" s="10">
        <v>111</v>
      </c>
    </row>
    <row r="64" spans="1:8" x14ac:dyDescent="0.25">
      <c r="A64" s="8" t="s">
        <v>6</v>
      </c>
      <c r="B64" s="10">
        <v>0</v>
      </c>
      <c r="C64" s="10">
        <v>5655</v>
      </c>
      <c r="D64" s="10">
        <v>0</v>
      </c>
      <c r="E64" s="10">
        <v>0</v>
      </c>
      <c r="F64" s="10">
        <v>0</v>
      </c>
      <c r="G64" s="10">
        <v>0</v>
      </c>
      <c r="H64" s="10">
        <v>5655</v>
      </c>
    </row>
    <row r="65" spans="1:8" x14ac:dyDescent="0.25">
      <c r="A65" s="8" t="s">
        <v>399</v>
      </c>
      <c r="B65" s="10">
        <v>0</v>
      </c>
      <c r="C65" s="10">
        <v>0</v>
      </c>
      <c r="D65" s="10">
        <v>0</v>
      </c>
      <c r="E65" s="10">
        <v>622.5</v>
      </c>
      <c r="F65" s="10">
        <v>0</v>
      </c>
      <c r="G65" s="10">
        <v>0</v>
      </c>
      <c r="H65" s="10">
        <v>622.5</v>
      </c>
    </row>
    <row r="66" spans="1:8" x14ac:dyDescent="0.25">
      <c r="A66" s="8" t="s">
        <v>307</v>
      </c>
      <c r="B66" s="10">
        <v>0</v>
      </c>
      <c r="C66" s="10">
        <v>0</v>
      </c>
      <c r="D66" s="10">
        <v>0</v>
      </c>
      <c r="E66" s="10">
        <v>0</v>
      </c>
      <c r="F66" s="10">
        <v>0</v>
      </c>
      <c r="G66" s="10">
        <v>3619.2399999999993</v>
      </c>
      <c r="H66" s="10">
        <v>3619.2399999999993</v>
      </c>
    </row>
    <row r="67" spans="1:8" x14ac:dyDescent="0.25">
      <c r="A67" s="8" t="s">
        <v>380</v>
      </c>
      <c r="B67" s="10">
        <v>782.01</v>
      </c>
      <c r="C67" s="10">
        <v>0</v>
      </c>
      <c r="D67" s="10">
        <v>0</v>
      </c>
      <c r="E67" s="10">
        <v>0</v>
      </c>
      <c r="F67" s="10">
        <v>0</v>
      </c>
      <c r="G67" s="10">
        <v>0</v>
      </c>
      <c r="H67" s="10">
        <v>782.01</v>
      </c>
    </row>
    <row r="68" spans="1:8" x14ac:dyDescent="0.25">
      <c r="A68" s="8" t="s">
        <v>414</v>
      </c>
      <c r="B68" s="10">
        <v>0</v>
      </c>
      <c r="C68" s="10">
        <v>0</v>
      </c>
      <c r="D68" s="10">
        <v>606.5</v>
      </c>
      <c r="E68" s="10">
        <v>0</v>
      </c>
      <c r="F68" s="10">
        <v>0</v>
      </c>
      <c r="G68" s="10">
        <v>0</v>
      </c>
      <c r="H68" s="10">
        <v>606.5</v>
      </c>
    </row>
    <row r="69" spans="1:8" x14ac:dyDescent="0.25">
      <c r="A69" s="8" t="s">
        <v>214</v>
      </c>
      <c r="B69" s="10">
        <v>0</v>
      </c>
      <c r="C69" s="10">
        <v>0</v>
      </c>
      <c r="D69" s="10">
        <v>0</v>
      </c>
      <c r="E69" s="10">
        <v>21843.199999999997</v>
      </c>
      <c r="F69" s="10">
        <v>0</v>
      </c>
      <c r="G69" s="10">
        <v>0</v>
      </c>
      <c r="H69" s="10">
        <v>21843.199999999997</v>
      </c>
    </row>
    <row r="70" spans="1:8" x14ac:dyDescent="0.25">
      <c r="A70" s="8" t="s">
        <v>344</v>
      </c>
      <c r="B70" s="10">
        <v>3696.73</v>
      </c>
      <c r="C70" s="10">
        <v>0</v>
      </c>
      <c r="D70" s="10">
        <v>0</v>
      </c>
      <c r="E70" s="10">
        <v>0</v>
      </c>
      <c r="F70" s="10">
        <v>0</v>
      </c>
      <c r="G70" s="10">
        <v>0</v>
      </c>
      <c r="H70" s="10">
        <v>3696.73</v>
      </c>
    </row>
    <row r="71" spans="1:8" x14ac:dyDescent="0.25">
      <c r="A71" s="8" t="s">
        <v>397</v>
      </c>
      <c r="B71" s="10">
        <v>0</v>
      </c>
      <c r="C71" s="10">
        <v>0</v>
      </c>
      <c r="D71" s="10">
        <v>558.75</v>
      </c>
      <c r="E71" s="10">
        <v>0</v>
      </c>
      <c r="F71" s="10">
        <v>0</v>
      </c>
      <c r="G71" s="10">
        <v>0</v>
      </c>
      <c r="H71" s="10">
        <v>558.75</v>
      </c>
    </row>
    <row r="72" spans="1:8" x14ac:dyDescent="0.25">
      <c r="A72" s="8" t="s">
        <v>415</v>
      </c>
      <c r="B72" s="10">
        <v>64.5</v>
      </c>
      <c r="C72" s="10">
        <v>0</v>
      </c>
      <c r="D72" s="10">
        <v>0</v>
      </c>
      <c r="E72" s="10">
        <v>0</v>
      </c>
      <c r="F72" s="10">
        <v>0</v>
      </c>
      <c r="G72" s="10">
        <v>0</v>
      </c>
      <c r="H72" s="10">
        <v>64.5</v>
      </c>
    </row>
    <row r="73" spans="1:8" x14ac:dyDescent="0.25">
      <c r="A73" s="8" t="s">
        <v>275</v>
      </c>
      <c r="B73" s="10">
        <v>0</v>
      </c>
      <c r="C73" s="10">
        <v>0</v>
      </c>
      <c r="D73" s="10">
        <v>8109.25</v>
      </c>
      <c r="E73" s="10">
        <v>0</v>
      </c>
      <c r="F73" s="10">
        <v>0</v>
      </c>
      <c r="G73" s="10">
        <v>0</v>
      </c>
      <c r="H73" s="10">
        <v>8109.25</v>
      </c>
    </row>
    <row r="74" spans="1:8" x14ac:dyDescent="0.25">
      <c r="A74" s="8" t="s">
        <v>279</v>
      </c>
      <c r="B74" s="10">
        <v>0</v>
      </c>
      <c r="C74" s="10">
        <v>0</v>
      </c>
      <c r="D74" s="10">
        <v>0</v>
      </c>
      <c r="E74" s="10">
        <v>0</v>
      </c>
      <c r="F74" s="10">
        <v>1754.2499999999998</v>
      </c>
      <c r="G74" s="10">
        <v>0</v>
      </c>
      <c r="H74" s="10">
        <v>1754.2499999999998</v>
      </c>
    </row>
    <row r="75" spans="1:8" x14ac:dyDescent="0.25">
      <c r="A75" s="8" t="s">
        <v>330</v>
      </c>
      <c r="B75" s="10">
        <v>0</v>
      </c>
      <c r="C75" s="10">
        <v>0</v>
      </c>
      <c r="D75" s="10">
        <v>0</v>
      </c>
      <c r="E75" s="10">
        <v>0</v>
      </c>
      <c r="F75" s="10">
        <v>0</v>
      </c>
      <c r="G75" s="10">
        <v>445.39</v>
      </c>
      <c r="H75" s="10">
        <v>445.39</v>
      </c>
    </row>
    <row r="76" spans="1:8" x14ac:dyDescent="0.25">
      <c r="A76" s="8" t="s">
        <v>402</v>
      </c>
      <c r="B76" s="10">
        <v>0</v>
      </c>
      <c r="C76" s="10">
        <v>105</v>
      </c>
      <c r="D76" s="10">
        <v>0</v>
      </c>
      <c r="E76" s="10">
        <v>0</v>
      </c>
      <c r="F76" s="10">
        <v>0</v>
      </c>
      <c r="G76" s="10">
        <v>0</v>
      </c>
      <c r="H76" s="10">
        <v>105</v>
      </c>
    </row>
    <row r="77" spans="1:8" x14ac:dyDescent="0.25">
      <c r="A77" s="8" t="s">
        <v>315</v>
      </c>
      <c r="B77" s="10">
        <v>0</v>
      </c>
      <c r="C77" s="10">
        <v>571.54</v>
      </c>
      <c r="D77" s="10">
        <v>0</v>
      </c>
      <c r="E77" s="10">
        <v>0</v>
      </c>
      <c r="F77" s="10">
        <v>0</v>
      </c>
      <c r="G77" s="10">
        <v>0</v>
      </c>
      <c r="H77" s="10">
        <v>571.54</v>
      </c>
    </row>
    <row r="78" spans="1:8" x14ac:dyDescent="0.25">
      <c r="A78" s="8" t="s">
        <v>204</v>
      </c>
      <c r="B78" s="10">
        <v>0</v>
      </c>
      <c r="C78" s="10">
        <v>0</v>
      </c>
      <c r="D78" s="10">
        <v>0</v>
      </c>
      <c r="E78" s="10">
        <v>0</v>
      </c>
      <c r="F78" s="10">
        <v>0</v>
      </c>
      <c r="G78" s="10">
        <v>5889.75</v>
      </c>
      <c r="H78" s="10">
        <v>5889.75</v>
      </c>
    </row>
    <row r="79" spans="1:8" x14ac:dyDescent="0.25">
      <c r="A79" s="8" t="s">
        <v>395</v>
      </c>
      <c r="B79" s="10">
        <v>0</v>
      </c>
      <c r="C79" s="10">
        <v>0</v>
      </c>
      <c r="D79" s="10">
        <v>0</v>
      </c>
      <c r="E79" s="10">
        <v>0</v>
      </c>
      <c r="F79" s="10">
        <v>292.32</v>
      </c>
      <c r="G79" s="10">
        <v>0</v>
      </c>
      <c r="H79" s="10">
        <v>292.32</v>
      </c>
    </row>
    <row r="80" spans="1:8" x14ac:dyDescent="0.25">
      <c r="A80" s="8" t="s">
        <v>1</v>
      </c>
      <c r="B80" s="10">
        <v>16</v>
      </c>
      <c r="C80" s="10">
        <v>0</v>
      </c>
      <c r="D80" s="10">
        <v>0</v>
      </c>
      <c r="E80" s="10">
        <v>0</v>
      </c>
      <c r="F80" s="10">
        <v>0</v>
      </c>
      <c r="G80" s="10">
        <v>0</v>
      </c>
      <c r="H80" s="10">
        <v>16</v>
      </c>
    </row>
    <row r="81" spans="1:8" x14ac:dyDescent="0.25">
      <c r="A81" s="8" t="s">
        <v>263</v>
      </c>
      <c r="B81" s="10">
        <v>88089.98</v>
      </c>
      <c r="C81" s="10">
        <v>0</v>
      </c>
      <c r="D81" s="10">
        <v>0</v>
      </c>
      <c r="E81" s="10">
        <v>0</v>
      </c>
      <c r="F81" s="10">
        <v>0</v>
      </c>
      <c r="G81" s="10">
        <v>0</v>
      </c>
      <c r="H81" s="10">
        <v>88089.98</v>
      </c>
    </row>
    <row r="82" spans="1:8" x14ac:dyDescent="0.25">
      <c r="A82" s="8" t="s">
        <v>341</v>
      </c>
      <c r="B82" s="10">
        <v>0</v>
      </c>
      <c r="C82" s="10">
        <v>0</v>
      </c>
      <c r="D82" s="10">
        <v>0</v>
      </c>
      <c r="E82" s="10">
        <v>0</v>
      </c>
      <c r="F82" s="10">
        <v>17178.21</v>
      </c>
      <c r="G82" s="10">
        <v>0</v>
      </c>
      <c r="H82" s="10">
        <v>17178.21</v>
      </c>
    </row>
    <row r="83" spans="1:8" x14ac:dyDescent="0.25">
      <c r="A83" s="8" t="s">
        <v>393</v>
      </c>
      <c r="B83" s="10">
        <v>0</v>
      </c>
      <c r="C83" s="10">
        <v>5896.4000000000015</v>
      </c>
      <c r="D83" s="10">
        <v>0</v>
      </c>
      <c r="E83" s="10">
        <v>0</v>
      </c>
      <c r="F83" s="10">
        <v>0</v>
      </c>
      <c r="G83" s="10">
        <v>0</v>
      </c>
      <c r="H83" s="10">
        <v>5896.4000000000015</v>
      </c>
    </row>
    <row r="84" spans="1:8" x14ac:dyDescent="0.25">
      <c r="A84" s="8" t="s">
        <v>367</v>
      </c>
      <c r="B84" s="10">
        <v>0</v>
      </c>
      <c r="C84" s="10">
        <v>0</v>
      </c>
      <c r="D84" s="10">
        <v>0</v>
      </c>
      <c r="E84" s="10">
        <v>0</v>
      </c>
      <c r="F84" s="10">
        <v>0</v>
      </c>
      <c r="G84" s="10">
        <v>23155.199999999993</v>
      </c>
      <c r="H84" s="10">
        <v>23155.199999999993</v>
      </c>
    </row>
    <row r="85" spans="1:8" x14ac:dyDescent="0.25">
      <c r="A85" s="8" t="s">
        <v>412</v>
      </c>
      <c r="B85" s="10">
        <v>0</v>
      </c>
      <c r="C85" s="10">
        <v>461</v>
      </c>
      <c r="D85" s="10">
        <v>0</v>
      </c>
      <c r="E85" s="10">
        <v>0</v>
      </c>
      <c r="F85" s="10">
        <v>0</v>
      </c>
      <c r="G85" s="10">
        <v>0</v>
      </c>
      <c r="H85" s="10">
        <v>461</v>
      </c>
    </row>
    <row r="86" spans="1:8" x14ac:dyDescent="0.25">
      <c r="A86" s="8" t="s">
        <v>420</v>
      </c>
      <c r="B86" s="10">
        <v>764.5</v>
      </c>
      <c r="C86" s="10">
        <v>0</v>
      </c>
      <c r="D86" s="10">
        <v>0</v>
      </c>
      <c r="E86" s="10">
        <v>0</v>
      </c>
      <c r="F86" s="10">
        <v>0</v>
      </c>
      <c r="G86" s="10">
        <v>0</v>
      </c>
      <c r="H86" s="10">
        <v>764.5</v>
      </c>
    </row>
    <row r="87" spans="1:8" x14ac:dyDescent="0.25">
      <c r="A87" s="8" t="s">
        <v>345</v>
      </c>
      <c r="B87" s="10">
        <v>0</v>
      </c>
      <c r="C87" s="10">
        <v>0</v>
      </c>
      <c r="D87" s="10">
        <v>3959.59</v>
      </c>
      <c r="E87" s="10">
        <v>0</v>
      </c>
      <c r="F87" s="10">
        <v>0</v>
      </c>
      <c r="G87" s="10">
        <v>0</v>
      </c>
      <c r="H87" s="10">
        <v>3959.59</v>
      </c>
    </row>
    <row r="88" spans="1:8" x14ac:dyDescent="0.25">
      <c r="A88" s="8" t="s">
        <v>274</v>
      </c>
      <c r="B88" s="10">
        <v>0</v>
      </c>
      <c r="C88" s="10">
        <v>17423.8</v>
      </c>
      <c r="D88" s="10">
        <v>0</v>
      </c>
      <c r="E88" s="10">
        <v>0</v>
      </c>
      <c r="F88" s="10">
        <v>0</v>
      </c>
      <c r="G88" s="10">
        <v>0</v>
      </c>
      <c r="H88" s="10">
        <v>17423.8</v>
      </c>
    </row>
    <row r="89" spans="1:8" x14ac:dyDescent="0.25">
      <c r="A89" s="8" t="s">
        <v>372</v>
      </c>
      <c r="B89" s="10">
        <v>0</v>
      </c>
      <c r="C89" s="10">
        <v>0</v>
      </c>
      <c r="D89" s="10">
        <v>0</v>
      </c>
      <c r="E89" s="10">
        <v>0</v>
      </c>
      <c r="F89" s="10">
        <v>0</v>
      </c>
      <c r="G89" s="10">
        <v>5598.04</v>
      </c>
      <c r="H89" s="10">
        <v>5598.04</v>
      </c>
    </row>
    <row r="90" spans="1:8" x14ac:dyDescent="0.25">
      <c r="A90" s="8" t="s">
        <v>392</v>
      </c>
      <c r="B90" s="10">
        <v>0</v>
      </c>
      <c r="C90" s="10">
        <v>0</v>
      </c>
      <c r="D90" s="10">
        <v>0</v>
      </c>
      <c r="E90" s="10">
        <v>0</v>
      </c>
      <c r="F90" s="10">
        <v>0</v>
      </c>
      <c r="G90" s="10">
        <v>3921.65</v>
      </c>
      <c r="H90" s="10">
        <v>3921.65</v>
      </c>
    </row>
    <row r="91" spans="1:8" x14ac:dyDescent="0.25">
      <c r="A91" s="8" t="s">
        <v>226</v>
      </c>
      <c r="B91" s="10">
        <v>577</v>
      </c>
      <c r="C91" s="10">
        <v>0</v>
      </c>
      <c r="D91" s="10">
        <v>0</v>
      </c>
      <c r="E91" s="10">
        <v>0</v>
      </c>
      <c r="F91" s="10">
        <v>0</v>
      </c>
      <c r="G91" s="10">
        <v>0</v>
      </c>
      <c r="H91" s="10">
        <v>577</v>
      </c>
    </row>
    <row r="92" spans="1:8" x14ac:dyDescent="0.25">
      <c r="A92" s="8" t="s">
        <v>10</v>
      </c>
      <c r="B92" s="10">
        <v>0</v>
      </c>
      <c r="C92" s="10">
        <v>0</v>
      </c>
      <c r="D92" s="10">
        <v>0</v>
      </c>
      <c r="E92" s="10">
        <v>14227</v>
      </c>
      <c r="F92" s="10">
        <v>0</v>
      </c>
      <c r="G92" s="10">
        <v>0</v>
      </c>
      <c r="H92" s="10">
        <v>14227</v>
      </c>
    </row>
    <row r="93" spans="1:8" x14ac:dyDescent="0.25">
      <c r="A93" s="8" t="s">
        <v>410</v>
      </c>
      <c r="B93" s="10">
        <v>0</v>
      </c>
      <c r="C93" s="10">
        <v>0</v>
      </c>
      <c r="D93" s="10">
        <v>0</v>
      </c>
      <c r="E93" s="10">
        <v>0</v>
      </c>
      <c r="F93" s="10">
        <v>0</v>
      </c>
      <c r="G93" s="10">
        <v>1356.7</v>
      </c>
      <c r="H93" s="10">
        <v>1356.7</v>
      </c>
    </row>
    <row r="94" spans="1:8" x14ac:dyDescent="0.25">
      <c r="A94" s="8" t="s">
        <v>300</v>
      </c>
      <c r="B94" s="10">
        <v>0</v>
      </c>
      <c r="C94" s="10">
        <v>12135.410000000002</v>
      </c>
      <c r="D94" s="10">
        <v>0</v>
      </c>
      <c r="E94" s="10">
        <v>0</v>
      </c>
      <c r="F94" s="10">
        <v>0</v>
      </c>
      <c r="G94" s="10">
        <v>0</v>
      </c>
      <c r="H94" s="10">
        <v>12135.410000000002</v>
      </c>
    </row>
    <row r="95" spans="1:8" x14ac:dyDescent="0.25">
      <c r="A95" s="8" t="s">
        <v>316</v>
      </c>
      <c r="B95" s="10">
        <v>0</v>
      </c>
      <c r="C95" s="10">
        <v>0</v>
      </c>
      <c r="D95" s="10">
        <v>0</v>
      </c>
      <c r="E95" s="10">
        <v>0</v>
      </c>
      <c r="F95" s="10">
        <v>2875</v>
      </c>
      <c r="G95" s="10">
        <v>0</v>
      </c>
      <c r="H95" s="10">
        <v>2875</v>
      </c>
    </row>
    <row r="96" spans="1:8" x14ac:dyDescent="0.25">
      <c r="A96" s="8" t="s">
        <v>416</v>
      </c>
      <c r="B96" s="10">
        <v>0</v>
      </c>
      <c r="C96" s="10">
        <v>0</v>
      </c>
      <c r="D96" s="10">
        <v>0</v>
      </c>
      <c r="E96" s="10">
        <v>43</v>
      </c>
      <c r="F96" s="10">
        <v>0</v>
      </c>
      <c r="G96" s="10">
        <v>0</v>
      </c>
      <c r="H96" s="10">
        <v>43</v>
      </c>
    </row>
    <row r="97" spans="1:8" x14ac:dyDescent="0.25">
      <c r="A97" s="8" t="s">
        <v>64</v>
      </c>
      <c r="B97" s="10">
        <v>0</v>
      </c>
      <c r="C97" s="10">
        <v>0</v>
      </c>
      <c r="D97" s="10">
        <v>0</v>
      </c>
      <c r="E97" s="10">
        <v>0</v>
      </c>
      <c r="F97" s="10">
        <v>0</v>
      </c>
      <c r="G97" s="10">
        <v>719.6</v>
      </c>
      <c r="H97" s="10">
        <v>719.6</v>
      </c>
    </row>
    <row r="98" spans="1:8" x14ac:dyDescent="0.25">
      <c r="A98" s="8" t="s">
        <v>462</v>
      </c>
      <c r="B98" s="10">
        <v>175551.84999999998</v>
      </c>
      <c r="C98" s="10">
        <v>409271.8</v>
      </c>
      <c r="D98" s="10">
        <v>449784.7099999999</v>
      </c>
      <c r="E98" s="10">
        <v>181243.51999999996</v>
      </c>
      <c r="F98" s="10">
        <v>224369.17</v>
      </c>
      <c r="G98" s="10">
        <v>345058.5</v>
      </c>
      <c r="H98" s="10">
        <v>1785279.55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DAEABF-187B-4D26-A89F-D05FCFED92CA}">
  <dimension ref="A3:C10"/>
  <sheetViews>
    <sheetView workbookViewId="0">
      <selection activeCell="E8" sqref="E8"/>
    </sheetView>
  </sheetViews>
  <sheetFormatPr defaultRowHeight="15" x14ac:dyDescent="0.25"/>
  <cols>
    <col min="1" max="1" width="12" bestFit="1" customWidth="1"/>
    <col min="2" max="2" width="13.75" bestFit="1" customWidth="1"/>
    <col min="3" max="3" width="14.625" bestFit="1" customWidth="1"/>
  </cols>
  <sheetData>
    <row r="3" spans="1:3" x14ac:dyDescent="0.25">
      <c r="A3" s="7" t="s">
        <v>460</v>
      </c>
      <c r="B3" t="s">
        <v>461</v>
      </c>
      <c r="C3" t="s">
        <v>480</v>
      </c>
    </row>
    <row r="4" spans="1:3" x14ac:dyDescent="0.25">
      <c r="A4" s="8" t="s">
        <v>444</v>
      </c>
      <c r="B4" s="10">
        <v>175551.85000000015</v>
      </c>
      <c r="C4" s="10">
        <v>175551.85000000015</v>
      </c>
    </row>
    <row r="5" spans="1:3" x14ac:dyDescent="0.25">
      <c r="A5" s="8" t="s">
        <v>438</v>
      </c>
      <c r="B5" s="10">
        <v>409271.8</v>
      </c>
      <c r="C5" s="10">
        <v>409271.8</v>
      </c>
    </row>
    <row r="6" spans="1:3" x14ac:dyDescent="0.25">
      <c r="A6" s="8" t="s">
        <v>441</v>
      </c>
      <c r="B6" s="10">
        <v>449784.71000000014</v>
      </c>
      <c r="C6" s="10">
        <v>449784.71000000014</v>
      </c>
    </row>
    <row r="7" spans="1:3" x14ac:dyDescent="0.25">
      <c r="A7" s="8" t="s">
        <v>442</v>
      </c>
      <c r="B7" s="10">
        <v>181243.52000000002</v>
      </c>
      <c r="C7" s="10">
        <v>181243.52000000002</v>
      </c>
    </row>
    <row r="8" spans="1:3" x14ac:dyDescent="0.25">
      <c r="A8" s="8" t="s">
        <v>440</v>
      </c>
      <c r="B8" s="10">
        <v>224369.16999999998</v>
      </c>
      <c r="C8" s="10">
        <v>224369.16999999998</v>
      </c>
    </row>
    <row r="9" spans="1:3" x14ac:dyDescent="0.25">
      <c r="A9" s="8" t="s">
        <v>443</v>
      </c>
      <c r="B9" s="10">
        <v>345058.49999999983</v>
      </c>
      <c r="C9" s="10">
        <v>345058.49999999983</v>
      </c>
    </row>
    <row r="10" spans="1:3" x14ac:dyDescent="0.25">
      <c r="A10" s="8" t="s">
        <v>462</v>
      </c>
      <c r="B10" s="10">
        <v>1785279.55</v>
      </c>
      <c r="C10" s="10">
        <v>1785279.55</v>
      </c>
    </row>
  </sheetData>
  <conditionalFormatting pivot="1" sqref="C4:C9">
    <cfRule type="dataBar" priority="1">
      <dataBar showValue="0">
        <cfvo type="min"/>
        <cfvo type="max"/>
        <color rgb="FF638EC6"/>
      </dataBar>
      <extLst>
        <ext xmlns:x14="http://schemas.microsoft.com/office/spreadsheetml/2009/9/main" uri="{B025F937-C7B1-47D3-B67F-A62EFF666E3E}">
          <x14:id>{5A031909-C51F-4B5B-BB9F-D34507339998}</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5A031909-C51F-4B5B-BB9F-D34507339998}">
            <x14:dataBar minLength="0" maxLength="100" gradient="0">
              <x14:cfvo type="autoMin"/>
              <x14:cfvo type="autoMax"/>
              <x14:negativeFillColor rgb="FFFF0000"/>
              <x14:axisColor rgb="FF000000"/>
            </x14:dataBar>
          </x14:cfRule>
          <xm:sqref>C4:C9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092"/>
  <sheetViews>
    <sheetView topLeftCell="A2" workbookViewId="0">
      <selection activeCell="A4" sqref="A4"/>
    </sheetView>
  </sheetViews>
  <sheetFormatPr defaultColWidth="11.5" defaultRowHeight="12.75" x14ac:dyDescent="0.25"/>
  <cols>
    <col min="1" max="1" width="33.25" style="1" customWidth="1"/>
    <col min="2" max="2" width="23.25" style="1" customWidth="1"/>
    <col min="3" max="3" width="8.625" style="1" customWidth="1"/>
    <col min="4" max="4" width="9.375" style="1" customWidth="1"/>
    <col min="5" max="5" width="15.75" style="1" customWidth="1"/>
    <col min="6" max="6" width="14.25" style="1" customWidth="1"/>
    <col min="7" max="7" width="11.5" style="1"/>
    <col min="8" max="8" width="14.75" style="1" customWidth="1"/>
    <col min="9" max="16384" width="11.5" style="1"/>
  </cols>
  <sheetData>
    <row r="1" spans="1:8" ht="20.100000000000001" customHeight="1" x14ac:dyDescent="0.25">
      <c r="A1" s="2" t="s">
        <v>453</v>
      </c>
      <c r="B1" s="2" t="s">
        <v>452</v>
      </c>
      <c r="C1" s="2" t="s">
        <v>455</v>
      </c>
      <c r="D1" s="2" t="s">
        <v>456</v>
      </c>
      <c r="E1" s="2" t="s">
        <v>457</v>
      </c>
      <c r="F1" s="2" t="s">
        <v>458</v>
      </c>
      <c r="G1" s="2" t="s">
        <v>437</v>
      </c>
      <c r="H1" s="2" t="s">
        <v>459</v>
      </c>
    </row>
    <row r="2" spans="1:8" ht="20.100000000000001" customHeight="1" x14ac:dyDescent="0.25">
      <c r="A2" s="3" t="s">
        <v>0</v>
      </c>
      <c r="B2" s="3" t="s">
        <v>1</v>
      </c>
      <c r="C2" s="3">
        <v>2022</v>
      </c>
      <c r="D2" s="4">
        <v>2</v>
      </c>
      <c r="E2" s="5">
        <v>16</v>
      </c>
      <c r="F2" s="5">
        <v>4</v>
      </c>
      <c r="G2" s="3" t="str">
        <f>VLOOKUP(Registros[[#This Row],[Cliente]],Cliente_Region[],2,FALSE)</f>
        <v>Argentina</v>
      </c>
      <c r="H2" s="3" t="str">
        <f>VLOOKUP(Registros[[#This Row],[Producto]],Producto[],2,FALSE)</f>
        <v>GAMBO</v>
      </c>
    </row>
    <row r="3" spans="1:8" ht="20.100000000000001" customHeight="1" x14ac:dyDescent="0.25">
      <c r="A3" s="3" t="s">
        <v>2</v>
      </c>
      <c r="B3" s="3" t="s">
        <v>1</v>
      </c>
      <c r="C3" s="3">
        <v>2022</v>
      </c>
      <c r="D3" s="4">
        <v>5</v>
      </c>
      <c r="E3" s="5">
        <v>0</v>
      </c>
      <c r="F3" s="5">
        <v>-7.29</v>
      </c>
      <c r="G3" s="3" t="str">
        <f>VLOOKUP(Registros[[#This Row],[Cliente]],Cliente_Region[],2,FALSE)</f>
        <v>Argentina</v>
      </c>
      <c r="H3" s="3" t="str">
        <f>VLOOKUP(Registros[[#This Row],[Producto]],Producto[],2,FALSE)</f>
        <v>SALF</v>
      </c>
    </row>
    <row r="4" spans="1:8" ht="20.100000000000001" customHeight="1" x14ac:dyDescent="0.25">
      <c r="A4" s="3" t="s">
        <v>7</v>
      </c>
      <c r="B4" s="3" t="s">
        <v>6</v>
      </c>
      <c r="C4" s="3">
        <v>2022</v>
      </c>
      <c r="D4" s="4">
        <v>1</v>
      </c>
      <c r="E4" s="5">
        <v>1980</v>
      </c>
      <c r="F4" s="5">
        <v>-1112.1099999999999</v>
      </c>
      <c r="G4" s="3" t="str">
        <f>VLOOKUP(Registros[[#This Row],[Cliente]],Cliente_Region[],2,FALSE)</f>
        <v>Canada</v>
      </c>
      <c r="H4" s="3" t="str">
        <f>VLOOKUP(Registros[[#This Row],[Producto]],Producto[],2,FALSE)</f>
        <v>DONANY</v>
      </c>
    </row>
    <row r="5" spans="1:8" ht="20.100000000000001" customHeight="1" x14ac:dyDescent="0.25">
      <c r="A5" s="3" t="s">
        <v>8</v>
      </c>
      <c r="B5" s="3" t="s">
        <v>6</v>
      </c>
      <c r="C5" s="3">
        <v>2022</v>
      </c>
      <c r="D5" s="4">
        <v>1</v>
      </c>
      <c r="E5" s="5">
        <v>3675</v>
      </c>
      <c r="F5" s="5">
        <v>6316.24</v>
      </c>
      <c r="G5" s="3" t="str">
        <f>VLOOKUP(Registros[[#This Row],[Cliente]],Cliente_Region[],2,FALSE)</f>
        <v>Canada</v>
      </c>
      <c r="H5" s="3" t="str">
        <f>VLOOKUP(Registros[[#This Row],[Producto]],Producto[],2,FALSE)</f>
        <v>GAMBO</v>
      </c>
    </row>
    <row r="6" spans="1:8" ht="20.100000000000001" customHeight="1" x14ac:dyDescent="0.25">
      <c r="A6" s="3" t="s">
        <v>9</v>
      </c>
      <c r="B6" s="3" t="s">
        <v>6</v>
      </c>
      <c r="C6" s="3">
        <v>2022</v>
      </c>
      <c r="D6" s="4">
        <v>2</v>
      </c>
      <c r="E6" s="5">
        <v>0</v>
      </c>
      <c r="F6" s="5">
        <v>0</v>
      </c>
      <c r="G6" s="3" t="str">
        <f>VLOOKUP(Registros[[#This Row],[Cliente]],Cliente_Region[],2,FALSE)</f>
        <v>Canada</v>
      </c>
      <c r="H6" s="3" t="str">
        <f>VLOOKUP(Registros[[#This Row],[Producto]],Producto[],2,FALSE)</f>
        <v>LAX</v>
      </c>
    </row>
    <row r="7" spans="1:8" ht="20.100000000000001" customHeight="1" x14ac:dyDescent="0.25">
      <c r="A7" s="3" t="s">
        <v>11</v>
      </c>
      <c r="B7" s="3" t="s">
        <v>10</v>
      </c>
      <c r="C7" s="3">
        <v>2022</v>
      </c>
      <c r="D7" s="4">
        <v>1</v>
      </c>
      <c r="E7" s="5">
        <v>37</v>
      </c>
      <c r="F7" s="5">
        <v>4.1100000000000003</v>
      </c>
      <c r="G7" s="3" t="str">
        <f>VLOOKUP(Registros[[#This Row],[Cliente]],Cliente_Region[],2,FALSE)</f>
        <v>Colombia</v>
      </c>
      <c r="H7" s="3" t="str">
        <f>VLOOKUP(Registros[[#This Row],[Producto]],Producto[],2,FALSE)</f>
        <v>DONANY</v>
      </c>
    </row>
    <row r="8" spans="1:8" ht="20.100000000000001" customHeight="1" x14ac:dyDescent="0.25">
      <c r="A8" s="3" t="s">
        <v>12</v>
      </c>
      <c r="B8" s="3" t="s">
        <v>10</v>
      </c>
      <c r="C8" s="3">
        <v>2022</v>
      </c>
      <c r="D8" s="4">
        <v>2</v>
      </c>
      <c r="E8" s="5">
        <v>22.5</v>
      </c>
      <c r="F8" s="5">
        <v>6.03</v>
      </c>
      <c r="G8" s="3" t="str">
        <f>VLOOKUP(Registros[[#This Row],[Cliente]],Cliente_Region[],2,FALSE)</f>
        <v>Colombia</v>
      </c>
      <c r="H8" s="3" t="str">
        <f>VLOOKUP(Registros[[#This Row],[Producto]],Producto[],2,FALSE)</f>
        <v>DAWNE</v>
      </c>
    </row>
    <row r="9" spans="1:8" ht="20.100000000000001" customHeight="1" x14ac:dyDescent="0.25">
      <c r="A9" s="3" t="s">
        <v>12</v>
      </c>
      <c r="B9" s="3" t="s">
        <v>10</v>
      </c>
      <c r="C9" s="3">
        <v>2022</v>
      </c>
      <c r="D9" s="4">
        <v>4</v>
      </c>
      <c r="E9" s="5">
        <v>45</v>
      </c>
      <c r="F9" s="5">
        <v>11.52</v>
      </c>
      <c r="G9" s="3" t="str">
        <f>VLOOKUP(Registros[[#This Row],[Cliente]],Cliente_Region[],2,FALSE)</f>
        <v>Colombia</v>
      </c>
      <c r="H9" s="3" t="str">
        <f>VLOOKUP(Registros[[#This Row],[Producto]],Producto[],2,FALSE)</f>
        <v>DAWNE</v>
      </c>
    </row>
    <row r="10" spans="1:8" ht="20.100000000000001" customHeight="1" x14ac:dyDescent="0.25">
      <c r="A10" s="3" t="s">
        <v>12</v>
      </c>
      <c r="B10" s="3" t="s">
        <v>10</v>
      </c>
      <c r="C10" s="3">
        <v>2022</v>
      </c>
      <c r="D10" s="4">
        <v>5</v>
      </c>
      <c r="E10" s="5">
        <v>67.5</v>
      </c>
      <c r="F10" s="5">
        <v>17.489999999999998</v>
      </c>
      <c r="G10" s="3" t="str">
        <f>VLOOKUP(Registros[[#This Row],[Cliente]],Cliente_Region[],2,FALSE)</f>
        <v>Colombia</v>
      </c>
      <c r="H10" s="3" t="str">
        <f>VLOOKUP(Registros[[#This Row],[Producto]],Producto[],2,FALSE)</f>
        <v>DAWNE</v>
      </c>
    </row>
    <row r="11" spans="1:8" ht="20.100000000000001" customHeight="1" x14ac:dyDescent="0.25">
      <c r="A11" s="3" t="s">
        <v>12</v>
      </c>
      <c r="B11" s="3" t="s">
        <v>10</v>
      </c>
      <c r="C11" s="3">
        <v>2022</v>
      </c>
      <c r="D11" s="4">
        <v>6</v>
      </c>
      <c r="E11" s="5">
        <v>22.5</v>
      </c>
      <c r="F11" s="5">
        <v>5.91</v>
      </c>
      <c r="G11" s="3" t="str">
        <f>VLOOKUP(Registros[[#This Row],[Cliente]],Cliente_Region[],2,FALSE)</f>
        <v>Colombia</v>
      </c>
      <c r="H11" s="3" t="str">
        <f>VLOOKUP(Registros[[#This Row],[Producto]],Producto[],2,FALSE)</f>
        <v>DAWNE</v>
      </c>
    </row>
    <row r="12" spans="1:8" ht="20.100000000000001" customHeight="1" x14ac:dyDescent="0.25">
      <c r="A12" s="3" t="s">
        <v>13</v>
      </c>
      <c r="B12" s="3" t="s">
        <v>10</v>
      </c>
      <c r="C12" s="3">
        <v>2022</v>
      </c>
      <c r="D12" s="4">
        <v>1</v>
      </c>
      <c r="E12" s="5">
        <v>36.9</v>
      </c>
      <c r="F12" s="5">
        <v>8.4700000000000006</v>
      </c>
      <c r="G12" s="3" t="str">
        <f>VLOOKUP(Registros[[#This Row],[Cliente]],Cliente_Region[],2,FALSE)</f>
        <v>Colombia</v>
      </c>
      <c r="H12" s="3" t="str">
        <f>VLOOKUP(Registros[[#This Row],[Producto]],Producto[],2,FALSE)</f>
        <v>DAWNE</v>
      </c>
    </row>
    <row r="13" spans="1:8" ht="20.100000000000001" customHeight="1" x14ac:dyDescent="0.25">
      <c r="A13" s="3" t="s">
        <v>14</v>
      </c>
      <c r="B13" s="3" t="s">
        <v>10</v>
      </c>
      <c r="C13" s="3">
        <v>2022</v>
      </c>
      <c r="D13" s="4">
        <v>2</v>
      </c>
      <c r="E13" s="5">
        <v>112</v>
      </c>
      <c r="F13" s="5">
        <v>35.520000000000003</v>
      </c>
      <c r="G13" s="3" t="str">
        <f>VLOOKUP(Registros[[#This Row],[Cliente]],Cliente_Region[],2,FALSE)</f>
        <v>Colombia</v>
      </c>
      <c r="H13" s="3" t="str">
        <f>VLOOKUP(Registros[[#This Row],[Producto]],Producto[],2,FALSE)</f>
        <v>SALF</v>
      </c>
    </row>
    <row r="14" spans="1:8" ht="20.100000000000001" customHeight="1" x14ac:dyDescent="0.25">
      <c r="A14" s="3" t="s">
        <v>14</v>
      </c>
      <c r="B14" s="3" t="s">
        <v>10</v>
      </c>
      <c r="C14" s="3">
        <v>2022</v>
      </c>
      <c r="D14" s="4">
        <v>3</v>
      </c>
      <c r="E14" s="5">
        <v>42</v>
      </c>
      <c r="F14" s="5">
        <v>13.19</v>
      </c>
      <c r="G14" s="3" t="str">
        <f>VLOOKUP(Registros[[#This Row],[Cliente]],Cliente_Region[],2,FALSE)</f>
        <v>Colombia</v>
      </c>
      <c r="H14" s="3" t="str">
        <f>VLOOKUP(Registros[[#This Row],[Producto]],Producto[],2,FALSE)</f>
        <v>SALF</v>
      </c>
    </row>
    <row r="15" spans="1:8" ht="20.100000000000001" customHeight="1" x14ac:dyDescent="0.25">
      <c r="A15" s="3" t="s">
        <v>14</v>
      </c>
      <c r="B15" s="3" t="s">
        <v>10</v>
      </c>
      <c r="C15" s="3">
        <v>2022</v>
      </c>
      <c r="D15" s="4">
        <v>4</v>
      </c>
      <c r="E15" s="5">
        <v>42</v>
      </c>
      <c r="F15" s="5">
        <v>13.17</v>
      </c>
      <c r="G15" s="3" t="str">
        <f>VLOOKUP(Registros[[#This Row],[Cliente]],Cliente_Region[],2,FALSE)</f>
        <v>Colombia</v>
      </c>
      <c r="H15" s="3" t="str">
        <f>VLOOKUP(Registros[[#This Row],[Producto]],Producto[],2,FALSE)</f>
        <v>SALF</v>
      </c>
    </row>
    <row r="16" spans="1:8" ht="20.100000000000001" customHeight="1" x14ac:dyDescent="0.25">
      <c r="A16" s="3" t="s">
        <v>14</v>
      </c>
      <c r="B16" s="3" t="s">
        <v>10</v>
      </c>
      <c r="C16" s="3">
        <v>2022</v>
      </c>
      <c r="D16" s="4">
        <v>5</v>
      </c>
      <c r="E16" s="5">
        <v>28</v>
      </c>
      <c r="F16" s="5">
        <v>15.84</v>
      </c>
      <c r="G16" s="3" t="str">
        <f>VLOOKUP(Registros[[#This Row],[Cliente]],Cliente_Region[],2,FALSE)</f>
        <v>Colombia</v>
      </c>
      <c r="H16" s="3" t="str">
        <f>VLOOKUP(Registros[[#This Row],[Producto]],Producto[],2,FALSE)</f>
        <v>SALF</v>
      </c>
    </row>
    <row r="17" spans="1:8" ht="20.100000000000001" customHeight="1" x14ac:dyDescent="0.25">
      <c r="A17" s="3" t="s">
        <v>14</v>
      </c>
      <c r="B17" s="3" t="s">
        <v>10</v>
      </c>
      <c r="C17" s="3">
        <v>2022</v>
      </c>
      <c r="D17" s="4">
        <v>6</v>
      </c>
      <c r="E17" s="5">
        <v>14</v>
      </c>
      <c r="F17" s="5">
        <v>4.3499999999999996</v>
      </c>
      <c r="G17" s="3" t="str">
        <f>VLOOKUP(Registros[[#This Row],[Cliente]],Cliente_Region[],2,FALSE)</f>
        <v>Colombia</v>
      </c>
      <c r="H17" s="3" t="str">
        <f>VLOOKUP(Registros[[#This Row],[Producto]],Producto[],2,FALSE)</f>
        <v>SALF</v>
      </c>
    </row>
    <row r="18" spans="1:8" ht="20.100000000000001" customHeight="1" x14ac:dyDescent="0.25">
      <c r="A18" s="3" t="s">
        <v>15</v>
      </c>
      <c r="B18" s="3" t="s">
        <v>10</v>
      </c>
      <c r="C18" s="3">
        <v>2022</v>
      </c>
      <c r="D18" s="4">
        <v>1</v>
      </c>
      <c r="E18" s="5">
        <v>16</v>
      </c>
      <c r="F18" s="5">
        <v>4.99</v>
      </c>
      <c r="G18" s="3" t="str">
        <f>VLOOKUP(Registros[[#This Row],[Cliente]],Cliente_Region[],2,FALSE)</f>
        <v>Colombia</v>
      </c>
      <c r="H18" s="3" t="str">
        <f>VLOOKUP(Registros[[#This Row],[Producto]],Producto[],2,FALSE)</f>
        <v>DONANY</v>
      </c>
    </row>
    <row r="19" spans="1:8" ht="20.100000000000001" customHeight="1" x14ac:dyDescent="0.25">
      <c r="A19" s="3" t="s">
        <v>16</v>
      </c>
      <c r="B19" s="3" t="s">
        <v>10</v>
      </c>
      <c r="C19" s="3">
        <v>2022</v>
      </c>
      <c r="D19" s="4">
        <v>2</v>
      </c>
      <c r="E19" s="5">
        <v>77</v>
      </c>
      <c r="F19" s="5">
        <v>33</v>
      </c>
      <c r="G19" s="3" t="str">
        <f>VLOOKUP(Registros[[#This Row],[Cliente]],Cliente_Region[],2,FALSE)</f>
        <v>Colombia</v>
      </c>
      <c r="H19" s="3" t="str">
        <f>VLOOKUP(Registros[[#This Row],[Producto]],Producto[],2,FALSE)</f>
        <v>CHOTUS</v>
      </c>
    </row>
    <row r="20" spans="1:8" ht="20.100000000000001" customHeight="1" x14ac:dyDescent="0.25">
      <c r="A20" s="3" t="s">
        <v>16</v>
      </c>
      <c r="B20" s="3" t="s">
        <v>10</v>
      </c>
      <c r="C20" s="3">
        <v>2022</v>
      </c>
      <c r="D20" s="4">
        <v>4</v>
      </c>
      <c r="E20" s="5">
        <v>19.25</v>
      </c>
      <c r="F20" s="5">
        <v>8.25</v>
      </c>
      <c r="G20" s="3" t="str">
        <f>VLOOKUP(Registros[[#This Row],[Cliente]],Cliente_Region[],2,FALSE)</f>
        <v>Colombia</v>
      </c>
      <c r="H20" s="3" t="str">
        <f>VLOOKUP(Registros[[#This Row],[Producto]],Producto[],2,FALSE)</f>
        <v>CHOTUS</v>
      </c>
    </row>
    <row r="21" spans="1:8" ht="20.100000000000001" customHeight="1" x14ac:dyDescent="0.25">
      <c r="A21" s="3" t="s">
        <v>17</v>
      </c>
      <c r="B21" s="3" t="s">
        <v>10</v>
      </c>
      <c r="C21" s="3">
        <v>2022</v>
      </c>
      <c r="D21" s="4">
        <v>1</v>
      </c>
      <c r="E21" s="5">
        <v>746.5</v>
      </c>
      <c r="F21" s="5">
        <v>146</v>
      </c>
      <c r="G21" s="3" t="str">
        <f>VLOOKUP(Registros[[#This Row],[Cliente]],Cliente_Region[],2,FALSE)</f>
        <v>Colombia</v>
      </c>
      <c r="H21" s="3" t="str">
        <f>VLOOKUP(Registros[[#This Row],[Producto]],Producto[],2,FALSE)</f>
        <v>LAX</v>
      </c>
    </row>
    <row r="22" spans="1:8" ht="20.100000000000001" customHeight="1" x14ac:dyDescent="0.25">
      <c r="A22" s="3" t="s">
        <v>18</v>
      </c>
      <c r="B22" s="3" t="s">
        <v>10</v>
      </c>
      <c r="C22" s="3">
        <v>2022</v>
      </c>
      <c r="D22" s="4">
        <v>2</v>
      </c>
      <c r="E22" s="5">
        <v>154</v>
      </c>
      <c r="F22" s="5">
        <v>51.37</v>
      </c>
      <c r="G22" s="3" t="str">
        <f>VLOOKUP(Registros[[#This Row],[Cliente]],Cliente_Region[],2,FALSE)</f>
        <v>Colombia</v>
      </c>
      <c r="H22" s="3" t="str">
        <f>VLOOKUP(Registros[[#This Row],[Producto]],Producto[],2,FALSE)</f>
        <v>GAMBO</v>
      </c>
    </row>
    <row r="23" spans="1:8" ht="20.100000000000001" customHeight="1" x14ac:dyDescent="0.25">
      <c r="A23" s="3" t="s">
        <v>18</v>
      </c>
      <c r="B23" s="3" t="s">
        <v>10</v>
      </c>
      <c r="C23" s="3">
        <v>2022</v>
      </c>
      <c r="D23" s="4">
        <v>3</v>
      </c>
      <c r="E23" s="5">
        <v>352</v>
      </c>
      <c r="F23" s="5">
        <v>117.91</v>
      </c>
      <c r="G23" s="3" t="str">
        <f>VLOOKUP(Registros[[#This Row],[Cliente]],Cliente_Region[],2,FALSE)</f>
        <v>Colombia</v>
      </c>
      <c r="H23" s="3" t="str">
        <f>VLOOKUP(Registros[[#This Row],[Producto]],Producto[],2,FALSE)</f>
        <v>GAMBO</v>
      </c>
    </row>
    <row r="24" spans="1:8" ht="20.100000000000001" customHeight="1" x14ac:dyDescent="0.25">
      <c r="A24" s="3" t="s">
        <v>18</v>
      </c>
      <c r="B24" s="3" t="s">
        <v>10</v>
      </c>
      <c r="C24" s="3">
        <v>2022</v>
      </c>
      <c r="D24" s="4">
        <v>4</v>
      </c>
      <c r="E24" s="5">
        <v>638</v>
      </c>
      <c r="F24" s="5">
        <v>216.64</v>
      </c>
      <c r="G24" s="3" t="str">
        <f>VLOOKUP(Registros[[#This Row],[Cliente]],Cliente_Region[],2,FALSE)</f>
        <v>Colombia</v>
      </c>
      <c r="H24" s="3" t="str">
        <f>VLOOKUP(Registros[[#This Row],[Producto]],Producto[],2,FALSE)</f>
        <v>GAMBO</v>
      </c>
    </row>
    <row r="25" spans="1:8" ht="20.100000000000001" customHeight="1" x14ac:dyDescent="0.25">
      <c r="A25" s="3" t="s">
        <v>18</v>
      </c>
      <c r="B25" s="3" t="s">
        <v>10</v>
      </c>
      <c r="C25" s="3">
        <v>2022</v>
      </c>
      <c r="D25" s="4">
        <v>5</v>
      </c>
      <c r="E25" s="5">
        <v>264</v>
      </c>
      <c r="F25" s="5">
        <v>89.75</v>
      </c>
      <c r="G25" s="3" t="str">
        <f>VLOOKUP(Registros[[#This Row],[Cliente]],Cliente_Region[],2,FALSE)</f>
        <v>Colombia</v>
      </c>
      <c r="H25" s="3" t="str">
        <f>VLOOKUP(Registros[[#This Row],[Producto]],Producto[],2,FALSE)</f>
        <v>GAMBO</v>
      </c>
    </row>
    <row r="26" spans="1:8" ht="20.100000000000001" customHeight="1" x14ac:dyDescent="0.25">
      <c r="A26" s="3" t="s">
        <v>18</v>
      </c>
      <c r="B26" s="3" t="s">
        <v>10</v>
      </c>
      <c r="C26" s="3">
        <v>2022</v>
      </c>
      <c r="D26" s="4">
        <v>6</v>
      </c>
      <c r="E26" s="5">
        <v>264</v>
      </c>
      <c r="F26" s="5">
        <v>87.98</v>
      </c>
      <c r="G26" s="3" t="str">
        <f>VLOOKUP(Registros[[#This Row],[Cliente]],Cliente_Region[],2,FALSE)</f>
        <v>Colombia</v>
      </c>
      <c r="H26" s="3" t="str">
        <f>VLOOKUP(Registros[[#This Row],[Producto]],Producto[],2,FALSE)</f>
        <v>GAMBO</v>
      </c>
    </row>
    <row r="27" spans="1:8" ht="20.100000000000001" customHeight="1" x14ac:dyDescent="0.25">
      <c r="A27" s="3" t="s">
        <v>19</v>
      </c>
      <c r="B27" s="3" t="s">
        <v>10</v>
      </c>
      <c r="C27" s="3">
        <v>2022</v>
      </c>
      <c r="D27" s="4">
        <v>3</v>
      </c>
      <c r="E27" s="5">
        <v>68</v>
      </c>
      <c r="F27" s="5">
        <v>10.17</v>
      </c>
      <c r="G27" s="3" t="str">
        <f>VLOOKUP(Registros[[#This Row],[Cliente]],Cliente_Region[],2,FALSE)</f>
        <v>Colombia</v>
      </c>
      <c r="H27" s="3" t="str">
        <f>VLOOKUP(Registros[[#This Row],[Producto]],Producto[],2,FALSE)</f>
        <v>GAMBO</v>
      </c>
    </row>
    <row r="28" spans="1:8" ht="20.100000000000001" customHeight="1" x14ac:dyDescent="0.25">
      <c r="A28" s="3" t="s">
        <v>20</v>
      </c>
      <c r="B28" s="3" t="s">
        <v>10</v>
      </c>
      <c r="C28" s="3">
        <v>2022</v>
      </c>
      <c r="D28" s="4">
        <v>1</v>
      </c>
      <c r="E28" s="5">
        <v>178</v>
      </c>
      <c r="F28" s="5">
        <v>63.22</v>
      </c>
      <c r="G28" s="3" t="str">
        <f>VLOOKUP(Registros[[#This Row],[Cliente]],Cliente_Region[],2,FALSE)</f>
        <v>Colombia</v>
      </c>
      <c r="H28" s="3" t="str">
        <f>VLOOKUP(Registros[[#This Row],[Producto]],Producto[],2,FALSE)</f>
        <v>CHOTUS</v>
      </c>
    </row>
    <row r="29" spans="1:8" ht="20.100000000000001" customHeight="1" x14ac:dyDescent="0.25">
      <c r="A29" s="3" t="s">
        <v>21</v>
      </c>
      <c r="B29" s="3" t="s">
        <v>10</v>
      </c>
      <c r="C29" s="3">
        <v>2022</v>
      </c>
      <c r="D29" s="4">
        <v>2</v>
      </c>
      <c r="E29" s="5">
        <v>9</v>
      </c>
      <c r="F29" s="5">
        <v>-8.42</v>
      </c>
      <c r="G29" s="3" t="str">
        <f>VLOOKUP(Registros[[#This Row],[Cliente]],Cliente_Region[],2,FALSE)</f>
        <v>Colombia</v>
      </c>
      <c r="H29" s="3" t="str">
        <f>VLOOKUP(Registros[[#This Row],[Producto]],Producto[],2,FALSE)</f>
        <v>MOC</v>
      </c>
    </row>
    <row r="30" spans="1:8" ht="20.100000000000001" customHeight="1" x14ac:dyDescent="0.25">
      <c r="A30" s="3" t="s">
        <v>21</v>
      </c>
      <c r="B30" s="3" t="s">
        <v>10</v>
      </c>
      <c r="C30" s="3">
        <v>2022</v>
      </c>
      <c r="D30" s="4">
        <v>3</v>
      </c>
      <c r="E30" s="5">
        <v>196</v>
      </c>
      <c r="F30" s="5">
        <v>70.17</v>
      </c>
      <c r="G30" s="3" t="str">
        <f>VLOOKUP(Registros[[#This Row],[Cliente]],Cliente_Region[],2,FALSE)</f>
        <v>Colombia</v>
      </c>
      <c r="H30" s="3" t="str">
        <f>VLOOKUP(Registros[[#This Row],[Producto]],Producto[],2,FALSE)</f>
        <v>MOC</v>
      </c>
    </row>
    <row r="31" spans="1:8" ht="20.100000000000001" customHeight="1" x14ac:dyDescent="0.25">
      <c r="A31" s="3" t="s">
        <v>21</v>
      </c>
      <c r="B31" s="3" t="s">
        <v>10</v>
      </c>
      <c r="C31" s="3">
        <v>2022</v>
      </c>
      <c r="D31" s="4">
        <v>4</v>
      </c>
      <c r="E31" s="5">
        <v>114</v>
      </c>
      <c r="F31" s="5">
        <v>40.4</v>
      </c>
      <c r="G31" s="3" t="str">
        <f>VLOOKUP(Registros[[#This Row],[Cliente]],Cliente_Region[],2,FALSE)</f>
        <v>Colombia</v>
      </c>
      <c r="H31" s="3" t="str">
        <f>VLOOKUP(Registros[[#This Row],[Producto]],Producto[],2,FALSE)</f>
        <v>MOC</v>
      </c>
    </row>
    <row r="32" spans="1:8" ht="20.100000000000001" customHeight="1" x14ac:dyDescent="0.25">
      <c r="A32" s="3" t="s">
        <v>21</v>
      </c>
      <c r="B32" s="3" t="s">
        <v>10</v>
      </c>
      <c r="C32" s="3">
        <v>2022</v>
      </c>
      <c r="D32" s="4">
        <v>5</v>
      </c>
      <c r="E32" s="5">
        <v>114</v>
      </c>
      <c r="F32" s="5">
        <v>39.479999999999997</v>
      </c>
      <c r="G32" s="3" t="str">
        <f>VLOOKUP(Registros[[#This Row],[Cliente]],Cliente_Region[],2,FALSE)</f>
        <v>Colombia</v>
      </c>
      <c r="H32" s="3" t="str">
        <f>VLOOKUP(Registros[[#This Row],[Producto]],Producto[],2,FALSE)</f>
        <v>MOC</v>
      </c>
    </row>
    <row r="33" spans="1:8" ht="20.100000000000001" customHeight="1" x14ac:dyDescent="0.25">
      <c r="A33" s="3" t="s">
        <v>21</v>
      </c>
      <c r="B33" s="3" t="s">
        <v>10</v>
      </c>
      <c r="C33" s="3">
        <v>2022</v>
      </c>
      <c r="D33" s="4">
        <v>6</v>
      </c>
      <c r="E33" s="5">
        <v>28.5</v>
      </c>
      <c r="F33" s="5">
        <v>9.7899999999999991</v>
      </c>
      <c r="G33" s="3" t="str">
        <f>VLOOKUP(Registros[[#This Row],[Cliente]],Cliente_Region[],2,FALSE)</f>
        <v>Colombia</v>
      </c>
      <c r="H33" s="3" t="str">
        <f>VLOOKUP(Registros[[#This Row],[Producto]],Producto[],2,FALSE)</f>
        <v>MOC</v>
      </c>
    </row>
    <row r="34" spans="1:8" ht="20.100000000000001" customHeight="1" x14ac:dyDescent="0.25">
      <c r="A34" s="3" t="s">
        <v>22</v>
      </c>
      <c r="B34" s="3" t="s">
        <v>10</v>
      </c>
      <c r="C34" s="3">
        <v>2022</v>
      </c>
      <c r="D34" s="4">
        <v>2</v>
      </c>
      <c r="E34" s="5">
        <v>19.75</v>
      </c>
      <c r="F34" s="5">
        <v>11.52</v>
      </c>
      <c r="G34" s="3" t="str">
        <f>VLOOKUP(Registros[[#This Row],[Cliente]],Cliente_Region[],2,FALSE)</f>
        <v>Colombia</v>
      </c>
      <c r="H34" s="3" t="str">
        <f>VLOOKUP(Registros[[#This Row],[Producto]],Producto[],2,FALSE)</f>
        <v>DONANY</v>
      </c>
    </row>
    <row r="35" spans="1:8" ht="20.100000000000001" customHeight="1" x14ac:dyDescent="0.25">
      <c r="A35" s="3" t="s">
        <v>23</v>
      </c>
      <c r="B35" s="3" t="s">
        <v>10</v>
      </c>
      <c r="C35" s="3">
        <v>2022</v>
      </c>
      <c r="D35" s="4">
        <v>3</v>
      </c>
      <c r="E35" s="5">
        <v>19.75</v>
      </c>
      <c r="F35" s="5">
        <v>11.52</v>
      </c>
      <c r="G35" s="3" t="str">
        <f>VLOOKUP(Registros[[#This Row],[Cliente]],Cliente_Region[],2,FALSE)</f>
        <v>Colombia</v>
      </c>
      <c r="H35" s="3" t="str">
        <f>VLOOKUP(Registros[[#This Row],[Producto]],Producto[],2,FALSE)</f>
        <v>GAMBO</v>
      </c>
    </row>
    <row r="36" spans="1:8" ht="20.100000000000001" customHeight="1" x14ac:dyDescent="0.25">
      <c r="A36" s="3" t="s">
        <v>23</v>
      </c>
      <c r="B36" s="3" t="s">
        <v>10</v>
      </c>
      <c r="C36" s="3">
        <v>2022</v>
      </c>
      <c r="D36" s="4">
        <v>4</v>
      </c>
      <c r="E36" s="5">
        <v>19.75</v>
      </c>
      <c r="F36" s="5">
        <v>11.52</v>
      </c>
      <c r="G36" s="3" t="str">
        <f>VLOOKUP(Registros[[#This Row],[Cliente]],Cliente_Region[],2,FALSE)</f>
        <v>Colombia</v>
      </c>
      <c r="H36" s="3" t="str">
        <f>VLOOKUP(Registros[[#This Row],[Producto]],Producto[],2,FALSE)</f>
        <v>GAMBO</v>
      </c>
    </row>
    <row r="37" spans="1:8" ht="20.100000000000001" customHeight="1" x14ac:dyDescent="0.25">
      <c r="A37" s="3" t="s">
        <v>23</v>
      </c>
      <c r="B37" s="3" t="s">
        <v>10</v>
      </c>
      <c r="C37" s="3">
        <v>2022</v>
      </c>
      <c r="D37" s="4">
        <v>6</v>
      </c>
      <c r="E37" s="5">
        <v>19.75</v>
      </c>
      <c r="F37" s="5">
        <v>11.52</v>
      </c>
      <c r="G37" s="3" t="str">
        <f>VLOOKUP(Registros[[#This Row],[Cliente]],Cliente_Region[],2,FALSE)</f>
        <v>Colombia</v>
      </c>
      <c r="H37" s="3" t="str">
        <f>VLOOKUP(Registros[[#This Row],[Producto]],Producto[],2,FALSE)</f>
        <v>GAMBO</v>
      </c>
    </row>
    <row r="38" spans="1:8" ht="20.100000000000001" customHeight="1" x14ac:dyDescent="0.25">
      <c r="A38" s="3" t="s">
        <v>24</v>
      </c>
      <c r="B38" s="3" t="s">
        <v>10</v>
      </c>
      <c r="C38" s="3">
        <v>2022</v>
      </c>
      <c r="D38" s="4">
        <v>1</v>
      </c>
      <c r="E38" s="5">
        <v>15.5</v>
      </c>
      <c r="F38" s="5">
        <v>6.39</v>
      </c>
      <c r="G38" s="3" t="str">
        <f>VLOOKUP(Registros[[#This Row],[Cliente]],Cliente_Region[],2,FALSE)</f>
        <v>Colombia</v>
      </c>
      <c r="H38" s="3" t="str">
        <f>VLOOKUP(Registros[[#This Row],[Producto]],Producto[],2,FALSE)</f>
        <v>GAMBO</v>
      </c>
    </row>
    <row r="39" spans="1:8" ht="20.100000000000001" customHeight="1" x14ac:dyDescent="0.25">
      <c r="A39" s="3" t="s">
        <v>26</v>
      </c>
      <c r="B39" s="3" t="s">
        <v>10</v>
      </c>
      <c r="C39" s="3">
        <v>2022</v>
      </c>
      <c r="D39" s="4">
        <v>1</v>
      </c>
      <c r="E39" s="5">
        <v>57</v>
      </c>
      <c r="F39" s="5">
        <v>27.11</v>
      </c>
      <c r="G39" s="3" t="str">
        <f>VLOOKUP(Registros[[#This Row],[Cliente]],Cliente_Region[],2,FALSE)</f>
        <v>Colombia</v>
      </c>
      <c r="H39" s="3" t="str">
        <f>VLOOKUP(Registros[[#This Row],[Producto]],Producto[],2,FALSE)</f>
        <v>CHOTUS</v>
      </c>
    </row>
    <row r="40" spans="1:8" ht="20.100000000000001" customHeight="1" x14ac:dyDescent="0.25">
      <c r="A40" s="3" t="s">
        <v>27</v>
      </c>
      <c r="B40" s="3" t="s">
        <v>10</v>
      </c>
      <c r="C40" s="3">
        <v>2022</v>
      </c>
      <c r="D40" s="4">
        <v>2</v>
      </c>
      <c r="E40" s="5">
        <v>-9</v>
      </c>
      <c r="F40" s="5">
        <v>-9</v>
      </c>
      <c r="G40" s="3" t="str">
        <f>VLOOKUP(Registros[[#This Row],[Cliente]],Cliente_Region[],2,FALSE)</f>
        <v>Colombia</v>
      </c>
      <c r="H40" s="3" t="str">
        <f>VLOOKUP(Registros[[#This Row],[Producto]],Producto[],2,FALSE)</f>
        <v>MOC</v>
      </c>
    </row>
    <row r="41" spans="1:8" ht="20.100000000000001" customHeight="1" x14ac:dyDescent="0.25">
      <c r="A41" s="3" t="s">
        <v>27</v>
      </c>
      <c r="B41" s="3" t="s">
        <v>10</v>
      </c>
      <c r="C41" s="3">
        <v>2022</v>
      </c>
      <c r="D41" s="4">
        <v>3</v>
      </c>
      <c r="E41" s="5">
        <v>30.5</v>
      </c>
      <c r="F41" s="5">
        <v>15.56</v>
      </c>
      <c r="G41" s="3" t="str">
        <f>VLOOKUP(Registros[[#This Row],[Cliente]],Cliente_Region[],2,FALSE)</f>
        <v>Colombia</v>
      </c>
      <c r="H41" s="3" t="str">
        <f>VLOOKUP(Registros[[#This Row],[Producto]],Producto[],2,FALSE)</f>
        <v>MOC</v>
      </c>
    </row>
    <row r="42" spans="1:8" ht="20.100000000000001" customHeight="1" x14ac:dyDescent="0.25">
      <c r="A42" s="3" t="s">
        <v>28</v>
      </c>
      <c r="B42" s="3" t="s">
        <v>10</v>
      </c>
      <c r="C42" s="3">
        <v>2022</v>
      </c>
      <c r="D42" s="4">
        <v>1</v>
      </c>
      <c r="E42" s="5">
        <v>125</v>
      </c>
      <c r="F42" s="5">
        <v>42.49</v>
      </c>
      <c r="G42" s="3" t="str">
        <f>VLOOKUP(Registros[[#This Row],[Cliente]],Cliente_Region[],2,FALSE)</f>
        <v>Colombia</v>
      </c>
      <c r="H42" s="3" t="str">
        <f>VLOOKUP(Registros[[#This Row],[Producto]],Producto[],2,FALSE)</f>
        <v>SALF</v>
      </c>
    </row>
    <row r="43" spans="1:8" ht="20.100000000000001" customHeight="1" x14ac:dyDescent="0.25">
      <c r="A43" s="3" t="s">
        <v>29</v>
      </c>
      <c r="B43" s="3" t="s">
        <v>10</v>
      </c>
      <c r="C43" s="3">
        <v>2022</v>
      </c>
      <c r="D43" s="4">
        <v>2</v>
      </c>
      <c r="E43" s="5">
        <v>273</v>
      </c>
      <c r="F43" s="5">
        <v>72.67</v>
      </c>
      <c r="G43" s="3" t="str">
        <f>VLOOKUP(Registros[[#This Row],[Cliente]],Cliente_Region[],2,FALSE)</f>
        <v>Colombia</v>
      </c>
      <c r="H43" s="3" t="str">
        <f>VLOOKUP(Registros[[#This Row],[Producto]],Producto[],2,FALSE)</f>
        <v>LAX</v>
      </c>
    </row>
    <row r="44" spans="1:8" ht="20.100000000000001" customHeight="1" x14ac:dyDescent="0.25">
      <c r="A44" s="3" t="s">
        <v>29</v>
      </c>
      <c r="B44" s="3" t="s">
        <v>10</v>
      </c>
      <c r="C44" s="3">
        <v>2022</v>
      </c>
      <c r="D44" s="4">
        <v>3</v>
      </c>
      <c r="E44" s="5">
        <v>216</v>
      </c>
      <c r="F44" s="5">
        <v>67.2</v>
      </c>
      <c r="G44" s="3" t="str">
        <f>VLOOKUP(Registros[[#This Row],[Cliente]],Cliente_Region[],2,FALSE)</f>
        <v>Colombia</v>
      </c>
      <c r="H44" s="3" t="str">
        <f>VLOOKUP(Registros[[#This Row],[Producto]],Producto[],2,FALSE)</f>
        <v>LAX</v>
      </c>
    </row>
    <row r="45" spans="1:8" ht="20.100000000000001" customHeight="1" x14ac:dyDescent="0.25">
      <c r="A45" s="3" t="s">
        <v>29</v>
      </c>
      <c r="B45" s="3" t="s">
        <v>10</v>
      </c>
      <c r="C45" s="3">
        <v>2022</v>
      </c>
      <c r="D45" s="4">
        <v>4</v>
      </c>
      <c r="E45" s="5">
        <v>84</v>
      </c>
      <c r="F45" s="5">
        <v>23.38</v>
      </c>
      <c r="G45" s="3" t="str">
        <f>VLOOKUP(Registros[[#This Row],[Cliente]],Cliente_Region[],2,FALSE)</f>
        <v>Colombia</v>
      </c>
      <c r="H45" s="3" t="str">
        <f>VLOOKUP(Registros[[#This Row],[Producto]],Producto[],2,FALSE)</f>
        <v>LAX</v>
      </c>
    </row>
    <row r="46" spans="1:8" ht="20.100000000000001" customHeight="1" x14ac:dyDescent="0.25">
      <c r="A46" s="3" t="s">
        <v>29</v>
      </c>
      <c r="B46" s="3" t="s">
        <v>10</v>
      </c>
      <c r="C46" s="3">
        <v>2022</v>
      </c>
      <c r="D46" s="4">
        <v>5</v>
      </c>
      <c r="E46" s="5">
        <v>117</v>
      </c>
      <c r="F46" s="5">
        <v>26.08</v>
      </c>
      <c r="G46" s="3" t="str">
        <f>VLOOKUP(Registros[[#This Row],[Cliente]],Cliente_Region[],2,FALSE)</f>
        <v>Colombia</v>
      </c>
      <c r="H46" s="3" t="str">
        <f>VLOOKUP(Registros[[#This Row],[Producto]],Producto[],2,FALSE)</f>
        <v>LAX</v>
      </c>
    </row>
    <row r="47" spans="1:8" ht="20.100000000000001" customHeight="1" x14ac:dyDescent="0.25">
      <c r="A47" s="3" t="s">
        <v>30</v>
      </c>
      <c r="B47" s="3" t="s">
        <v>10</v>
      </c>
      <c r="C47" s="3">
        <v>2022</v>
      </c>
      <c r="D47" s="4">
        <v>1</v>
      </c>
      <c r="E47" s="5">
        <v>84</v>
      </c>
      <c r="F47" s="5">
        <v>59.95</v>
      </c>
      <c r="G47" s="3" t="str">
        <f>VLOOKUP(Registros[[#This Row],[Cliente]],Cliente_Region[],2,FALSE)</f>
        <v>Colombia</v>
      </c>
      <c r="H47" s="3" t="str">
        <f>VLOOKUP(Registros[[#This Row],[Producto]],Producto[],2,FALSE)</f>
        <v>CHOTUS</v>
      </c>
    </row>
    <row r="48" spans="1:8" ht="20.100000000000001" customHeight="1" x14ac:dyDescent="0.25">
      <c r="A48" s="3" t="s">
        <v>31</v>
      </c>
      <c r="B48" s="3" t="s">
        <v>10</v>
      </c>
      <c r="C48" s="3">
        <v>2022</v>
      </c>
      <c r="D48" s="4">
        <v>6</v>
      </c>
      <c r="E48" s="5">
        <v>13</v>
      </c>
      <c r="F48" s="5">
        <v>8.99</v>
      </c>
      <c r="G48" s="3" t="str">
        <f>VLOOKUP(Registros[[#This Row],[Cliente]],Cliente_Region[],2,FALSE)</f>
        <v>Colombia</v>
      </c>
      <c r="H48" s="3" t="str">
        <f>VLOOKUP(Registros[[#This Row],[Producto]],Producto[],2,FALSE)</f>
        <v>CHOTUS</v>
      </c>
    </row>
    <row r="49" spans="1:8" ht="20.100000000000001" customHeight="1" x14ac:dyDescent="0.25">
      <c r="A49" s="3" t="s">
        <v>32</v>
      </c>
      <c r="B49" s="3" t="s">
        <v>10</v>
      </c>
      <c r="C49" s="3">
        <v>2022</v>
      </c>
      <c r="D49" s="4">
        <v>1</v>
      </c>
      <c r="E49" s="5">
        <v>96</v>
      </c>
      <c r="F49" s="5">
        <v>39.75</v>
      </c>
      <c r="G49" s="3" t="str">
        <f>VLOOKUP(Registros[[#This Row],[Cliente]],Cliente_Region[],2,FALSE)</f>
        <v>Colombia</v>
      </c>
      <c r="H49" s="3" t="str">
        <f>VLOOKUP(Registros[[#This Row],[Producto]],Producto[],2,FALSE)</f>
        <v>GAMBO</v>
      </c>
    </row>
    <row r="50" spans="1:8" ht="20.100000000000001" customHeight="1" x14ac:dyDescent="0.25">
      <c r="A50" s="3" t="s">
        <v>33</v>
      </c>
      <c r="B50" s="3" t="s">
        <v>10</v>
      </c>
      <c r="C50" s="3">
        <v>2022</v>
      </c>
      <c r="D50" s="4">
        <v>2</v>
      </c>
      <c r="E50" s="5">
        <v>213</v>
      </c>
      <c r="F50" s="5">
        <v>67.16</v>
      </c>
      <c r="G50" s="3" t="str">
        <f>VLOOKUP(Registros[[#This Row],[Cliente]],Cliente_Region[],2,FALSE)</f>
        <v>Colombia</v>
      </c>
      <c r="H50" s="3" t="str">
        <f>VLOOKUP(Registros[[#This Row],[Producto]],Producto[],2,FALSE)</f>
        <v>GAMBO</v>
      </c>
    </row>
    <row r="51" spans="1:8" ht="20.100000000000001" customHeight="1" x14ac:dyDescent="0.25">
      <c r="A51" s="3" t="s">
        <v>33</v>
      </c>
      <c r="B51" s="3" t="s">
        <v>10</v>
      </c>
      <c r="C51" s="3">
        <v>2022</v>
      </c>
      <c r="D51" s="4">
        <v>3</v>
      </c>
      <c r="E51" s="5">
        <v>264</v>
      </c>
      <c r="F51" s="5">
        <v>87.96</v>
      </c>
      <c r="G51" s="3" t="str">
        <f>VLOOKUP(Registros[[#This Row],[Cliente]],Cliente_Region[],2,FALSE)</f>
        <v>Colombia</v>
      </c>
      <c r="H51" s="3" t="str">
        <f>VLOOKUP(Registros[[#This Row],[Producto]],Producto[],2,FALSE)</f>
        <v>GAMBO</v>
      </c>
    </row>
    <row r="52" spans="1:8" ht="20.100000000000001" customHeight="1" x14ac:dyDescent="0.25">
      <c r="A52" s="3" t="s">
        <v>33</v>
      </c>
      <c r="B52" s="3" t="s">
        <v>10</v>
      </c>
      <c r="C52" s="3">
        <v>2022</v>
      </c>
      <c r="D52" s="4">
        <v>4</v>
      </c>
      <c r="E52" s="5">
        <v>174</v>
      </c>
      <c r="F52" s="5">
        <v>53.78</v>
      </c>
      <c r="G52" s="3" t="str">
        <f>VLOOKUP(Registros[[#This Row],[Cliente]],Cliente_Region[],2,FALSE)</f>
        <v>Colombia</v>
      </c>
      <c r="H52" s="3" t="str">
        <f>VLOOKUP(Registros[[#This Row],[Producto]],Producto[],2,FALSE)</f>
        <v>GAMBO</v>
      </c>
    </row>
    <row r="53" spans="1:8" ht="20.100000000000001" customHeight="1" x14ac:dyDescent="0.25">
      <c r="A53" s="3" t="s">
        <v>33</v>
      </c>
      <c r="B53" s="3" t="s">
        <v>10</v>
      </c>
      <c r="C53" s="3">
        <v>2022</v>
      </c>
      <c r="D53" s="4">
        <v>5</v>
      </c>
      <c r="E53" s="5">
        <v>172.1</v>
      </c>
      <c r="F53" s="5">
        <v>51</v>
      </c>
      <c r="G53" s="3" t="str">
        <f>VLOOKUP(Registros[[#This Row],[Cliente]],Cliente_Region[],2,FALSE)</f>
        <v>Colombia</v>
      </c>
      <c r="H53" s="3" t="str">
        <f>VLOOKUP(Registros[[#This Row],[Producto]],Producto[],2,FALSE)</f>
        <v>GAMBO</v>
      </c>
    </row>
    <row r="54" spans="1:8" ht="20.100000000000001" customHeight="1" x14ac:dyDescent="0.25">
      <c r="A54" s="3" t="s">
        <v>34</v>
      </c>
      <c r="B54" s="3" t="s">
        <v>10</v>
      </c>
      <c r="C54" s="3">
        <v>2022</v>
      </c>
      <c r="D54" s="4">
        <v>6</v>
      </c>
      <c r="E54" s="5">
        <v>15.25</v>
      </c>
      <c r="F54" s="5">
        <v>11.37</v>
      </c>
      <c r="G54" s="3" t="str">
        <f>VLOOKUP(Registros[[#This Row],[Cliente]],Cliente_Region[],2,FALSE)</f>
        <v>Colombia</v>
      </c>
      <c r="H54" s="3" t="str">
        <f>VLOOKUP(Registros[[#This Row],[Producto]],Producto[],2,FALSE)</f>
        <v>DONANY</v>
      </c>
    </row>
    <row r="55" spans="1:8" ht="20.100000000000001" customHeight="1" x14ac:dyDescent="0.25">
      <c r="A55" s="3" t="s">
        <v>36</v>
      </c>
      <c r="B55" s="3" t="s">
        <v>10</v>
      </c>
      <c r="C55" s="3">
        <v>2022</v>
      </c>
      <c r="D55" s="4">
        <v>2</v>
      </c>
      <c r="E55" s="5">
        <v>14</v>
      </c>
      <c r="F55" s="5">
        <v>9.8699999999999992</v>
      </c>
      <c r="G55" s="3" t="str">
        <f>VLOOKUP(Registros[[#This Row],[Cliente]],Cliente_Region[],2,FALSE)</f>
        <v>Colombia</v>
      </c>
      <c r="H55" s="3" t="str">
        <f>VLOOKUP(Registros[[#This Row],[Producto]],Producto[],2,FALSE)</f>
        <v>QUOKAR</v>
      </c>
    </row>
    <row r="56" spans="1:8" ht="20.100000000000001" customHeight="1" x14ac:dyDescent="0.25">
      <c r="A56" s="3" t="s">
        <v>37</v>
      </c>
      <c r="B56" s="3" t="s">
        <v>10</v>
      </c>
      <c r="C56" s="3">
        <v>2022</v>
      </c>
      <c r="D56" s="4">
        <v>5</v>
      </c>
      <c r="E56" s="5">
        <v>14</v>
      </c>
      <c r="F56" s="5">
        <v>9.8699999999999992</v>
      </c>
      <c r="G56" s="3" t="str">
        <f>VLOOKUP(Registros[[#This Row],[Cliente]],Cliente_Region[],2,FALSE)</f>
        <v>Colombia</v>
      </c>
      <c r="H56" s="3" t="str">
        <f>VLOOKUP(Registros[[#This Row],[Producto]],Producto[],2,FALSE)</f>
        <v>DONANY</v>
      </c>
    </row>
    <row r="57" spans="1:8" ht="20.100000000000001" customHeight="1" x14ac:dyDescent="0.25">
      <c r="A57" s="3" t="s">
        <v>38</v>
      </c>
      <c r="B57" s="3" t="s">
        <v>10</v>
      </c>
      <c r="C57" s="3">
        <v>2022</v>
      </c>
      <c r="D57" s="4">
        <v>2</v>
      </c>
      <c r="E57" s="5">
        <v>45</v>
      </c>
      <c r="F57" s="5">
        <v>24.33</v>
      </c>
      <c r="G57" s="3" t="str">
        <f>VLOOKUP(Registros[[#This Row],[Cliente]],Cliente_Region[],2,FALSE)</f>
        <v>Colombia</v>
      </c>
      <c r="H57" s="3" t="str">
        <f>VLOOKUP(Registros[[#This Row],[Producto]],Producto[],2,FALSE)</f>
        <v>LAX</v>
      </c>
    </row>
    <row r="58" spans="1:8" ht="20.100000000000001" customHeight="1" x14ac:dyDescent="0.25">
      <c r="A58" s="3" t="s">
        <v>40</v>
      </c>
      <c r="B58" s="3" t="s">
        <v>10</v>
      </c>
      <c r="C58" s="3">
        <v>2022</v>
      </c>
      <c r="D58" s="4">
        <v>2</v>
      </c>
      <c r="E58" s="5">
        <v>95</v>
      </c>
      <c r="F58" s="5">
        <v>55.32</v>
      </c>
      <c r="G58" s="3" t="str">
        <f>VLOOKUP(Registros[[#This Row],[Cliente]],Cliente_Region[],2,FALSE)</f>
        <v>Colombia</v>
      </c>
      <c r="H58" s="3" t="str">
        <f>VLOOKUP(Registros[[#This Row],[Producto]],Producto[],2,FALSE)</f>
        <v>DAWNE</v>
      </c>
    </row>
    <row r="59" spans="1:8" ht="20.100000000000001" customHeight="1" x14ac:dyDescent="0.25">
      <c r="A59" s="3" t="s">
        <v>42</v>
      </c>
      <c r="B59" s="3" t="s">
        <v>10</v>
      </c>
      <c r="C59" s="3">
        <v>2022</v>
      </c>
      <c r="D59" s="4">
        <v>1</v>
      </c>
      <c r="E59" s="5">
        <v>847.25</v>
      </c>
      <c r="F59" s="5">
        <v>434.8</v>
      </c>
      <c r="G59" s="3" t="str">
        <f>VLOOKUP(Registros[[#This Row],[Cliente]],Cliente_Region[],2,FALSE)</f>
        <v>Colombia</v>
      </c>
      <c r="H59" s="3" t="str">
        <f>VLOOKUP(Registros[[#This Row],[Producto]],Producto[],2,FALSE)</f>
        <v>GAMBO</v>
      </c>
    </row>
    <row r="60" spans="1:8" ht="20.100000000000001" customHeight="1" x14ac:dyDescent="0.25">
      <c r="A60" s="3" t="s">
        <v>43</v>
      </c>
      <c r="B60" s="3" t="s">
        <v>10</v>
      </c>
      <c r="C60" s="3">
        <v>2022</v>
      </c>
      <c r="D60" s="4">
        <v>2</v>
      </c>
      <c r="E60" s="5">
        <v>210</v>
      </c>
      <c r="F60" s="5">
        <v>76.239999999999995</v>
      </c>
      <c r="G60" s="3" t="str">
        <f>VLOOKUP(Registros[[#This Row],[Cliente]],Cliente_Region[],2,FALSE)</f>
        <v>Colombia</v>
      </c>
      <c r="H60" s="3" t="str">
        <f>VLOOKUP(Registros[[#This Row],[Producto]],Producto[],2,FALSE)</f>
        <v>MOC</v>
      </c>
    </row>
    <row r="61" spans="1:8" ht="20.100000000000001" customHeight="1" x14ac:dyDescent="0.25">
      <c r="A61" s="3" t="s">
        <v>43</v>
      </c>
      <c r="B61" s="3" t="s">
        <v>10</v>
      </c>
      <c r="C61" s="3">
        <v>2022</v>
      </c>
      <c r="D61" s="4">
        <v>3</v>
      </c>
      <c r="E61" s="5">
        <v>281.25</v>
      </c>
      <c r="F61" s="5">
        <v>114.02</v>
      </c>
      <c r="G61" s="3" t="str">
        <f>VLOOKUP(Registros[[#This Row],[Cliente]],Cliente_Region[],2,FALSE)</f>
        <v>Colombia</v>
      </c>
      <c r="H61" s="3" t="str">
        <f>VLOOKUP(Registros[[#This Row],[Producto]],Producto[],2,FALSE)</f>
        <v>MOC</v>
      </c>
    </row>
    <row r="62" spans="1:8" ht="20.100000000000001" customHeight="1" x14ac:dyDescent="0.25">
      <c r="A62" s="3" t="s">
        <v>43</v>
      </c>
      <c r="B62" s="3" t="s">
        <v>10</v>
      </c>
      <c r="C62" s="3">
        <v>2022</v>
      </c>
      <c r="D62" s="4">
        <v>4</v>
      </c>
      <c r="E62" s="5">
        <v>412.5</v>
      </c>
      <c r="F62" s="5">
        <v>170.84</v>
      </c>
      <c r="G62" s="3" t="str">
        <f>VLOOKUP(Registros[[#This Row],[Cliente]],Cliente_Region[],2,FALSE)</f>
        <v>Colombia</v>
      </c>
      <c r="H62" s="3" t="str">
        <f>VLOOKUP(Registros[[#This Row],[Producto]],Producto[],2,FALSE)</f>
        <v>MOC</v>
      </c>
    </row>
    <row r="63" spans="1:8" ht="20.100000000000001" customHeight="1" x14ac:dyDescent="0.25">
      <c r="A63" s="3" t="s">
        <v>43</v>
      </c>
      <c r="B63" s="3" t="s">
        <v>10</v>
      </c>
      <c r="C63" s="3">
        <v>2022</v>
      </c>
      <c r="D63" s="4">
        <v>5</v>
      </c>
      <c r="E63" s="5">
        <v>356.25</v>
      </c>
      <c r="F63" s="5">
        <v>144.41999999999999</v>
      </c>
      <c r="G63" s="3" t="str">
        <f>VLOOKUP(Registros[[#This Row],[Cliente]],Cliente_Region[],2,FALSE)</f>
        <v>Colombia</v>
      </c>
      <c r="H63" s="3" t="str">
        <f>VLOOKUP(Registros[[#This Row],[Producto]],Producto[],2,FALSE)</f>
        <v>MOC</v>
      </c>
    </row>
    <row r="64" spans="1:8" ht="20.100000000000001" customHeight="1" x14ac:dyDescent="0.25">
      <c r="A64" s="3" t="s">
        <v>43</v>
      </c>
      <c r="B64" s="3" t="s">
        <v>10</v>
      </c>
      <c r="C64" s="3">
        <v>2022</v>
      </c>
      <c r="D64" s="4">
        <v>6</v>
      </c>
      <c r="E64" s="5">
        <v>131.25</v>
      </c>
      <c r="F64" s="5">
        <v>53.2</v>
      </c>
      <c r="G64" s="3" t="str">
        <f>VLOOKUP(Registros[[#This Row],[Cliente]],Cliente_Region[],2,FALSE)</f>
        <v>Colombia</v>
      </c>
      <c r="H64" s="3" t="str">
        <f>VLOOKUP(Registros[[#This Row],[Producto]],Producto[],2,FALSE)</f>
        <v>MOC</v>
      </c>
    </row>
    <row r="65" spans="1:8" ht="20.100000000000001" customHeight="1" x14ac:dyDescent="0.25">
      <c r="A65" s="3" t="s">
        <v>44</v>
      </c>
      <c r="B65" s="3" t="s">
        <v>10</v>
      </c>
      <c r="C65" s="3">
        <v>2022</v>
      </c>
      <c r="D65" s="4">
        <v>5</v>
      </c>
      <c r="E65" s="5">
        <v>200</v>
      </c>
      <c r="F65" s="5">
        <v>95.72</v>
      </c>
      <c r="G65" s="3" t="str">
        <f>VLOOKUP(Registros[[#This Row],[Cliente]],Cliente_Region[],2,FALSE)</f>
        <v>Colombia</v>
      </c>
      <c r="H65" s="3" t="str">
        <f>VLOOKUP(Registros[[#This Row],[Producto]],Producto[],2,FALSE)</f>
        <v>DAWNE</v>
      </c>
    </row>
    <row r="66" spans="1:8" ht="20.100000000000001" customHeight="1" x14ac:dyDescent="0.25">
      <c r="A66" s="3" t="s">
        <v>45</v>
      </c>
      <c r="B66" s="3" t="s">
        <v>10</v>
      </c>
      <c r="C66" s="3">
        <v>2022</v>
      </c>
      <c r="D66" s="4">
        <v>6</v>
      </c>
      <c r="E66" s="5">
        <v>22</v>
      </c>
      <c r="F66" s="5">
        <v>-4.47</v>
      </c>
      <c r="G66" s="3" t="str">
        <f>VLOOKUP(Registros[[#This Row],[Cliente]],Cliente_Region[],2,FALSE)</f>
        <v>Colombia</v>
      </c>
      <c r="H66" s="3" t="str">
        <f>VLOOKUP(Registros[[#This Row],[Producto]],Producto[],2,FALSE)</f>
        <v>DONANY</v>
      </c>
    </row>
    <row r="67" spans="1:8" ht="20.100000000000001" customHeight="1" x14ac:dyDescent="0.25">
      <c r="A67" s="3" t="s">
        <v>2</v>
      </c>
      <c r="B67" s="3" t="s">
        <v>10</v>
      </c>
      <c r="C67" s="3">
        <v>2022</v>
      </c>
      <c r="D67" s="4">
        <v>5</v>
      </c>
      <c r="E67" s="5">
        <v>30</v>
      </c>
      <c r="F67" s="5">
        <v>17.850000000000001</v>
      </c>
      <c r="G67" s="3" t="str">
        <f>VLOOKUP(Registros[[#This Row],[Cliente]],Cliente_Region[],2,FALSE)</f>
        <v>Colombia</v>
      </c>
      <c r="H67" s="3" t="str">
        <f>VLOOKUP(Registros[[#This Row],[Producto]],Producto[],2,FALSE)</f>
        <v>SALF</v>
      </c>
    </row>
    <row r="68" spans="1:8" ht="20.100000000000001" customHeight="1" x14ac:dyDescent="0.25">
      <c r="A68" s="3" t="s">
        <v>46</v>
      </c>
      <c r="B68" s="3" t="s">
        <v>10</v>
      </c>
      <c r="C68" s="3">
        <v>2022</v>
      </c>
      <c r="D68" s="4">
        <v>1</v>
      </c>
      <c r="E68" s="5">
        <v>484.5</v>
      </c>
      <c r="F68" s="5">
        <v>317.13</v>
      </c>
      <c r="G68" s="3" t="str">
        <f>VLOOKUP(Registros[[#This Row],[Cliente]],Cliente_Region[],2,FALSE)</f>
        <v>Colombia</v>
      </c>
      <c r="H68" s="3" t="str">
        <f>VLOOKUP(Registros[[#This Row],[Producto]],Producto[],2,FALSE)</f>
        <v>QUOKAR</v>
      </c>
    </row>
    <row r="69" spans="1:8" ht="20.100000000000001" customHeight="1" x14ac:dyDescent="0.25">
      <c r="A69" s="3" t="s">
        <v>47</v>
      </c>
      <c r="B69" s="3" t="s">
        <v>10</v>
      </c>
      <c r="C69" s="3">
        <v>2022</v>
      </c>
      <c r="D69" s="4">
        <v>2</v>
      </c>
      <c r="E69" s="5">
        <v>365</v>
      </c>
      <c r="F69" s="5">
        <v>245.45</v>
      </c>
      <c r="G69" s="3" t="str">
        <f>VLOOKUP(Registros[[#This Row],[Cliente]],Cliente_Region[],2,FALSE)</f>
        <v>Colombia</v>
      </c>
      <c r="H69" s="3" t="str">
        <f>VLOOKUP(Registros[[#This Row],[Producto]],Producto[],2,FALSE)</f>
        <v>LAX</v>
      </c>
    </row>
    <row r="70" spans="1:8" ht="20.100000000000001" customHeight="1" x14ac:dyDescent="0.25">
      <c r="A70" s="3" t="s">
        <v>47</v>
      </c>
      <c r="B70" s="3" t="s">
        <v>10</v>
      </c>
      <c r="C70" s="3">
        <v>2022</v>
      </c>
      <c r="D70" s="4">
        <v>3</v>
      </c>
      <c r="E70" s="5">
        <v>876</v>
      </c>
      <c r="F70" s="5">
        <v>589.08000000000004</v>
      </c>
      <c r="G70" s="3" t="str">
        <f>VLOOKUP(Registros[[#This Row],[Cliente]],Cliente_Region[],2,FALSE)</f>
        <v>Colombia</v>
      </c>
      <c r="H70" s="3" t="str">
        <f>VLOOKUP(Registros[[#This Row],[Producto]],Producto[],2,FALSE)</f>
        <v>LAX</v>
      </c>
    </row>
    <row r="71" spans="1:8" ht="20.100000000000001" customHeight="1" x14ac:dyDescent="0.25">
      <c r="A71" s="3" t="s">
        <v>47</v>
      </c>
      <c r="B71" s="3" t="s">
        <v>10</v>
      </c>
      <c r="C71" s="3">
        <v>2022</v>
      </c>
      <c r="D71" s="4">
        <v>4</v>
      </c>
      <c r="E71" s="5">
        <v>803</v>
      </c>
      <c r="F71" s="5">
        <v>540</v>
      </c>
      <c r="G71" s="3" t="str">
        <f>VLOOKUP(Registros[[#This Row],[Cliente]],Cliente_Region[],2,FALSE)</f>
        <v>Colombia</v>
      </c>
      <c r="H71" s="3" t="str">
        <f>VLOOKUP(Registros[[#This Row],[Producto]],Producto[],2,FALSE)</f>
        <v>LAX</v>
      </c>
    </row>
    <row r="72" spans="1:8" ht="20.100000000000001" customHeight="1" x14ac:dyDescent="0.25">
      <c r="A72" s="3" t="s">
        <v>47</v>
      </c>
      <c r="B72" s="3" t="s">
        <v>10</v>
      </c>
      <c r="C72" s="3">
        <v>2022</v>
      </c>
      <c r="D72" s="4">
        <v>5</v>
      </c>
      <c r="E72" s="5">
        <v>803</v>
      </c>
      <c r="F72" s="5">
        <v>539.99</v>
      </c>
      <c r="G72" s="3" t="str">
        <f>VLOOKUP(Registros[[#This Row],[Cliente]],Cliente_Region[],2,FALSE)</f>
        <v>Colombia</v>
      </c>
      <c r="H72" s="3" t="str">
        <f>VLOOKUP(Registros[[#This Row],[Producto]],Producto[],2,FALSE)</f>
        <v>LAX</v>
      </c>
    </row>
    <row r="73" spans="1:8" ht="20.100000000000001" customHeight="1" x14ac:dyDescent="0.25">
      <c r="A73" s="3" t="s">
        <v>47</v>
      </c>
      <c r="B73" s="3" t="s">
        <v>10</v>
      </c>
      <c r="C73" s="3">
        <v>2022</v>
      </c>
      <c r="D73" s="4">
        <v>6</v>
      </c>
      <c r="E73" s="5">
        <v>1204.5</v>
      </c>
      <c r="F73" s="5">
        <v>809.99</v>
      </c>
      <c r="G73" s="3" t="str">
        <f>VLOOKUP(Registros[[#This Row],[Cliente]],Cliente_Region[],2,FALSE)</f>
        <v>Colombia</v>
      </c>
      <c r="H73" s="3" t="str">
        <f>VLOOKUP(Registros[[#This Row],[Producto]],Producto[],2,FALSE)</f>
        <v>LAX</v>
      </c>
    </row>
    <row r="74" spans="1:8" ht="20.100000000000001" customHeight="1" x14ac:dyDescent="0.25">
      <c r="A74" s="3" t="s">
        <v>48</v>
      </c>
      <c r="B74" s="3" t="s">
        <v>10</v>
      </c>
      <c r="C74" s="3">
        <v>2022</v>
      </c>
      <c r="D74" s="4">
        <v>1</v>
      </c>
      <c r="E74" s="5">
        <v>140</v>
      </c>
      <c r="F74" s="5">
        <v>87.8</v>
      </c>
      <c r="G74" s="3" t="str">
        <f>VLOOKUP(Registros[[#This Row],[Cliente]],Cliente_Region[],2,FALSE)</f>
        <v>Colombia</v>
      </c>
      <c r="H74" s="3" t="str">
        <f>VLOOKUP(Registros[[#This Row],[Producto]],Producto[],2,FALSE)</f>
        <v>GAMBO</v>
      </c>
    </row>
    <row r="75" spans="1:8" ht="20.100000000000001" customHeight="1" x14ac:dyDescent="0.25">
      <c r="A75" s="3" t="s">
        <v>49</v>
      </c>
      <c r="B75" s="3" t="s">
        <v>10</v>
      </c>
      <c r="C75" s="3">
        <v>2022</v>
      </c>
      <c r="D75" s="4">
        <v>2</v>
      </c>
      <c r="E75" s="5">
        <v>264</v>
      </c>
      <c r="F75" s="5">
        <v>185.69</v>
      </c>
      <c r="G75" s="3" t="str">
        <f>VLOOKUP(Registros[[#This Row],[Cliente]],Cliente_Region[],2,FALSE)</f>
        <v>Colombia</v>
      </c>
      <c r="H75" s="3" t="str">
        <f>VLOOKUP(Registros[[#This Row],[Producto]],Producto[],2,FALSE)</f>
        <v>CHOTUS</v>
      </c>
    </row>
    <row r="76" spans="1:8" ht="20.100000000000001" customHeight="1" x14ac:dyDescent="0.25">
      <c r="A76" s="3" t="s">
        <v>49</v>
      </c>
      <c r="B76" s="3" t="s">
        <v>10</v>
      </c>
      <c r="C76" s="3">
        <v>2022</v>
      </c>
      <c r="D76" s="4">
        <v>5</v>
      </c>
      <c r="E76" s="5">
        <v>44</v>
      </c>
      <c r="F76" s="5">
        <v>30.95</v>
      </c>
      <c r="G76" s="3" t="str">
        <f>VLOOKUP(Registros[[#This Row],[Cliente]],Cliente_Region[],2,FALSE)</f>
        <v>Colombia</v>
      </c>
      <c r="H76" s="3" t="str">
        <f>VLOOKUP(Registros[[#This Row],[Producto]],Producto[],2,FALSE)</f>
        <v>CHOTUS</v>
      </c>
    </row>
    <row r="77" spans="1:8" ht="20.100000000000001" customHeight="1" x14ac:dyDescent="0.25">
      <c r="A77" s="3" t="s">
        <v>49</v>
      </c>
      <c r="B77" s="3" t="s">
        <v>10</v>
      </c>
      <c r="C77" s="3">
        <v>2022</v>
      </c>
      <c r="D77" s="4">
        <v>6</v>
      </c>
      <c r="E77" s="5">
        <v>66</v>
      </c>
      <c r="F77" s="5">
        <v>46.42</v>
      </c>
      <c r="G77" s="3" t="str">
        <f>VLOOKUP(Registros[[#This Row],[Cliente]],Cliente_Region[],2,FALSE)</f>
        <v>Colombia</v>
      </c>
      <c r="H77" s="3" t="str">
        <f>VLOOKUP(Registros[[#This Row],[Producto]],Producto[],2,FALSE)</f>
        <v>CHOTUS</v>
      </c>
    </row>
    <row r="78" spans="1:8" ht="20.100000000000001" customHeight="1" x14ac:dyDescent="0.25">
      <c r="A78" s="3" t="s">
        <v>50</v>
      </c>
      <c r="B78" s="3" t="s">
        <v>10</v>
      </c>
      <c r="C78" s="3">
        <v>2022</v>
      </c>
      <c r="D78" s="4">
        <v>4</v>
      </c>
      <c r="E78" s="5">
        <v>372.5</v>
      </c>
      <c r="F78" s="5">
        <v>-0.02</v>
      </c>
      <c r="G78" s="3" t="str">
        <f>VLOOKUP(Registros[[#This Row],[Cliente]],Cliente_Region[],2,FALSE)</f>
        <v>Colombia</v>
      </c>
      <c r="H78" s="3" t="str">
        <f>VLOOKUP(Registros[[#This Row],[Producto]],Producto[],2,FALSE)</f>
        <v>MOC</v>
      </c>
    </row>
    <row r="79" spans="1:8" ht="20.100000000000001" customHeight="1" x14ac:dyDescent="0.25">
      <c r="A79" s="3" t="s">
        <v>51</v>
      </c>
      <c r="B79" s="3" t="s">
        <v>10</v>
      </c>
      <c r="C79" s="3">
        <v>2022</v>
      </c>
      <c r="D79" s="4">
        <v>4</v>
      </c>
      <c r="E79" s="5">
        <v>30</v>
      </c>
      <c r="F79" s="5">
        <v>18.149999999999999</v>
      </c>
      <c r="G79" s="3" t="str">
        <f>VLOOKUP(Registros[[#This Row],[Cliente]],Cliente_Region[],2,FALSE)</f>
        <v>Colombia</v>
      </c>
      <c r="H79" s="3" t="str">
        <f>VLOOKUP(Registros[[#This Row],[Producto]],Producto[],2,FALSE)</f>
        <v>LAX</v>
      </c>
    </row>
    <row r="80" spans="1:8" ht="20.100000000000001" customHeight="1" x14ac:dyDescent="0.25">
      <c r="A80" s="3" t="s">
        <v>53</v>
      </c>
      <c r="B80" s="3" t="s">
        <v>10</v>
      </c>
      <c r="C80" s="3">
        <v>2022</v>
      </c>
      <c r="D80" s="4">
        <v>4</v>
      </c>
      <c r="E80" s="5">
        <v>70</v>
      </c>
      <c r="F80" s="5">
        <v>7.14</v>
      </c>
      <c r="G80" s="3" t="str">
        <f>VLOOKUP(Registros[[#This Row],[Cliente]],Cliente_Region[],2,FALSE)</f>
        <v>Colombia</v>
      </c>
      <c r="H80" s="3" t="str">
        <f>VLOOKUP(Registros[[#This Row],[Producto]],Producto[],2,FALSE)</f>
        <v>DONANY</v>
      </c>
    </row>
    <row r="81" spans="1:8" ht="20.100000000000001" customHeight="1" x14ac:dyDescent="0.25">
      <c r="A81" s="3" t="s">
        <v>55</v>
      </c>
      <c r="B81" s="3" t="s">
        <v>10</v>
      </c>
      <c r="C81" s="3">
        <v>2022</v>
      </c>
      <c r="D81" s="4">
        <v>4</v>
      </c>
      <c r="E81" s="5">
        <v>22.5</v>
      </c>
      <c r="F81" s="5">
        <v>13.16</v>
      </c>
      <c r="G81" s="3" t="str">
        <f>VLOOKUP(Registros[[#This Row],[Cliente]],Cliente_Region[],2,FALSE)</f>
        <v>Colombia</v>
      </c>
      <c r="H81" s="3" t="str">
        <f>VLOOKUP(Registros[[#This Row],[Producto]],Producto[],2,FALSE)</f>
        <v>CHOTUS</v>
      </c>
    </row>
    <row r="82" spans="1:8" ht="20.100000000000001" customHeight="1" x14ac:dyDescent="0.25">
      <c r="A82" s="3" t="s">
        <v>56</v>
      </c>
      <c r="B82" s="3" t="s">
        <v>10</v>
      </c>
      <c r="C82" s="3">
        <v>2022</v>
      </c>
      <c r="D82" s="4">
        <v>2</v>
      </c>
      <c r="E82" s="5">
        <v>10.75</v>
      </c>
      <c r="F82" s="5">
        <v>-29.47</v>
      </c>
      <c r="G82" s="3" t="str">
        <f>VLOOKUP(Registros[[#This Row],[Cliente]],Cliente_Region[],2,FALSE)</f>
        <v>Colombia</v>
      </c>
      <c r="H82" s="3" t="str">
        <f>VLOOKUP(Registros[[#This Row],[Producto]],Producto[],2,FALSE)</f>
        <v>SALF</v>
      </c>
    </row>
    <row r="83" spans="1:8" ht="20.100000000000001" customHeight="1" x14ac:dyDescent="0.25">
      <c r="A83" s="3" t="s">
        <v>57</v>
      </c>
      <c r="B83" s="3" t="s">
        <v>10</v>
      </c>
      <c r="C83" s="3">
        <v>2022</v>
      </c>
      <c r="D83" s="4">
        <v>3</v>
      </c>
      <c r="E83" s="5">
        <v>21.5</v>
      </c>
      <c r="F83" s="5">
        <v>-58.93</v>
      </c>
      <c r="G83" s="3" t="str">
        <f>VLOOKUP(Registros[[#This Row],[Cliente]],Cliente_Region[],2,FALSE)</f>
        <v>Colombia</v>
      </c>
      <c r="H83" s="3" t="str">
        <f>VLOOKUP(Registros[[#This Row],[Producto]],Producto[],2,FALSE)</f>
        <v>SALF</v>
      </c>
    </row>
    <row r="84" spans="1:8" ht="20.100000000000001" customHeight="1" x14ac:dyDescent="0.25">
      <c r="A84" s="3" t="s">
        <v>58</v>
      </c>
      <c r="B84" s="3" t="s">
        <v>10</v>
      </c>
      <c r="C84" s="3">
        <v>2022</v>
      </c>
      <c r="D84" s="4">
        <v>4</v>
      </c>
      <c r="E84" s="5">
        <v>17.25</v>
      </c>
      <c r="F84" s="5">
        <v>10.76</v>
      </c>
      <c r="G84" s="3" t="str">
        <f>VLOOKUP(Registros[[#This Row],[Cliente]],Cliente_Region[],2,FALSE)</f>
        <v>Colombia</v>
      </c>
      <c r="H84" s="3" t="str">
        <f>VLOOKUP(Registros[[#This Row],[Producto]],Producto[],2,FALSE)</f>
        <v>MOC</v>
      </c>
    </row>
    <row r="85" spans="1:8" ht="20.100000000000001" customHeight="1" x14ac:dyDescent="0.25">
      <c r="A85" s="3" t="s">
        <v>60</v>
      </c>
      <c r="B85" s="3" t="s">
        <v>10</v>
      </c>
      <c r="C85" s="3">
        <v>2022</v>
      </c>
      <c r="D85" s="4">
        <v>1</v>
      </c>
      <c r="E85" s="5">
        <v>17</v>
      </c>
      <c r="F85" s="5">
        <v>11.58</v>
      </c>
      <c r="G85" s="3" t="str">
        <f>VLOOKUP(Registros[[#This Row],[Cliente]],Cliente_Region[],2,FALSE)</f>
        <v>Colombia</v>
      </c>
      <c r="H85" s="3" t="str">
        <f>VLOOKUP(Registros[[#This Row],[Producto]],Producto[],2,FALSE)</f>
        <v>DAWNE</v>
      </c>
    </row>
    <row r="86" spans="1:8" ht="20.100000000000001" customHeight="1" x14ac:dyDescent="0.25">
      <c r="A86" s="3" t="s">
        <v>62</v>
      </c>
      <c r="B86" s="3" t="s">
        <v>10</v>
      </c>
      <c r="C86" s="3">
        <v>2022</v>
      </c>
      <c r="D86" s="4">
        <v>1</v>
      </c>
      <c r="E86" s="5">
        <v>74</v>
      </c>
      <c r="F86" s="5">
        <v>20.49</v>
      </c>
      <c r="G86" s="3" t="str">
        <f>VLOOKUP(Registros[[#This Row],[Cliente]],Cliente_Region[],2,FALSE)</f>
        <v>Colombia</v>
      </c>
      <c r="H86" s="3" t="str">
        <f>VLOOKUP(Registros[[#This Row],[Producto]],Producto[],2,FALSE)</f>
        <v>MOC</v>
      </c>
    </row>
    <row r="87" spans="1:8" ht="20.100000000000001" customHeight="1" x14ac:dyDescent="0.25">
      <c r="A87" s="3" t="s">
        <v>63</v>
      </c>
      <c r="B87" s="3" t="s">
        <v>10</v>
      </c>
      <c r="C87" s="3">
        <v>2022</v>
      </c>
      <c r="D87" s="4">
        <v>2</v>
      </c>
      <c r="E87" s="5">
        <v>58.5</v>
      </c>
      <c r="F87" s="5">
        <v>17.95</v>
      </c>
      <c r="G87" s="3" t="str">
        <f>VLOOKUP(Registros[[#This Row],[Cliente]],Cliente_Region[],2,FALSE)</f>
        <v>Colombia</v>
      </c>
      <c r="H87" s="3" t="str">
        <f>VLOOKUP(Registros[[#This Row],[Producto]],Producto[],2,FALSE)</f>
        <v>SALF</v>
      </c>
    </row>
    <row r="88" spans="1:8" ht="20.100000000000001" customHeight="1" x14ac:dyDescent="0.25">
      <c r="A88" s="3" t="s">
        <v>63</v>
      </c>
      <c r="B88" s="3" t="s">
        <v>10</v>
      </c>
      <c r="C88" s="3">
        <v>2022</v>
      </c>
      <c r="D88" s="4">
        <v>4</v>
      </c>
      <c r="E88" s="5">
        <v>97.5</v>
      </c>
      <c r="F88" s="5">
        <v>29.98</v>
      </c>
      <c r="G88" s="3" t="str">
        <f>VLOOKUP(Registros[[#This Row],[Cliente]],Cliente_Region[],2,FALSE)</f>
        <v>Colombia</v>
      </c>
      <c r="H88" s="3" t="str">
        <f>VLOOKUP(Registros[[#This Row],[Producto]],Producto[],2,FALSE)</f>
        <v>SALF</v>
      </c>
    </row>
    <row r="89" spans="1:8" ht="20.100000000000001" customHeight="1" x14ac:dyDescent="0.25">
      <c r="A89" s="3" t="s">
        <v>65</v>
      </c>
      <c r="B89" s="3" t="s">
        <v>64</v>
      </c>
      <c r="C89" s="3">
        <v>2022</v>
      </c>
      <c r="D89" s="4">
        <v>4</v>
      </c>
      <c r="E89" s="5">
        <v>719.6</v>
      </c>
      <c r="F89" s="5">
        <v>484</v>
      </c>
      <c r="G89" s="3" t="str">
        <f>VLOOKUP(Registros[[#This Row],[Cliente]],Cliente_Region[],2,FALSE)</f>
        <v>Peru</v>
      </c>
      <c r="H89" s="3" t="str">
        <f>VLOOKUP(Registros[[#This Row],[Producto]],Producto[],2,FALSE)</f>
        <v>DAWNE</v>
      </c>
    </row>
    <row r="90" spans="1:8" ht="20.100000000000001" customHeight="1" x14ac:dyDescent="0.25">
      <c r="A90" s="3" t="s">
        <v>11</v>
      </c>
      <c r="B90" s="3" t="s">
        <v>67</v>
      </c>
      <c r="C90" s="3">
        <v>2022</v>
      </c>
      <c r="D90" s="4">
        <v>3</v>
      </c>
      <c r="E90" s="5">
        <v>61.5</v>
      </c>
      <c r="F90" s="5">
        <v>11.16</v>
      </c>
      <c r="G90" s="3" t="str">
        <f>VLOOKUP(Registros[[#This Row],[Cliente]],Cliente_Region[],2,FALSE)</f>
        <v>Argentina</v>
      </c>
      <c r="H90" s="3" t="str">
        <f>VLOOKUP(Registros[[#This Row],[Producto]],Producto[],2,FALSE)</f>
        <v>DONANY</v>
      </c>
    </row>
    <row r="91" spans="1:8" ht="20.100000000000001" customHeight="1" x14ac:dyDescent="0.25">
      <c r="A91" s="3" t="s">
        <v>12</v>
      </c>
      <c r="B91" s="3" t="s">
        <v>67</v>
      </c>
      <c r="C91" s="3">
        <v>2022</v>
      </c>
      <c r="D91" s="4">
        <v>4</v>
      </c>
      <c r="E91" s="5">
        <v>184.5</v>
      </c>
      <c r="F91" s="5">
        <v>34.119999999999997</v>
      </c>
      <c r="G91" s="3" t="str">
        <f>VLOOKUP(Registros[[#This Row],[Cliente]],Cliente_Region[],2,FALSE)</f>
        <v>Argentina</v>
      </c>
      <c r="H91" s="3" t="str">
        <f>VLOOKUP(Registros[[#This Row],[Producto]],Producto[],2,FALSE)</f>
        <v>DAWNE</v>
      </c>
    </row>
    <row r="92" spans="1:8" ht="20.100000000000001" customHeight="1" x14ac:dyDescent="0.25">
      <c r="A92" s="3" t="s">
        <v>12</v>
      </c>
      <c r="B92" s="3" t="s">
        <v>67</v>
      </c>
      <c r="C92" s="3">
        <v>2022</v>
      </c>
      <c r="D92" s="4">
        <v>5</v>
      </c>
      <c r="E92" s="5">
        <v>164</v>
      </c>
      <c r="F92" s="5">
        <v>27.05</v>
      </c>
      <c r="G92" s="3" t="str">
        <f>VLOOKUP(Registros[[#This Row],[Cliente]],Cliente_Region[],2,FALSE)</f>
        <v>Argentina</v>
      </c>
      <c r="H92" s="3" t="str">
        <f>VLOOKUP(Registros[[#This Row],[Producto]],Producto[],2,FALSE)</f>
        <v>DAWNE</v>
      </c>
    </row>
    <row r="93" spans="1:8" ht="20.100000000000001" customHeight="1" x14ac:dyDescent="0.25">
      <c r="A93" s="3" t="s">
        <v>12</v>
      </c>
      <c r="B93" s="3" t="s">
        <v>67</v>
      </c>
      <c r="C93" s="3">
        <v>2022</v>
      </c>
      <c r="D93" s="4">
        <v>6</v>
      </c>
      <c r="E93" s="5">
        <v>164</v>
      </c>
      <c r="F93" s="5">
        <v>31.2</v>
      </c>
      <c r="G93" s="3" t="str">
        <f>VLOOKUP(Registros[[#This Row],[Cliente]],Cliente_Region[],2,FALSE)</f>
        <v>Argentina</v>
      </c>
      <c r="H93" s="3" t="str">
        <f>VLOOKUP(Registros[[#This Row],[Producto]],Producto[],2,FALSE)</f>
        <v>DAWNE</v>
      </c>
    </row>
    <row r="94" spans="1:8" ht="20.100000000000001" customHeight="1" x14ac:dyDescent="0.25">
      <c r="A94" s="3" t="s">
        <v>68</v>
      </c>
      <c r="B94" s="3" t="s">
        <v>67</v>
      </c>
      <c r="C94" s="3">
        <v>2022</v>
      </c>
      <c r="D94" s="4">
        <v>1</v>
      </c>
      <c r="E94" s="5">
        <v>3885</v>
      </c>
      <c r="F94" s="5">
        <v>263.45</v>
      </c>
      <c r="G94" s="3" t="str">
        <f>VLOOKUP(Registros[[#This Row],[Cliente]],Cliente_Region[],2,FALSE)</f>
        <v>Argentina</v>
      </c>
      <c r="H94" s="3" t="str">
        <f>VLOOKUP(Registros[[#This Row],[Producto]],Producto[],2,FALSE)</f>
        <v>SALF</v>
      </c>
    </row>
    <row r="95" spans="1:8" ht="20.100000000000001" customHeight="1" x14ac:dyDescent="0.25">
      <c r="A95" s="3" t="s">
        <v>69</v>
      </c>
      <c r="B95" s="3" t="s">
        <v>67</v>
      </c>
      <c r="C95" s="3">
        <v>2022</v>
      </c>
      <c r="D95" s="4">
        <v>2</v>
      </c>
      <c r="E95" s="5">
        <v>3332.5</v>
      </c>
      <c r="F95" s="5">
        <v>363.3</v>
      </c>
      <c r="G95" s="3" t="str">
        <f>VLOOKUP(Registros[[#This Row],[Cliente]],Cliente_Region[],2,FALSE)</f>
        <v>Argentina</v>
      </c>
      <c r="H95" s="3" t="str">
        <f>VLOOKUP(Registros[[#This Row],[Producto]],Producto[],2,FALSE)</f>
        <v>LAX</v>
      </c>
    </row>
    <row r="96" spans="1:8" ht="20.100000000000001" customHeight="1" x14ac:dyDescent="0.25">
      <c r="A96" s="3" t="s">
        <v>69</v>
      </c>
      <c r="B96" s="3" t="s">
        <v>67</v>
      </c>
      <c r="C96" s="3">
        <v>2022</v>
      </c>
      <c r="D96" s="4">
        <v>3</v>
      </c>
      <c r="E96" s="5">
        <v>3100</v>
      </c>
      <c r="F96" s="5">
        <v>437.15</v>
      </c>
      <c r="G96" s="3" t="str">
        <f>VLOOKUP(Registros[[#This Row],[Cliente]],Cliente_Region[],2,FALSE)</f>
        <v>Argentina</v>
      </c>
      <c r="H96" s="3" t="str">
        <f>VLOOKUP(Registros[[#This Row],[Producto]],Producto[],2,FALSE)</f>
        <v>LAX</v>
      </c>
    </row>
    <row r="97" spans="1:8" ht="20.100000000000001" customHeight="1" x14ac:dyDescent="0.25">
      <c r="A97" s="3" t="s">
        <v>69</v>
      </c>
      <c r="B97" s="3" t="s">
        <v>67</v>
      </c>
      <c r="C97" s="3">
        <v>2022</v>
      </c>
      <c r="D97" s="4">
        <v>4</v>
      </c>
      <c r="E97" s="5">
        <v>4040</v>
      </c>
      <c r="F97" s="5">
        <v>570.14</v>
      </c>
      <c r="G97" s="3" t="str">
        <f>VLOOKUP(Registros[[#This Row],[Cliente]],Cliente_Region[],2,FALSE)</f>
        <v>Argentina</v>
      </c>
      <c r="H97" s="3" t="str">
        <f>VLOOKUP(Registros[[#This Row],[Producto]],Producto[],2,FALSE)</f>
        <v>LAX</v>
      </c>
    </row>
    <row r="98" spans="1:8" ht="20.100000000000001" customHeight="1" x14ac:dyDescent="0.25">
      <c r="A98" s="3" t="s">
        <v>69</v>
      </c>
      <c r="B98" s="3" t="s">
        <v>67</v>
      </c>
      <c r="C98" s="3">
        <v>2022</v>
      </c>
      <c r="D98" s="4">
        <v>5</v>
      </c>
      <c r="E98" s="5">
        <v>4840</v>
      </c>
      <c r="F98" s="5">
        <v>647.6</v>
      </c>
      <c r="G98" s="3" t="str">
        <f>VLOOKUP(Registros[[#This Row],[Cliente]],Cliente_Region[],2,FALSE)</f>
        <v>Argentina</v>
      </c>
      <c r="H98" s="3" t="str">
        <f>VLOOKUP(Registros[[#This Row],[Producto]],Producto[],2,FALSE)</f>
        <v>LAX</v>
      </c>
    </row>
    <row r="99" spans="1:8" ht="20.100000000000001" customHeight="1" x14ac:dyDescent="0.25">
      <c r="A99" s="3" t="s">
        <v>69</v>
      </c>
      <c r="B99" s="3" t="s">
        <v>67</v>
      </c>
      <c r="C99" s="3">
        <v>2022</v>
      </c>
      <c r="D99" s="4">
        <v>6</v>
      </c>
      <c r="E99" s="5">
        <v>4100</v>
      </c>
      <c r="F99" s="5">
        <v>555.04999999999995</v>
      </c>
      <c r="G99" s="3" t="str">
        <f>VLOOKUP(Registros[[#This Row],[Cliente]],Cliente_Region[],2,FALSE)</f>
        <v>Argentina</v>
      </c>
      <c r="H99" s="3" t="str">
        <f>VLOOKUP(Registros[[#This Row],[Producto]],Producto[],2,FALSE)</f>
        <v>LAX</v>
      </c>
    </row>
    <row r="100" spans="1:8" ht="20.100000000000001" customHeight="1" x14ac:dyDescent="0.25">
      <c r="A100" s="3" t="s">
        <v>70</v>
      </c>
      <c r="B100" s="3" t="s">
        <v>67</v>
      </c>
      <c r="C100" s="3">
        <v>2022</v>
      </c>
      <c r="D100" s="4">
        <v>1</v>
      </c>
      <c r="E100" s="5">
        <v>0</v>
      </c>
      <c r="F100" s="5">
        <v>-1</v>
      </c>
      <c r="G100" s="3" t="str">
        <f>VLOOKUP(Registros[[#This Row],[Cliente]],Cliente_Region[],2,FALSE)</f>
        <v>Argentina</v>
      </c>
      <c r="H100" s="3" t="str">
        <f>VLOOKUP(Registros[[#This Row],[Producto]],Producto[],2,FALSE)</f>
        <v>LAX</v>
      </c>
    </row>
    <row r="101" spans="1:8" ht="20.100000000000001" customHeight="1" x14ac:dyDescent="0.25">
      <c r="A101" s="3" t="s">
        <v>71</v>
      </c>
      <c r="B101" s="3" t="s">
        <v>67</v>
      </c>
      <c r="C101" s="3">
        <v>2022</v>
      </c>
      <c r="D101" s="4">
        <v>4</v>
      </c>
      <c r="E101" s="5">
        <v>950</v>
      </c>
      <c r="F101" s="5">
        <v>185.08</v>
      </c>
      <c r="G101" s="3" t="str">
        <f>VLOOKUP(Registros[[#This Row],[Cliente]],Cliente_Region[],2,FALSE)</f>
        <v>Argentina</v>
      </c>
      <c r="H101" s="3" t="str">
        <f>VLOOKUP(Registros[[#This Row],[Producto]],Producto[],2,FALSE)</f>
        <v>DONANY</v>
      </c>
    </row>
    <row r="102" spans="1:8" ht="20.100000000000001" customHeight="1" x14ac:dyDescent="0.25">
      <c r="A102" s="3" t="s">
        <v>71</v>
      </c>
      <c r="B102" s="3" t="s">
        <v>67</v>
      </c>
      <c r="C102" s="3">
        <v>2022</v>
      </c>
      <c r="D102" s="4">
        <v>5</v>
      </c>
      <c r="E102" s="5">
        <v>95</v>
      </c>
      <c r="F102" s="5">
        <v>18.54</v>
      </c>
      <c r="G102" s="3" t="str">
        <f>VLOOKUP(Registros[[#This Row],[Cliente]],Cliente_Region[],2,FALSE)</f>
        <v>Argentina</v>
      </c>
      <c r="H102" s="3" t="str">
        <f>VLOOKUP(Registros[[#This Row],[Producto]],Producto[],2,FALSE)</f>
        <v>DONANY</v>
      </c>
    </row>
    <row r="103" spans="1:8" ht="20.100000000000001" customHeight="1" x14ac:dyDescent="0.25">
      <c r="A103" s="3" t="s">
        <v>13</v>
      </c>
      <c r="B103" s="3" t="s">
        <v>67</v>
      </c>
      <c r="C103" s="3">
        <v>2022</v>
      </c>
      <c r="D103" s="4">
        <v>1</v>
      </c>
      <c r="E103" s="5">
        <v>12.3</v>
      </c>
      <c r="F103" s="5">
        <v>2.88</v>
      </c>
      <c r="G103" s="3" t="str">
        <f>VLOOKUP(Registros[[#This Row],[Cliente]],Cliente_Region[],2,FALSE)</f>
        <v>Argentina</v>
      </c>
      <c r="H103" s="3" t="str">
        <f>VLOOKUP(Registros[[#This Row],[Producto]],Producto[],2,FALSE)</f>
        <v>DAWNE</v>
      </c>
    </row>
    <row r="104" spans="1:8" ht="20.100000000000001" customHeight="1" x14ac:dyDescent="0.25">
      <c r="A104" s="3" t="s">
        <v>14</v>
      </c>
      <c r="B104" s="3" t="s">
        <v>67</v>
      </c>
      <c r="C104" s="3">
        <v>2022</v>
      </c>
      <c r="D104" s="4">
        <v>4</v>
      </c>
      <c r="E104" s="5">
        <v>12.3</v>
      </c>
      <c r="F104" s="5">
        <v>2.69</v>
      </c>
      <c r="G104" s="3" t="str">
        <f>VLOOKUP(Registros[[#This Row],[Cliente]],Cliente_Region[],2,FALSE)</f>
        <v>Argentina</v>
      </c>
      <c r="H104" s="3" t="str">
        <f>VLOOKUP(Registros[[#This Row],[Producto]],Producto[],2,FALSE)</f>
        <v>SALF</v>
      </c>
    </row>
    <row r="105" spans="1:8" ht="20.100000000000001" customHeight="1" x14ac:dyDescent="0.25">
      <c r="A105" s="3" t="s">
        <v>15</v>
      </c>
      <c r="B105" s="3" t="s">
        <v>67</v>
      </c>
      <c r="C105" s="3">
        <v>2022</v>
      </c>
      <c r="D105" s="4">
        <v>1</v>
      </c>
      <c r="E105" s="5">
        <v>157</v>
      </c>
      <c r="F105" s="5">
        <v>46.89</v>
      </c>
      <c r="G105" s="3" t="str">
        <f>VLOOKUP(Registros[[#This Row],[Cliente]],Cliente_Region[],2,FALSE)</f>
        <v>Argentina</v>
      </c>
      <c r="H105" s="3" t="str">
        <f>VLOOKUP(Registros[[#This Row],[Producto]],Producto[],2,FALSE)</f>
        <v>DONANY</v>
      </c>
    </row>
    <row r="106" spans="1:8" ht="20.100000000000001" customHeight="1" x14ac:dyDescent="0.25">
      <c r="A106" s="3" t="s">
        <v>16</v>
      </c>
      <c r="B106" s="3" t="s">
        <v>67</v>
      </c>
      <c r="C106" s="3">
        <v>2022</v>
      </c>
      <c r="D106" s="4">
        <v>2</v>
      </c>
      <c r="E106" s="5">
        <v>131</v>
      </c>
      <c r="F106" s="5">
        <v>43</v>
      </c>
      <c r="G106" s="3" t="str">
        <f>VLOOKUP(Registros[[#This Row],[Cliente]],Cliente_Region[],2,FALSE)</f>
        <v>Argentina</v>
      </c>
      <c r="H106" s="3" t="str">
        <f>VLOOKUP(Registros[[#This Row],[Producto]],Producto[],2,FALSE)</f>
        <v>CHOTUS</v>
      </c>
    </row>
    <row r="107" spans="1:8" ht="20.100000000000001" customHeight="1" x14ac:dyDescent="0.25">
      <c r="A107" s="3" t="s">
        <v>16</v>
      </c>
      <c r="B107" s="3" t="s">
        <v>67</v>
      </c>
      <c r="C107" s="3">
        <v>2022</v>
      </c>
      <c r="D107" s="4">
        <v>3</v>
      </c>
      <c r="E107" s="5">
        <v>148.5</v>
      </c>
      <c r="F107" s="5">
        <v>49.5</v>
      </c>
      <c r="G107" s="3" t="str">
        <f>VLOOKUP(Registros[[#This Row],[Cliente]],Cliente_Region[],2,FALSE)</f>
        <v>Argentina</v>
      </c>
      <c r="H107" s="3" t="str">
        <f>VLOOKUP(Registros[[#This Row],[Producto]],Producto[],2,FALSE)</f>
        <v>CHOTUS</v>
      </c>
    </row>
    <row r="108" spans="1:8" ht="20.100000000000001" customHeight="1" x14ac:dyDescent="0.25">
      <c r="A108" s="3" t="s">
        <v>16</v>
      </c>
      <c r="B108" s="3" t="s">
        <v>67</v>
      </c>
      <c r="C108" s="3">
        <v>2022</v>
      </c>
      <c r="D108" s="4">
        <v>4</v>
      </c>
      <c r="E108" s="5">
        <v>198</v>
      </c>
      <c r="F108" s="5">
        <v>66</v>
      </c>
      <c r="G108" s="3" t="str">
        <f>VLOOKUP(Registros[[#This Row],[Cliente]],Cliente_Region[],2,FALSE)</f>
        <v>Argentina</v>
      </c>
      <c r="H108" s="3" t="str">
        <f>VLOOKUP(Registros[[#This Row],[Producto]],Producto[],2,FALSE)</f>
        <v>CHOTUS</v>
      </c>
    </row>
    <row r="109" spans="1:8" ht="20.100000000000001" customHeight="1" x14ac:dyDescent="0.25">
      <c r="A109" s="3" t="s">
        <v>16</v>
      </c>
      <c r="B109" s="3" t="s">
        <v>67</v>
      </c>
      <c r="C109" s="3">
        <v>2022</v>
      </c>
      <c r="D109" s="4">
        <v>5</v>
      </c>
      <c r="E109" s="5">
        <v>231</v>
      </c>
      <c r="F109" s="5">
        <v>74.13</v>
      </c>
      <c r="G109" s="3" t="str">
        <f>VLOOKUP(Registros[[#This Row],[Cliente]],Cliente_Region[],2,FALSE)</f>
        <v>Argentina</v>
      </c>
      <c r="H109" s="3" t="str">
        <f>VLOOKUP(Registros[[#This Row],[Producto]],Producto[],2,FALSE)</f>
        <v>CHOTUS</v>
      </c>
    </row>
    <row r="110" spans="1:8" ht="20.100000000000001" customHeight="1" x14ac:dyDescent="0.25">
      <c r="A110" s="3" t="s">
        <v>16</v>
      </c>
      <c r="B110" s="3" t="s">
        <v>67</v>
      </c>
      <c r="C110" s="3">
        <v>2022</v>
      </c>
      <c r="D110" s="4">
        <v>6</v>
      </c>
      <c r="E110" s="5">
        <v>214.5</v>
      </c>
      <c r="F110" s="5">
        <v>67.989999999999995</v>
      </c>
      <c r="G110" s="3" t="str">
        <f>VLOOKUP(Registros[[#This Row],[Cliente]],Cliente_Region[],2,FALSE)</f>
        <v>Argentina</v>
      </c>
      <c r="H110" s="3" t="str">
        <f>VLOOKUP(Registros[[#This Row],[Producto]],Producto[],2,FALSE)</f>
        <v>CHOTUS</v>
      </c>
    </row>
    <row r="111" spans="1:8" ht="20.100000000000001" customHeight="1" x14ac:dyDescent="0.25">
      <c r="A111" s="3" t="s">
        <v>17</v>
      </c>
      <c r="B111" s="3" t="s">
        <v>67</v>
      </c>
      <c r="C111" s="3">
        <v>2022</v>
      </c>
      <c r="D111" s="4">
        <v>1</v>
      </c>
      <c r="E111" s="5">
        <v>37</v>
      </c>
      <c r="F111" s="5">
        <v>8</v>
      </c>
      <c r="G111" s="3" t="str">
        <f>VLOOKUP(Registros[[#This Row],[Cliente]],Cliente_Region[],2,FALSE)</f>
        <v>Argentina</v>
      </c>
      <c r="H111" s="3" t="str">
        <f>VLOOKUP(Registros[[#This Row],[Producto]],Producto[],2,FALSE)</f>
        <v>LAX</v>
      </c>
    </row>
    <row r="112" spans="1:8" ht="20.100000000000001" customHeight="1" x14ac:dyDescent="0.25">
      <c r="A112" s="3" t="s">
        <v>18</v>
      </c>
      <c r="B112" s="3" t="s">
        <v>67</v>
      </c>
      <c r="C112" s="3">
        <v>2022</v>
      </c>
      <c r="D112" s="4">
        <v>5</v>
      </c>
      <c r="E112" s="5">
        <v>74</v>
      </c>
      <c r="F112" s="5">
        <v>14.96</v>
      </c>
      <c r="G112" s="3" t="str">
        <f>VLOOKUP(Registros[[#This Row],[Cliente]],Cliente_Region[],2,FALSE)</f>
        <v>Argentina</v>
      </c>
      <c r="H112" s="3" t="str">
        <f>VLOOKUP(Registros[[#This Row],[Producto]],Producto[],2,FALSE)</f>
        <v>GAMBO</v>
      </c>
    </row>
    <row r="113" spans="1:8" ht="20.100000000000001" customHeight="1" x14ac:dyDescent="0.25">
      <c r="A113" s="3" t="s">
        <v>72</v>
      </c>
      <c r="B113" s="3" t="s">
        <v>67</v>
      </c>
      <c r="C113" s="3">
        <v>2022</v>
      </c>
      <c r="D113" s="4">
        <v>1</v>
      </c>
      <c r="E113" s="5">
        <v>389.5</v>
      </c>
      <c r="F113" s="5">
        <v>66.19</v>
      </c>
      <c r="G113" s="3" t="str">
        <f>VLOOKUP(Registros[[#This Row],[Cliente]],Cliente_Region[],2,FALSE)</f>
        <v>Argentina</v>
      </c>
      <c r="H113" s="3" t="str">
        <f>VLOOKUP(Registros[[#This Row],[Producto]],Producto[],2,FALSE)</f>
        <v>LAX</v>
      </c>
    </row>
    <row r="114" spans="1:8" ht="20.100000000000001" customHeight="1" x14ac:dyDescent="0.25">
      <c r="A114" s="3" t="s">
        <v>73</v>
      </c>
      <c r="B114" s="3" t="s">
        <v>67</v>
      </c>
      <c r="C114" s="3">
        <v>2022</v>
      </c>
      <c r="D114" s="4">
        <v>2</v>
      </c>
      <c r="E114" s="5">
        <v>327.5</v>
      </c>
      <c r="F114" s="5">
        <v>89.27</v>
      </c>
      <c r="G114" s="3" t="str">
        <f>VLOOKUP(Registros[[#This Row],[Cliente]],Cliente_Region[],2,FALSE)</f>
        <v>Argentina</v>
      </c>
      <c r="H114" s="3" t="str">
        <f>VLOOKUP(Registros[[#This Row],[Producto]],Producto[],2,FALSE)</f>
        <v>LAX</v>
      </c>
    </row>
    <row r="115" spans="1:8" ht="20.100000000000001" customHeight="1" x14ac:dyDescent="0.25">
      <c r="A115" s="3" t="s">
        <v>73</v>
      </c>
      <c r="B115" s="3" t="s">
        <v>67</v>
      </c>
      <c r="C115" s="3">
        <v>2022</v>
      </c>
      <c r="D115" s="4">
        <v>3</v>
      </c>
      <c r="E115" s="5">
        <v>450</v>
      </c>
      <c r="F115" s="5">
        <v>143.69</v>
      </c>
      <c r="G115" s="3" t="str">
        <f>VLOOKUP(Registros[[#This Row],[Cliente]],Cliente_Region[],2,FALSE)</f>
        <v>Argentina</v>
      </c>
      <c r="H115" s="3" t="str">
        <f>VLOOKUP(Registros[[#This Row],[Producto]],Producto[],2,FALSE)</f>
        <v>LAX</v>
      </c>
    </row>
    <row r="116" spans="1:8" ht="20.100000000000001" customHeight="1" x14ac:dyDescent="0.25">
      <c r="A116" s="3" t="s">
        <v>73</v>
      </c>
      <c r="B116" s="3" t="s">
        <v>67</v>
      </c>
      <c r="C116" s="3">
        <v>2022</v>
      </c>
      <c r="D116" s="4">
        <v>4</v>
      </c>
      <c r="E116" s="5">
        <v>350</v>
      </c>
      <c r="F116" s="5">
        <v>111.74</v>
      </c>
      <c r="G116" s="3" t="str">
        <f>VLOOKUP(Registros[[#This Row],[Cliente]],Cliente_Region[],2,FALSE)</f>
        <v>Argentina</v>
      </c>
      <c r="H116" s="3" t="str">
        <f>VLOOKUP(Registros[[#This Row],[Producto]],Producto[],2,FALSE)</f>
        <v>LAX</v>
      </c>
    </row>
    <row r="117" spans="1:8" ht="20.100000000000001" customHeight="1" x14ac:dyDescent="0.25">
      <c r="A117" s="3" t="s">
        <v>73</v>
      </c>
      <c r="B117" s="3" t="s">
        <v>67</v>
      </c>
      <c r="C117" s="3">
        <v>2022</v>
      </c>
      <c r="D117" s="4">
        <v>5</v>
      </c>
      <c r="E117" s="5">
        <v>300</v>
      </c>
      <c r="F117" s="5">
        <v>95.8</v>
      </c>
      <c r="G117" s="3" t="str">
        <f>VLOOKUP(Registros[[#This Row],[Cliente]],Cliente_Region[],2,FALSE)</f>
        <v>Argentina</v>
      </c>
      <c r="H117" s="3" t="str">
        <f>VLOOKUP(Registros[[#This Row],[Producto]],Producto[],2,FALSE)</f>
        <v>LAX</v>
      </c>
    </row>
    <row r="118" spans="1:8" ht="20.100000000000001" customHeight="1" x14ac:dyDescent="0.25">
      <c r="A118" s="3" t="s">
        <v>73</v>
      </c>
      <c r="B118" s="3" t="s">
        <v>67</v>
      </c>
      <c r="C118" s="3">
        <v>2022</v>
      </c>
      <c r="D118" s="4">
        <v>6</v>
      </c>
      <c r="E118" s="5">
        <v>25</v>
      </c>
      <c r="F118" s="5">
        <v>7.98</v>
      </c>
      <c r="G118" s="3" t="str">
        <f>VLOOKUP(Registros[[#This Row],[Cliente]],Cliente_Region[],2,FALSE)</f>
        <v>Argentina</v>
      </c>
      <c r="H118" s="3" t="str">
        <f>VLOOKUP(Registros[[#This Row],[Producto]],Producto[],2,FALSE)</f>
        <v>LAX</v>
      </c>
    </row>
    <row r="119" spans="1:8" ht="20.100000000000001" customHeight="1" x14ac:dyDescent="0.25">
      <c r="A119" s="3" t="s">
        <v>24</v>
      </c>
      <c r="B119" s="3" t="s">
        <v>67</v>
      </c>
      <c r="C119" s="3">
        <v>2022</v>
      </c>
      <c r="D119" s="4">
        <v>1</v>
      </c>
      <c r="E119" s="5">
        <v>103.25</v>
      </c>
      <c r="F119" s="5">
        <v>28.2</v>
      </c>
      <c r="G119" s="3" t="str">
        <f>VLOOKUP(Registros[[#This Row],[Cliente]],Cliente_Region[],2,FALSE)</f>
        <v>Argentina</v>
      </c>
      <c r="H119" s="3" t="str">
        <f>VLOOKUP(Registros[[#This Row],[Producto]],Producto[],2,FALSE)</f>
        <v>GAMBO</v>
      </c>
    </row>
    <row r="120" spans="1:8" ht="20.100000000000001" customHeight="1" x14ac:dyDescent="0.25">
      <c r="A120" s="3" t="s">
        <v>25</v>
      </c>
      <c r="B120" s="3" t="s">
        <v>67</v>
      </c>
      <c r="C120" s="3">
        <v>2022</v>
      </c>
      <c r="D120" s="4">
        <v>2</v>
      </c>
      <c r="E120" s="5">
        <v>75.75</v>
      </c>
      <c r="F120" s="5">
        <v>30.18</v>
      </c>
      <c r="G120" s="3" t="str">
        <f>VLOOKUP(Registros[[#This Row],[Cliente]],Cliente_Region[],2,FALSE)</f>
        <v>Argentina</v>
      </c>
      <c r="H120" s="3" t="str">
        <f>VLOOKUP(Registros[[#This Row],[Producto]],Producto[],2,FALSE)</f>
        <v>MOC</v>
      </c>
    </row>
    <row r="121" spans="1:8" ht="20.100000000000001" customHeight="1" x14ac:dyDescent="0.25">
      <c r="A121" s="3" t="s">
        <v>25</v>
      </c>
      <c r="B121" s="3" t="s">
        <v>67</v>
      </c>
      <c r="C121" s="3">
        <v>2022</v>
      </c>
      <c r="D121" s="4">
        <v>3</v>
      </c>
      <c r="E121" s="5">
        <v>94.5</v>
      </c>
      <c r="F121" s="5">
        <v>39.840000000000003</v>
      </c>
      <c r="G121" s="3" t="str">
        <f>VLOOKUP(Registros[[#This Row],[Cliente]],Cliente_Region[],2,FALSE)</f>
        <v>Argentina</v>
      </c>
      <c r="H121" s="3" t="str">
        <f>VLOOKUP(Registros[[#This Row],[Producto]],Producto[],2,FALSE)</f>
        <v>MOC</v>
      </c>
    </row>
    <row r="122" spans="1:8" ht="20.100000000000001" customHeight="1" x14ac:dyDescent="0.25">
      <c r="A122" s="3" t="s">
        <v>25</v>
      </c>
      <c r="B122" s="3" t="s">
        <v>67</v>
      </c>
      <c r="C122" s="3">
        <v>2022</v>
      </c>
      <c r="D122" s="4">
        <v>4</v>
      </c>
      <c r="E122" s="5">
        <v>80.75</v>
      </c>
      <c r="F122" s="5">
        <v>35.200000000000003</v>
      </c>
      <c r="G122" s="3" t="str">
        <f>VLOOKUP(Registros[[#This Row],[Cliente]],Cliente_Region[],2,FALSE)</f>
        <v>Argentina</v>
      </c>
      <c r="H122" s="3" t="str">
        <f>VLOOKUP(Registros[[#This Row],[Producto]],Producto[],2,FALSE)</f>
        <v>MOC</v>
      </c>
    </row>
    <row r="123" spans="1:8" ht="20.100000000000001" customHeight="1" x14ac:dyDescent="0.25">
      <c r="A123" s="3" t="s">
        <v>25</v>
      </c>
      <c r="B123" s="3" t="s">
        <v>67</v>
      </c>
      <c r="C123" s="3">
        <v>2022</v>
      </c>
      <c r="D123" s="4">
        <v>5</v>
      </c>
      <c r="E123" s="5">
        <v>99</v>
      </c>
      <c r="F123" s="5">
        <v>44.34</v>
      </c>
      <c r="G123" s="3" t="str">
        <f>VLOOKUP(Registros[[#This Row],[Cliente]],Cliente_Region[],2,FALSE)</f>
        <v>Argentina</v>
      </c>
      <c r="H123" s="3" t="str">
        <f>VLOOKUP(Registros[[#This Row],[Producto]],Producto[],2,FALSE)</f>
        <v>MOC</v>
      </c>
    </row>
    <row r="124" spans="1:8" ht="20.100000000000001" customHeight="1" x14ac:dyDescent="0.25">
      <c r="A124" s="3" t="s">
        <v>25</v>
      </c>
      <c r="B124" s="3" t="s">
        <v>67</v>
      </c>
      <c r="C124" s="3">
        <v>2022</v>
      </c>
      <c r="D124" s="4">
        <v>6</v>
      </c>
      <c r="E124" s="5">
        <v>66</v>
      </c>
      <c r="F124" s="5">
        <v>29.55</v>
      </c>
      <c r="G124" s="3" t="str">
        <f>VLOOKUP(Registros[[#This Row],[Cliente]],Cliente_Region[],2,FALSE)</f>
        <v>Argentina</v>
      </c>
      <c r="H124" s="3" t="str">
        <f>VLOOKUP(Registros[[#This Row],[Producto]],Producto[],2,FALSE)</f>
        <v>MOC</v>
      </c>
    </row>
    <row r="125" spans="1:8" ht="20.100000000000001" customHeight="1" x14ac:dyDescent="0.25">
      <c r="A125" s="3" t="s">
        <v>48</v>
      </c>
      <c r="B125" s="3" t="s">
        <v>67</v>
      </c>
      <c r="C125" s="3">
        <v>2022</v>
      </c>
      <c r="D125" s="4">
        <v>3</v>
      </c>
      <c r="E125" s="5">
        <v>22</v>
      </c>
      <c r="F125" s="5">
        <v>15.47</v>
      </c>
      <c r="G125" s="3" t="str">
        <f>VLOOKUP(Registros[[#This Row],[Cliente]],Cliente_Region[],2,FALSE)</f>
        <v>Argentina</v>
      </c>
      <c r="H125" s="3" t="str">
        <f>VLOOKUP(Registros[[#This Row],[Producto]],Producto[],2,FALSE)</f>
        <v>GAMBO</v>
      </c>
    </row>
    <row r="126" spans="1:8" ht="20.100000000000001" customHeight="1" x14ac:dyDescent="0.25">
      <c r="A126" s="3" t="s">
        <v>74</v>
      </c>
      <c r="B126" s="3" t="s">
        <v>67</v>
      </c>
      <c r="C126" s="3">
        <v>2022</v>
      </c>
      <c r="D126" s="4">
        <v>1</v>
      </c>
      <c r="E126" s="5">
        <v>61.5</v>
      </c>
      <c r="F126" s="5">
        <v>9.59</v>
      </c>
      <c r="G126" s="3" t="str">
        <f>VLOOKUP(Registros[[#This Row],[Cliente]],Cliente_Region[],2,FALSE)</f>
        <v>Argentina</v>
      </c>
      <c r="H126" s="3" t="str">
        <f>VLOOKUP(Registros[[#This Row],[Producto]],Producto[],2,FALSE)</f>
        <v>CHOTUS</v>
      </c>
    </row>
    <row r="127" spans="1:8" ht="20.100000000000001" customHeight="1" x14ac:dyDescent="0.25">
      <c r="A127" s="3" t="s">
        <v>75</v>
      </c>
      <c r="B127" s="3" t="s">
        <v>67</v>
      </c>
      <c r="C127" s="3">
        <v>2022</v>
      </c>
      <c r="D127" s="4">
        <v>2</v>
      </c>
      <c r="E127" s="5">
        <v>32.5</v>
      </c>
      <c r="F127" s="5">
        <v>9.3000000000000007</v>
      </c>
      <c r="G127" s="3" t="str">
        <f>VLOOKUP(Registros[[#This Row],[Cliente]],Cliente_Region[],2,FALSE)</f>
        <v>Argentina</v>
      </c>
      <c r="H127" s="3" t="str">
        <f>VLOOKUP(Registros[[#This Row],[Producto]],Producto[],2,FALSE)</f>
        <v>DONANY</v>
      </c>
    </row>
    <row r="128" spans="1:8" ht="20.100000000000001" customHeight="1" x14ac:dyDescent="0.25">
      <c r="A128" s="3" t="s">
        <v>75</v>
      </c>
      <c r="B128" s="3" t="s">
        <v>67</v>
      </c>
      <c r="C128" s="3">
        <v>2022</v>
      </c>
      <c r="D128" s="4">
        <v>3</v>
      </c>
      <c r="E128" s="5">
        <v>42.5</v>
      </c>
      <c r="F128" s="5">
        <v>13.5</v>
      </c>
      <c r="G128" s="3" t="str">
        <f>VLOOKUP(Registros[[#This Row],[Cliente]],Cliente_Region[],2,FALSE)</f>
        <v>Argentina</v>
      </c>
      <c r="H128" s="3" t="str">
        <f>VLOOKUP(Registros[[#This Row],[Producto]],Producto[],2,FALSE)</f>
        <v>DONANY</v>
      </c>
    </row>
    <row r="129" spans="1:8" ht="20.100000000000001" customHeight="1" x14ac:dyDescent="0.25">
      <c r="A129" s="3" t="s">
        <v>62</v>
      </c>
      <c r="B129" s="3" t="s">
        <v>67</v>
      </c>
      <c r="C129" s="3">
        <v>2022</v>
      </c>
      <c r="D129" s="4">
        <v>2</v>
      </c>
      <c r="E129" s="5">
        <v>18.5</v>
      </c>
      <c r="F129" s="5">
        <v>4.9400000000000004</v>
      </c>
      <c r="G129" s="3" t="str">
        <f>VLOOKUP(Registros[[#This Row],[Cliente]],Cliente_Region[],2,FALSE)</f>
        <v>Argentina</v>
      </c>
      <c r="H129" s="3" t="str">
        <f>VLOOKUP(Registros[[#This Row],[Producto]],Producto[],2,FALSE)</f>
        <v>MOC</v>
      </c>
    </row>
    <row r="130" spans="1:8" ht="20.100000000000001" customHeight="1" x14ac:dyDescent="0.25">
      <c r="A130" s="3" t="s">
        <v>63</v>
      </c>
      <c r="B130" s="3" t="s">
        <v>67</v>
      </c>
      <c r="C130" s="3">
        <v>2022</v>
      </c>
      <c r="D130" s="4">
        <v>3</v>
      </c>
      <c r="E130" s="5">
        <v>23</v>
      </c>
      <c r="F130" s="5">
        <v>0</v>
      </c>
      <c r="G130" s="3" t="str">
        <f>VLOOKUP(Registros[[#This Row],[Cliente]],Cliente_Region[],2,FALSE)</f>
        <v>Argentina</v>
      </c>
      <c r="H130" s="3" t="str">
        <f>VLOOKUP(Registros[[#This Row],[Producto]],Producto[],2,FALSE)</f>
        <v>SALF</v>
      </c>
    </row>
    <row r="131" spans="1:8" ht="20.100000000000001" customHeight="1" x14ac:dyDescent="0.25">
      <c r="A131" s="3" t="s">
        <v>63</v>
      </c>
      <c r="B131" s="3" t="s">
        <v>67</v>
      </c>
      <c r="C131" s="3">
        <v>2022</v>
      </c>
      <c r="D131" s="4">
        <v>4</v>
      </c>
      <c r="E131" s="5">
        <v>23</v>
      </c>
      <c r="F131" s="5">
        <v>9.5</v>
      </c>
      <c r="G131" s="3" t="str">
        <f>VLOOKUP(Registros[[#This Row],[Cliente]],Cliente_Region[],2,FALSE)</f>
        <v>Argentina</v>
      </c>
      <c r="H131" s="3" t="str">
        <f>VLOOKUP(Registros[[#This Row],[Producto]],Producto[],2,FALSE)</f>
        <v>SALF</v>
      </c>
    </row>
    <row r="132" spans="1:8" ht="20.100000000000001" customHeight="1" x14ac:dyDescent="0.25">
      <c r="A132" s="3" t="s">
        <v>63</v>
      </c>
      <c r="B132" s="3" t="s">
        <v>67</v>
      </c>
      <c r="C132" s="3">
        <v>2022</v>
      </c>
      <c r="D132" s="4">
        <v>5</v>
      </c>
      <c r="E132" s="5">
        <v>19.5</v>
      </c>
      <c r="F132" s="5">
        <v>6.1</v>
      </c>
      <c r="G132" s="3" t="str">
        <f>VLOOKUP(Registros[[#This Row],[Cliente]],Cliente_Region[],2,FALSE)</f>
        <v>Argentina</v>
      </c>
      <c r="H132" s="3" t="str">
        <f>VLOOKUP(Registros[[#This Row],[Producto]],Producto[],2,FALSE)</f>
        <v>SALF</v>
      </c>
    </row>
    <row r="133" spans="1:8" ht="20.100000000000001" customHeight="1" x14ac:dyDescent="0.25">
      <c r="A133" s="3" t="s">
        <v>77</v>
      </c>
      <c r="B133" s="3" t="s">
        <v>76</v>
      </c>
      <c r="C133" s="3">
        <v>2022</v>
      </c>
      <c r="D133" s="4">
        <v>1</v>
      </c>
      <c r="E133" s="5">
        <v>6900</v>
      </c>
      <c r="F133" s="5">
        <v>3936.67</v>
      </c>
      <c r="G133" s="3" t="str">
        <f>VLOOKUP(Registros[[#This Row],[Cliente]],Cliente_Region[],2,FALSE)</f>
        <v>Chile</v>
      </c>
      <c r="H133" s="3" t="str">
        <f>VLOOKUP(Registros[[#This Row],[Producto]],Producto[],2,FALSE)</f>
        <v>LAX</v>
      </c>
    </row>
    <row r="134" spans="1:8" ht="20.100000000000001" customHeight="1" x14ac:dyDescent="0.25">
      <c r="A134" s="3" t="s">
        <v>78</v>
      </c>
      <c r="B134" s="3" t="s">
        <v>76</v>
      </c>
      <c r="C134" s="3">
        <v>2022</v>
      </c>
      <c r="D134" s="4">
        <v>3</v>
      </c>
      <c r="E134" s="5">
        <v>3450</v>
      </c>
      <c r="F134" s="5">
        <v>1968.33</v>
      </c>
      <c r="G134" s="3" t="str">
        <f>VLOOKUP(Registros[[#This Row],[Cliente]],Cliente_Region[],2,FALSE)</f>
        <v>Chile</v>
      </c>
      <c r="H134" s="3" t="str">
        <f>VLOOKUP(Registros[[#This Row],[Producto]],Producto[],2,FALSE)</f>
        <v>MOC</v>
      </c>
    </row>
    <row r="135" spans="1:8" ht="20.100000000000001" customHeight="1" x14ac:dyDescent="0.25">
      <c r="A135" s="3" t="s">
        <v>78</v>
      </c>
      <c r="B135" s="3" t="s">
        <v>76</v>
      </c>
      <c r="C135" s="3">
        <v>2022</v>
      </c>
      <c r="D135" s="4">
        <v>6</v>
      </c>
      <c r="E135" s="5">
        <v>1150</v>
      </c>
      <c r="F135" s="5">
        <v>656.11</v>
      </c>
      <c r="G135" s="3" t="str">
        <f>VLOOKUP(Registros[[#This Row],[Cliente]],Cliente_Region[],2,FALSE)</f>
        <v>Chile</v>
      </c>
      <c r="H135" s="3" t="str">
        <f>VLOOKUP(Registros[[#This Row],[Producto]],Producto[],2,FALSE)</f>
        <v>MOC</v>
      </c>
    </row>
    <row r="136" spans="1:8" ht="20.100000000000001" customHeight="1" x14ac:dyDescent="0.25">
      <c r="A136" s="3" t="s">
        <v>79</v>
      </c>
      <c r="B136" s="3" t="s">
        <v>76</v>
      </c>
      <c r="C136" s="3">
        <v>2022</v>
      </c>
      <c r="D136" s="4">
        <v>6</v>
      </c>
      <c r="E136" s="5">
        <v>675</v>
      </c>
      <c r="F136" s="5">
        <v>398.17</v>
      </c>
      <c r="G136" s="3" t="str">
        <f>VLOOKUP(Registros[[#This Row],[Cliente]],Cliente_Region[],2,FALSE)</f>
        <v>Chile</v>
      </c>
      <c r="H136" s="3" t="str">
        <f>VLOOKUP(Registros[[#This Row],[Producto]],Producto[],2,FALSE)</f>
        <v>SALF</v>
      </c>
    </row>
    <row r="137" spans="1:8" ht="20.100000000000001" customHeight="1" x14ac:dyDescent="0.25">
      <c r="A137" s="3" t="s">
        <v>81</v>
      </c>
      <c r="B137" s="3" t="s">
        <v>76</v>
      </c>
      <c r="C137" s="3">
        <v>2022</v>
      </c>
      <c r="D137" s="4">
        <v>1</v>
      </c>
      <c r="E137" s="5">
        <v>4300</v>
      </c>
      <c r="F137" s="5">
        <v>1505</v>
      </c>
      <c r="G137" s="3" t="str">
        <f>VLOOKUP(Registros[[#This Row],[Cliente]],Cliente_Region[],2,FALSE)</f>
        <v>Chile</v>
      </c>
      <c r="H137" s="3" t="str">
        <f>VLOOKUP(Registros[[#This Row],[Producto]],Producto[],2,FALSE)</f>
        <v>QUOKAR</v>
      </c>
    </row>
    <row r="138" spans="1:8" ht="20.100000000000001" customHeight="1" x14ac:dyDescent="0.25">
      <c r="A138" s="3" t="s">
        <v>82</v>
      </c>
      <c r="B138" s="3" t="s">
        <v>76</v>
      </c>
      <c r="C138" s="3">
        <v>2022</v>
      </c>
      <c r="D138" s="4">
        <v>2</v>
      </c>
      <c r="E138" s="5">
        <v>1075</v>
      </c>
      <c r="F138" s="5">
        <v>376.25</v>
      </c>
      <c r="G138" s="3" t="str">
        <f>VLOOKUP(Registros[[#This Row],[Cliente]],Cliente_Region[],2,FALSE)</f>
        <v>Chile</v>
      </c>
      <c r="H138" s="3" t="str">
        <f>VLOOKUP(Registros[[#This Row],[Producto]],Producto[],2,FALSE)</f>
        <v>LAX</v>
      </c>
    </row>
    <row r="139" spans="1:8" ht="20.100000000000001" customHeight="1" x14ac:dyDescent="0.25">
      <c r="A139" s="3" t="s">
        <v>82</v>
      </c>
      <c r="B139" s="3" t="s">
        <v>76</v>
      </c>
      <c r="C139" s="3">
        <v>2022</v>
      </c>
      <c r="D139" s="4">
        <v>3</v>
      </c>
      <c r="E139" s="5">
        <v>3225</v>
      </c>
      <c r="F139" s="5">
        <v>1128.75</v>
      </c>
      <c r="G139" s="3" t="str">
        <f>VLOOKUP(Registros[[#This Row],[Cliente]],Cliente_Region[],2,FALSE)</f>
        <v>Chile</v>
      </c>
      <c r="H139" s="3" t="str">
        <f>VLOOKUP(Registros[[#This Row],[Producto]],Producto[],2,FALSE)</f>
        <v>LAX</v>
      </c>
    </row>
    <row r="140" spans="1:8" ht="20.100000000000001" customHeight="1" x14ac:dyDescent="0.25">
      <c r="A140" s="3" t="s">
        <v>82</v>
      </c>
      <c r="B140" s="3" t="s">
        <v>76</v>
      </c>
      <c r="C140" s="3">
        <v>2022</v>
      </c>
      <c r="D140" s="4">
        <v>6</v>
      </c>
      <c r="E140" s="5">
        <v>1075</v>
      </c>
      <c r="F140" s="5">
        <v>376.25</v>
      </c>
      <c r="G140" s="3" t="str">
        <f>VLOOKUP(Registros[[#This Row],[Cliente]],Cliente_Region[],2,FALSE)</f>
        <v>Chile</v>
      </c>
      <c r="H140" s="3" t="str">
        <f>VLOOKUP(Registros[[#This Row],[Producto]],Producto[],2,FALSE)</f>
        <v>LAX</v>
      </c>
    </row>
    <row r="141" spans="1:8" ht="20.100000000000001" customHeight="1" x14ac:dyDescent="0.25">
      <c r="A141" s="3" t="s">
        <v>83</v>
      </c>
      <c r="B141" s="3" t="s">
        <v>76</v>
      </c>
      <c r="C141" s="3">
        <v>2022</v>
      </c>
      <c r="D141" s="4">
        <v>6</v>
      </c>
      <c r="E141" s="5">
        <v>562.5</v>
      </c>
      <c r="F141" s="5">
        <v>370.84</v>
      </c>
      <c r="G141" s="3" t="str">
        <f>VLOOKUP(Registros[[#This Row],[Cliente]],Cliente_Region[],2,FALSE)</f>
        <v>Chile</v>
      </c>
      <c r="H141" s="3" t="str">
        <f>VLOOKUP(Registros[[#This Row],[Producto]],Producto[],2,FALSE)</f>
        <v>QUOKAR</v>
      </c>
    </row>
    <row r="142" spans="1:8" ht="20.100000000000001" customHeight="1" x14ac:dyDescent="0.25">
      <c r="A142" s="3" t="s">
        <v>86</v>
      </c>
      <c r="B142" s="3" t="s">
        <v>85</v>
      </c>
      <c r="C142" s="3">
        <v>2022</v>
      </c>
      <c r="D142" s="4">
        <v>3</v>
      </c>
      <c r="E142" s="5">
        <v>50</v>
      </c>
      <c r="F142" s="5">
        <v>23.37</v>
      </c>
      <c r="G142" s="3" t="str">
        <f>VLOOKUP(Registros[[#This Row],[Cliente]],Cliente_Region[],2,FALSE)</f>
        <v>Canada</v>
      </c>
      <c r="H142" s="3" t="str">
        <f>VLOOKUP(Registros[[#This Row],[Producto]],Producto[],2,FALSE)</f>
        <v>GAMBO</v>
      </c>
    </row>
    <row r="143" spans="1:8" ht="20.100000000000001" customHeight="1" x14ac:dyDescent="0.25">
      <c r="A143" s="3" t="s">
        <v>87</v>
      </c>
      <c r="B143" s="3" t="s">
        <v>85</v>
      </c>
      <c r="C143" s="3">
        <v>2022</v>
      </c>
      <c r="D143" s="4">
        <v>4</v>
      </c>
      <c r="E143" s="5">
        <v>50</v>
      </c>
      <c r="F143" s="5">
        <v>23.37</v>
      </c>
      <c r="G143" s="3" t="str">
        <f>VLOOKUP(Registros[[#This Row],[Cliente]],Cliente_Region[],2,FALSE)</f>
        <v>Canada</v>
      </c>
      <c r="H143" s="3" t="str">
        <f>VLOOKUP(Registros[[#This Row],[Producto]],Producto[],2,FALSE)</f>
        <v>DONANY</v>
      </c>
    </row>
    <row r="144" spans="1:8" ht="20.100000000000001" customHeight="1" x14ac:dyDescent="0.25">
      <c r="A144" s="3" t="s">
        <v>87</v>
      </c>
      <c r="B144" s="3" t="s">
        <v>85</v>
      </c>
      <c r="C144" s="3">
        <v>2022</v>
      </c>
      <c r="D144" s="4">
        <v>6</v>
      </c>
      <c r="E144" s="5">
        <v>50</v>
      </c>
      <c r="F144" s="5">
        <v>23.47</v>
      </c>
      <c r="G144" s="3" t="str">
        <f>VLOOKUP(Registros[[#This Row],[Cliente]],Cliente_Region[],2,FALSE)</f>
        <v>Canada</v>
      </c>
      <c r="H144" s="3" t="str">
        <f>VLOOKUP(Registros[[#This Row],[Producto]],Producto[],2,FALSE)</f>
        <v>DONANY</v>
      </c>
    </row>
    <row r="145" spans="1:8" ht="20.100000000000001" customHeight="1" x14ac:dyDescent="0.25">
      <c r="A145" s="3" t="s">
        <v>88</v>
      </c>
      <c r="B145" s="3" t="s">
        <v>85</v>
      </c>
      <c r="C145" s="3">
        <v>2022</v>
      </c>
      <c r="D145" s="4">
        <v>4</v>
      </c>
      <c r="E145" s="5">
        <v>78</v>
      </c>
      <c r="F145" s="5">
        <v>58.38</v>
      </c>
      <c r="G145" s="3" t="str">
        <f>VLOOKUP(Registros[[#This Row],[Cliente]],Cliente_Region[],2,FALSE)</f>
        <v>Canada</v>
      </c>
      <c r="H145" s="3" t="str">
        <f>VLOOKUP(Registros[[#This Row],[Producto]],Producto[],2,FALSE)</f>
        <v>DAWNE</v>
      </c>
    </row>
    <row r="146" spans="1:8" ht="20.100000000000001" customHeight="1" x14ac:dyDescent="0.25">
      <c r="A146" s="3" t="s">
        <v>89</v>
      </c>
      <c r="B146" s="3" t="s">
        <v>85</v>
      </c>
      <c r="C146" s="3">
        <v>2022</v>
      </c>
      <c r="D146" s="4">
        <v>6</v>
      </c>
      <c r="E146" s="5">
        <v>48.75</v>
      </c>
      <c r="F146" s="5">
        <v>36.49</v>
      </c>
      <c r="G146" s="3" t="str">
        <f>VLOOKUP(Registros[[#This Row],[Cliente]],Cliente_Region[],2,FALSE)</f>
        <v>Canada</v>
      </c>
      <c r="H146" s="3" t="str">
        <f>VLOOKUP(Registros[[#This Row],[Producto]],Producto[],2,FALSE)</f>
        <v>QUOKAR</v>
      </c>
    </row>
    <row r="147" spans="1:8" ht="20.100000000000001" customHeight="1" x14ac:dyDescent="0.25">
      <c r="A147" s="3" t="s">
        <v>90</v>
      </c>
      <c r="B147" s="3" t="s">
        <v>85</v>
      </c>
      <c r="C147" s="3">
        <v>2022</v>
      </c>
      <c r="D147" s="4">
        <v>3</v>
      </c>
      <c r="E147" s="5">
        <v>165</v>
      </c>
      <c r="F147" s="5">
        <v>118.26</v>
      </c>
      <c r="G147" s="3" t="str">
        <f>VLOOKUP(Registros[[#This Row],[Cliente]],Cliente_Region[],2,FALSE)</f>
        <v>Canada</v>
      </c>
      <c r="H147" s="3" t="str">
        <f>VLOOKUP(Registros[[#This Row],[Producto]],Producto[],2,FALSE)</f>
        <v>CHOTUS</v>
      </c>
    </row>
    <row r="148" spans="1:8" ht="20.100000000000001" customHeight="1" x14ac:dyDescent="0.25">
      <c r="A148" s="3" t="s">
        <v>91</v>
      </c>
      <c r="B148" s="3" t="s">
        <v>85</v>
      </c>
      <c r="C148" s="3">
        <v>2022</v>
      </c>
      <c r="D148" s="4">
        <v>4</v>
      </c>
      <c r="E148" s="5">
        <v>55</v>
      </c>
      <c r="F148" s="5">
        <v>39.42</v>
      </c>
      <c r="G148" s="3" t="str">
        <f>VLOOKUP(Registros[[#This Row],[Cliente]],Cliente_Region[],2,FALSE)</f>
        <v>Canada</v>
      </c>
      <c r="H148" s="3" t="str">
        <f>VLOOKUP(Registros[[#This Row],[Producto]],Producto[],2,FALSE)</f>
        <v>GAMBO</v>
      </c>
    </row>
    <row r="149" spans="1:8" ht="20.100000000000001" customHeight="1" x14ac:dyDescent="0.25">
      <c r="A149" s="3" t="s">
        <v>91</v>
      </c>
      <c r="B149" s="3" t="s">
        <v>85</v>
      </c>
      <c r="C149" s="3">
        <v>2022</v>
      </c>
      <c r="D149" s="4">
        <v>6</v>
      </c>
      <c r="E149" s="5">
        <v>55</v>
      </c>
      <c r="F149" s="5">
        <v>39.42</v>
      </c>
      <c r="G149" s="3" t="str">
        <f>VLOOKUP(Registros[[#This Row],[Cliente]],Cliente_Region[],2,FALSE)</f>
        <v>Canada</v>
      </c>
      <c r="H149" s="3" t="str">
        <f>VLOOKUP(Registros[[#This Row],[Producto]],Producto[],2,FALSE)</f>
        <v>GAMBO</v>
      </c>
    </row>
    <row r="150" spans="1:8" ht="20.100000000000001" customHeight="1" x14ac:dyDescent="0.25">
      <c r="A150" s="3" t="s">
        <v>77</v>
      </c>
      <c r="B150" s="3" t="s">
        <v>85</v>
      </c>
      <c r="C150" s="3">
        <v>2022</v>
      </c>
      <c r="D150" s="4">
        <v>3</v>
      </c>
      <c r="E150" s="5">
        <v>460</v>
      </c>
      <c r="F150" s="5">
        <v>262.44</v>
      </c>
      <c r="G150" s="3" t="str">
        <f>VLOOKUP(Registros[[#This Row],[Cliente]],Cliente_Region[],2,FALSE)</f>
        <v>Canada</v>
      </c>
      <c r="H150" s="3" t="str">
        <f>VLOOKUP(Registros[[#This Row],[Producto]],Producto[],2,FALSE)</f>
        <v>LAX</v>
      </c>
    </row>
    <row r="151" spans="1:8" ht="20.100000000000001" customHeight="1" x14ac:dyDescent="0.25">
      <c r="A151" s="3" t="s">
        <v>78</v>
      </c>
      <c r="B151" s="3" t="s">
        <v>85</v>
      </c>
      <c r="C151" s="3">
        <v>2022</v>
      </c>
      <c r="D151" s="4">
        <v>4</v>
      </c>
      <c r="E151" s="5">
        <v>230</v>
      </c>
      <c r="F151" s="5">
        <v>131.22</v>
      </c>
      <c r="G151" s="3" t="str">
        <f>VLOOKUP(Registros[[#This Row],[Cliente]],Cliente_Region[],2,FALSE)</f>
        <v>Canada</v>
      </c>
      <c r="H151" s="3" t="str">
        <f>VLOOKUP(Registros[[#This Row],[Producto]],Producto[],2,FALSE)</f>
        <v>MOC</v>
      </c>
    </row>
    <row r="152" spans="1:8" ht="20.100000000000001" customHeight="1" x14ac:dyDescent="0.25">
      <c r="A152" s="3" t="s">
        <v>78</v>
      </c>
      <c r="B152" s="3" t="s">
        <v>85</v>
      </c>
      <c r="C152" s="3">
        <v>2022</v>
      </c>
      <c r="D152" s="4">
        <v>6</v>
      </c>
      <c r="E152" s="5">
        <v>230</v>
      </c>
      <c r="F152" s="5">
        <v>131.22</v>
      </c>
      <c r="G152" s="3" t="str">
        <f>VLOOKUP(Registros[[#This Row],[Cliente]],Cliente_Region[],2,FALSE)</f>
        <v>Canada</v>
      </c>
      <c r="H152" s="3" t="str">
        <f>VLOOKUP(Registros[[#This Row],[Producto]],Producto[],2,FALSE)</f>
        <v>MOC</v>
      </c>
    </row>
    <row r="153" spans="1:8" ht="20.100000000000001" customHeight="1" x14ac:dyDescent="0.25">
      <c r="A153" s="3" t="s">
        <v>92</v>
      </c>
      <c r="B153" s="3" t="s">
        <v>85</v>
      </c>
      <c r="C153" s="3">
        <v>2022</v>
      </c>
      <c r="D153" s="4">
        <v>3</v>
      </c>
      <c r="E153" s="5">
        <v>250</v>
      </c>
      <c r="F153" s="5">
        <v>62.67</v>
      </c>
      <c r="G153" s="3" t="str">
        <f>VLOOKUP(Registros[[#This Row],[Cliente]],Cliente_Region[],2,FALSE)</f>
        <v>Canada</v>
      </c>
      <c r="H153" s="3" t="str">
        <f>VLOOKUP(Registros[[#This Row],[Producto]],Producto[],2,FALSE)</f>
        <v>MOC</v>
      </c>
    </row>
    <row r="154" spans="1:8" ht="20.100000000000001" customHeight="1" x14ac:dyDescent="0.25">
      <c r="A154" s="3" t="s">
        <v>93</v>
      </c>
      <c r="B154" s="3" t="s">
        <v>85</v>
      </c>
      <c r="C154" s="3">
        <v>2022</v>
      </c>
      <c r="D154" s="4">
        <v>6</v>
      </c>
      <c r="E154" s="5">
        <v>200</v>
      </c>
      <c r="F154" s="5">
        <v>50.13</v>
      </c>
      <c r="G154" s="3" t="str">
        <f>VLOOKUP(Registros[[#This Row],[Cliente]],Cliente_Region[],2,FALSE)</f>
        <v>Canada</v>
      </c>
      <c r="H154" s="3" t="str">
        <f>VLOOKUP(Registros[[#This Row],[Producto]],Producto[],2,FALSE)</f>
        <v>GAMBO</v>
      </c>
    </row>
    <row r="155" spans="1:8" ht="20.100000000000001" customHeight="1" x14ac:dyDescent="0.25">
      <c r="A155" s="3" t="s">
        <v>81</v>
      </c>
      <c r="B155" s="3" t="s">
        <v>85</v>
      </c>
      <c r="C155" s="3">
        <v>2022</v>
      </c>
      <c r="D155" s="4">
        <v>3</v>
      </c>
      <c r="E155" s="5">
        <v>136</v>
      </c>
      <c r="F155" s="5">
        <v>24.2</v>
      </c>
      <c r="G155" s="3" t="str">
        <f>VLOOKUP(Registros[[#This Row],[Cliente]],Cliente_Region[],2,FALSE)</f>
        <v>Canada</v>
      </c>
      <c r="H155" s="3" t="str">
        <f>VLOOKUP(Registros[[#This Row],[Producto]],Producto[],2,FALSE)</f>
        <v>QUOKAR</v>
      </c>
    </row>
    <row r="156" spans="1:8" ht="20.100000000000001" customHeight="1" x14ac:dyDescent="0.25">
      <c r="A156" s="3" t="s">
        <v>82</v>
      </c>
      <c r="B156" s="3" t="s">
        <v>85</v>
      </c>
      <c r="C156" s="3">
        <v>2022</v>
      </c>
      <c r="D156" s="4">
        <v>6</v>
      </c>
      <c r="E156" s="5">
        <v>170</v>
      </c>
      <c r="F156" s="5">
        <v>30.25</v>
      </c>
      <c r="G156" s="3" t="str">
        <f>VLOOKUP(Registros[[#This Row],[Cliente]],Cliente_Region[],2,FALSE)</f>
        <v>Canada</v>
      </c>
      <c r="H156" s="3" t="str">
        <f>VLOOKUP(Registros[[#This Row],[Producto]],Producto[],2,FALSE)</f>
        <v>LAX</v>
      </c>
    </row>
    <row r="157" spans="1:8" ht="20.100000000000001" customHeight="1" x14ac:dyDescent="0.25">
      <c r="A157" s="3" t="s">
        <v>95</v>
      </c>
      <c r="B157" s="3" t="s">
        <v>94</v>
      </c>
      <c r="C157" s="3">
        <v>2022</v>
      </c>
      <c r="D157" s="4">
        <v>4</v>
      </c>
      <c r="E157" s="5">
        <v>960</v>
      </c>
      <c r="F157" s="5">
        <v>400</v>
      </c>
      <c r="G157" s="3" t="str">
        <f>VLOOKUP(Registros[[#This Row],[Cliente]],Cliente_Region[],2,FALSE)</f>
        <v>Argentina</v>
      </c>
      <c r="H157" s="3" t="str">
        <f>VLOOKUP(Registros[[#This Row],[Producto]],Producto[],2,FALSE)</f>
        <v>CHOTUS</v>
      </c>
    </row>
    <row r="158" spans="1:8" ht="20.100000000000001" customHeight="1" x14ac:dyDescent="0.25">
      <c r="A158" s="3" t="s">
        <v>11</v>
      </c>
      <c r="B158" s="3" t="s">
        <v>97</v>
      </c>
      <c r="C158" s="3">
        <v>2022</v>
      </c>
      <c r="D158" s="4">
        <v>1</v>
      </c>
      <c r="E158" s="5">
        <v>2415</v>
      </c>
      <c r="F158" s="5">
        <v>28.63</v>
      </c>
      <c r="G158" s="3" t="str">
        <f>VLOOKUP(Registros[[#This Row],[Cliente]],Cliente_Region[],2,FALSE)</f>
        <v>Canada</v>
      </c>
      <c r="H158" s="3" t="str">
        <f>VLOOKUP(Registros[[#This Row],[Producto]],Producto[],2,FALSE)</f>
        <v>DONANY</v>
      </c>
    </row>
    <row r="159" spans="1:8" ht="20.100000000000001" customHeight="1" x14ac:dyDescent="0.25">
      <c r="A159" s="3" t="s">
        <v>12</v>
      </c>
      <c r="B159" s="3" t="s">
        <v>97</v>
      </c>
      <c r="C159" s="3">
        <v>2022</v>
      </c>
      <c r="D159" s="4">
        <v>2</v>
      </c>
      <c r="E159" s="5">
        <v>1844</v>
      </c>
      <c r="F159" s="5">
        <v>147.88</v>
      </c>
      <c r="G159" s="3" t="str">
        <f>VLOOKUP(Registros[[#This Row],[Cliente]],Cliente_Region[],2,FALSE)</f>
        <v>Canada</v>
      </c>
      <c r="H159" s="3" t="str">
        <f>VLOOKUP(Registros[[#This Row],[Producto]],Producto[],2,FALSE)</f>
        <v>DAWNE</v>
      </c>
    </row>
    <row r="160" spans="1:8" ht="20.100000000000001" customHeight="1" x14ac:dyDescent="0.25">
      <c r="A160" s="3" t="s">
        <v>12</v>
      </c>
      <c r="B160" s="3" t="s">
        <v>97</v>
      </c>
      <c r="C160" s="3">
        <v>2022</v>
      </c>
      <c r="D160" s="4">
        <v>3</v>
      </c>
      <c r="E160" s="5">
        <v>1530</v>
      </c>
      <c r="F160" s="5">
        <v>109.27</v>
      </c>
      <c r="G160" s="3" t="str">
        <f>VLOOKUP(Registros[[#This Row],[Cliente]],Cliente_Region[],2,FALSE)</f>
        <v>Canada</v>
      </c>
      <c r="H160" s="3" t="str">
        <f>VLOOKUP(Registros[[#This Row],[Producto]],Producto[],2,FALSE)</f>
        <v>DAWNE</v>
      </c>
    </row>
    <row r="161" spans="1:8" ht="20.100000000000001" customHeight="1" x14ac:dyDescent="0.25">
      <c r="A161" s="3" t="s">
        <v>12</v>
      </c>
      <c r="B161" s="3" t="s">
        <v>97</v>
      </c>
      <c r="C161" s="3">
        <v>2022</v>
      </c>
      <c r="D161" s="4">
        <v>4</v>
      </c>
      <c r="E161" s="5">
        <v>1746</v>
      </c>
      <c r="F161" s="5">
        <v>124.59</v>
      </c>
      <c r="G161" s="3" t="str">
        <f>VLOOKUP(Registros[[#This Row],[Cliente]],Cliente_Region[],2,FALSE)</f>
        <v>Canada</v>
      </c>
      <c r="H161" s="3" t="str">
        <f>VLOOKUP(Registros[[#This Row],[Producto]],Producto[],2,FALSE)</f>
        <v>DAWNE</v>
      </c>
    </row>
    <row r="162" spans="1:8" ht="20.100000000000001" customHeight="1" x14ac:dyDescent="0.25">
      <c r="A162" s="3" t="s">
        <v>12</v>
      </c>
      <c r="B162" s="3" t="s">
        <v>97</v>
      </c>
      <c r="C162" s="3">
        <v>2022</v>
      </c>
      <c r="D162" s="4">
        <v>5</v>
      </c>
      <c r="E162" s="5">
        <v>1620</v>
      </c>
      <c r="F162" s="5">
        <v>122.29</v>
      </c>
      <c r="G162" s="3" t="str">
        <f>VLOOKUP(Registros[[#This Row],[Cliente]],Cliente_Region[],2,FALSE)</f>
        <v>Canada</v>
      </c>
      <c r="H162" s="3" t="str">
        <f>VLOOKUP(Registros[[#This Row],[Producto]],Producto[],2,FALSE)</f>
        <v>DAWNE</v>
      </c>
    </row>
    <row r="163" spans="1:8" ht="20.100000000000001" customHeight="1" x14ac:dyDescent="0.25">
      <c r="A163" s="3" t="s">
        <v>12</v>
      </c>
      <c r="B163" s="3" t="s">
        <v>97</v>
      </c>
      <c r="C163" s="3">
        <v>2022</v>
      </c>
      <c r="D163" s="4">
        <v>6</v>
      </c>
      <c r="E163" s="5">
        <v>2700</v>
      </c>
      <c r="F163" s="5">
        <v>209.35</v>
      </c>
      <c r="G163" s="3" t="str">
        <f>VLOOKUP(Registros[[#This Row],[Cliente]],Cliente_Region[],2,FALSE)</f>
        <v>Canada</v>
      </c>
      <c r="H163" s="3" t="str">
        <f>VLOOKUP(Registros[[#This Row],[Producto]],Producto[],2,FALSE)</f>
        <v>DAWNE</v>
      </c>
    </row>
    <row r="164" spans="1:8" ht="20.100000000000001" customHeight="1" x14ac:dyDescent="0.25">
      <c r="A164" s="3" t="s">
        <v>68</v>
      </c>
      <c r="B164" s="3" t="s">
        <v>97</v>
      </c>
      <c r="C164" s="3">
        <v>2022</v>
      </c>
      <c r="D164" s="4">
        <v>4</v>
      </c>
      <c r="E164" s="5">
        <v>144</v>
      </c>
      <c r="F164" s="5">
        <v>5.41</v>
      </c>
      <c r="G164" s="3" t="str">
        <f>VLOOKUP(Registros[[#This Row],[Cliente]],Cliente_Region[],2,FALSE)</f>
        <v>Canada</v>
      </c>
      <c r="H164" s="3" t="str">
        <f>VLOOKUP(Registros[[#This Row],[Producto]],Producto[],2,FALSE)</f>
        <v>SALF</v>
      </c>
    </row>
    <row r="165" spans="1:8" ht="20.100000000000001" customHeight="1" x14ac:dyDescent="0.25">
      <c r="A165" s="3" t="s">
        <v>13</v>
      </c>
      <c r="B165" s="3" t="s">
        <v>97</v>
      </c>
      <c r="C165" s="3">
        <v>2022</v>
      </c>
      <c r="D165" s="4">
        <v>1</v>
      </c>
      <c r="E165" s="5">
        <v>862.5</v>
      </c>
      <c r="F165" s="5">
        <v>149.18</v>
      </c>
      <c r="G165" s="3" t="str">
        <f>VLOOKUP(Registros[[#This Row],[Cliente]],Cliente_Region[],2,FALSE)</f>
        <v>Canada</v>
      </c>
      <c r="H165" s="3" t="str">
        <f>VLOOKUP(Registros[[#This Row],[Producto]],Producto[],2,FALSE)</f>
        <v>DAWNE</v>
      </c>
    </row>
    <row r="166" spans="1:8" ht="20.100000000000001" customHeight="1" x14ac:dyDescent="0.25">
      <c r="A166" s="3" t="s">
        <v>14</v>
      </c>
      <c r="B166" s="3" t="s">
        <v>97</v>
      </c>
      <c r="C166" s="3">
        <v>2022</v>
      </c>
      <c r="D166" s="4">
        <v>2</v>
      </c>
      <c r="E166" s="5">
        <v>720</v>
      </c>
      <c r="F166" s="5">
        <v>144.96</v>
      </c>
      <c r="G166" s="3" t="str">
        <f>VLOOKUP(Registros[[#This Row],[Cliente]],Cliente_Region[],2,FALSE)</f>
        <v>Canada</v>
      </c>
      <c r="H166" s="3" t="str">
        <f>VLOOKUP(Registros[[#This Row],[Producto]],Producto[],2,FALSE)</f>
        <v>SALF</v>
      </c>
    </row>
    <row r="167" spans="1:8" ht="20.100000000000001" customHeight="1" x14ac:dyDescent="0.25">
      <c r="A167" s="3" t="s">
        <v>14</v>
      </c>
      <c r="B167" s="3" t="s">
        <v>97</v>
      </c>
      <c r="C167" s="3">
        <v>2022</v>
      </c>
      <c r="D167" s="4">
        <v>3</v>
      </c>
      <c r="E167" s="5">
        <v>551.25</v>
      </c>
      <c r="F167" s="5">
        <v>119.9</v>
      </c>
      <c r="G167" s="3" t="str">
        <f>VLOOKUP(Registros[[#This Row],[Cliente]],Cliente_Region[],2,FALSE)</f>
        <v>Canada</v>
      </c>
      <c r="H167" s="3" t="str">
        <f>VLOOKUP(Registros[[#This Row],[Producto]],Producto[],2,FALSE)</f>
        <v>SALF</v>
      </c>
    </row>
    <row r="168" spans="1:8" ht="20.100000000000001" customHeight="1" x14ac:dyDescent="0.25">
      <c r="A168" s="3" t="s">
        <v>14</v>
      </c>
      <c r="B168" s="3" t="s">
        <v>97</v>
      </c>
      <c r="C168" s="3">
        <v>2022</v>
      </c>
      <c r="D168" s="4">
        <v>4</v>
      </c>
      <c r="E168" s="5">
        <v>122.5</v>
      </c>
      <c r="F168" s="5">
        <v>26.43</v>
      </c>
      <c r="G168" s="3" t="str">
        <f>VLOOKUP(Registros[[#This Row],[Cliente]],Cliente_Region[],2,FALSE)</f>
        <v>Canada</v>
      </c>
      <c r="H168" s="3" t="str">
        <f>VLOOKUP(Registros[[#This Row],[Producto]],Producto[],2,FALSE)</f>
        <v>SALF</v>
      </c>
    </row>
    <row r="169" spans="1:8" ht="20.100000000000001" customHeight="1" x14ac:dyDescent="0.25">
      <c r="A169" s="3" t="s">
        <v>14</v>
      </c>
      <c r="B169" s="3" t="s">
        <v>97</v>
      </c>
      <c r="C169" s="3">
        <v>2022</v>
      </c>
      <c r="D169" s="4">
        <v>5</v>
      </c>
      <c r="E169" s="5">
        <v>24.5</v>
      </c>
      <c r="F169" s="5">
        <v>5.13</v>
      </c>
      <c r="G169" s="3" t="str">
        <f>VLOOKUP(Registros[[#This Row],[Cliente]],Cliente_Region[],2,FALSE)</f>
        <v>Canada</v>
      </c>
      <c r="H169" s="3" t="str">
        <f>VLOOKUP(Registros[[#This Row],[Producto]],Producto[],2,FALSE)</f>
        <v>SALF</v>
      </c>
    </row>
    <row r="170" spans="1:8" ht="20.100000000000001" customHeight="1" x14ac:dyDescent="0.25">
      <c r="A170" s="3" t="s">
        <v>98</v>
      </c>
      <c r="B170" s="3" t="s">
        <v>97</v>
      </c>
      <c r="C170" s="3">
        <v>2022</v>
      </c>
      <c r="D170" s="4">
        <v>4</v>
      </c>
      <c r="E170" s="5">
        <v>191.25</v>
      </c>
      <c r="F170" s="5">
        <v>44.05</v>
      </c>
      <c r="G170" s="3" t="str">
        <f>VLOOKUP(Registros[[#This Row],[Cliente]],Cliente_Region[],2,FALSE)</f>
        <v>Canada</v>
      </c>
      <c r="H170" s="3" t="str">
        <f>VLOOKUP(Registros[[#This Row],[Producto]],Producto[],2,FALSE)</f>
        <v>MOC</v>
      </c>
    </row>
    <row r="171" spans="1:8" ht="20.100000000000001" customHeight="1" x14ac:dyDescent="0.25">
      <c r="A171" s="3" t="s">
        <v>100</v>
      </c>
      <c r="B171" s="3" t="s">
        <v>97</v>
      </c>
      <c r="C171" s="3">
        <v>2022</v>
      </c>
      <c r="D171" s="4">
        <v>1</v>
      </c>
      <c r="E171" s="5">
        <v>392.5</v>
      </c>
      <c r="F171" s="5">
        <v>126.05</v>
      </c>
      <c r="G171" s="3" t="str">
        <f>VLOOKUP(Registros[[#This Row],[Cliente]],Cliente_Region[],2,FALSE)</f>
        <v>Canada</v>
      </c>
      <c r="H171" s="3" t="str">
        <f>VLOOKUP(Registros[[#This Row],[Producto]],Producto[],2,FALSE)</f>
        <v>GAMBO</v>
      </c>
    </row>
    <row r="172" spans="1:8" ht="20.100000000000001" customHeight="1" x14ac:dyDescent="0.25">
      <c r="A172" s="3" t="s">
        <v>101</v>
      </c>
      <c r="B172" s="3" t="s">
        <v>97</v>
      </c>
      <c r="C172" s="3">
        <v>2022</v>
      </c>
      <c r="D172" s="4">
        <v>2</v>
      </c>
      <c r="E172" s="5">
        <v>302.8</v>
      </c>
      <c r="F172" s="5">
        <v>89.64</v>
      </c>
      <c r="G172" s="3" t="str">
        <f>VLOOKUP(Registros[[#This Row],[Cliente]],Cliente_Region[],2,FALSE)</f>
        <v>Canada</v>
      </c>
      <c r="H172" s="3" t="str">
        <f>VLOOKUP(Registros[[#This Row],[Producto]],Producto[],2,FALSE)</f>
        <v>MOC</v>
      </c>
    </row>
    <row r="173" spans="1:8" ht="20.100000000000001" customHeight="1" x14ac:dyDescent="0.25">
      <c r="A173" s="3" t="s">
        <v>101</v>
      </c>
      <c r="B173" s="3" t="s">
        <v>97</v>
      </c>
      <c r="C173" s="3">
        <v>2022</v>
      </c>
      <c r="D173" s="4">
        <v>4</v>
      </c>
      <c r="E173" s="5">
        <v>283.5</v>
      </c>
      <c r="F173" s="5">
        <v>91.65</v>
      </c>
      <c r="G173" s="3" t="str">
        <f>VLOOKUP(Registros[[#This Row],[Cliente]],Cliente_Region[],2,FALSE)</f>
        <v>Canada</v>
      </c>
      <c r="H173" s="3" t="str">
        <f>VLOOKUP(Registros[[#This Row],[Producto]],Producto[],2,FALSE)</f>
        <v>MOC</v>
      </c>
    </row>
    <row r="174" spans="1:8" ht="20.100000000000001" customHeight="1" x14ac:dyDescent="0.25">
      <c r="A174" s="3" t="s">
        <v>101</v>
      </c>
      <c r="B174" s="3" t="s">
        <v>97</v>
      </c>
      <c r="C174" s="3">
        <v>2022</v>
      </c>
      <c r="D174" s="4">
        <v>5</v>
      </c>
      <c r="E174" s="5">
        <v>94.5</v>
      </c>
      <c r="F174" s="5">
        <v>30.54</v>
      </c>
      <c r="G174" s="3" t="str">
        <f>VLOOKUP(Registros[[#This Row],[Cliente]],Cliente_Region[],2,FALSE)</f>
        <v>Canada</v>
      </c>
      <c r="H174" s="3" t="str">
        <f>VLOOKUP(Registros[[#This Row],[Producto]],Producto[],2,FALSE)</f>
        <v>MOC</v>
      </c>
    </row>
    <row r="175" spans="1:8" ht="20.100000000000001" customHeight="1" x14ac:dyDescent="0.25">
      <c r="A175" s="3" t="s">
        <v>101</v>
      </c>
      <c r="B175" s="3" t="s">
        <v>97</v>
      </c>
      <c r="C175" s="3">
        <v>2022</v>
      </c>
      <c r="D175" s="4">
        <v>6</v>
      </c>
      <c r="E175" s="5">
        <v>63</v>
      </c>
      <c r="F175" s="5">
        <v>20.36</v>
      </c>
      <c r="G175" s="3" t="str">
        <f>VLOOKUP(Registros[[#This Row],[Cliente]],Cliente_Region[],2,FALSE)</f>
        <v>Canada</v>
      </c>
      <c r="H175" s="3" t="str">
        <f>VLOOKUP(Registros[[#This Row],[Producto]],Producto[],2,FALSE)</f>
        <v>MOC</v>
      </c>
    </row>
    <row r="176" spans="1:8" ht="20.100000000000001" customHeight="1" x14ac:dyDescent="0.25">
      <c r="A176" s="3" t="s">
        <v>15</v>
      </c>
      <c r="B176" s="3" t="s">
        <v>97</v>
      </c>
      <c r="C176" s="3">
        <v>2022</v>
      </c>
      <c r="D176" s="4">
        <v>1</v>
      </c>
      <c r="E176" s="5">
        <v>1087.5</v>
      </c>
      <c r="F176" s="5">
        <v>261.79000000000002</v>
      </c>
      <c r="G176" s="3" t="str">
        <f>VLOOKUP(Registros[[#This Row],[Cliente]],Cliente_Region[],2,FALSE)</f>
        <v>Canada</v>
      </c>
      <c r="H176" s="3" t="str">
        <f>VLOOKUP(Registros[[#This Row],[Producto]],Producto[],2,FALSE)</f>
        <v>DONANY</v>
      </c>
    </row>
    <row r="177" spans="1:8" ht="20.100000000000001" customHeight="1" x14ac:dyDescent="0.25">
      <c r="A177" s="3" t="s">
        <v>16</v>
      </c>
      <c r="B177" s="3" t="s">
        <v>97</v>
      </c>
      <c r="C177" s="3">
        <v>2022</v>
      </c>
      <c r="D177" s="4">
        <v>2</v>
      </c>
      <c r="E177" s="5">
        <v>747.5</v>
      </c>
      <c r="F177" s="5">
        <v>197.47</v>
      </c>
      <c r="G177" s="3" t="str">
        <f>VLOOKUP(Registros[[#This Row],[Cliente]],Cliente_Region[],2,FALSE)</f>
        <v>Canada</v>
      </c>
      <c r="H177" s="3" t="str">
        <f>VLOOKUP(Registros[[#This Row],[Producto]],Producto[],2,FALSE)</f>
        <v>CHOTUS</v>
      </c>
    </row>
    <row r="178" spans="1:8" ht="20.100000000000001" customHeight="1" x14ac:dyDescent="0.25">
      <c r="A178" s="3" t="s">
        <v>16</v>
      </c>
      <c r="B178" s="3" t="s">
        <v>97</v>
      </c>
      <c r="C178" s="3">
        <v>2022</v>
      </c>
      <c r="D178" s="4">
        <v>3</v>
      </c>
      <c r="E178" s="5">
        <v>1425</v>
      </c>
      <c r="F178" s="5">
        <v>379.97</v>
      </c>
      <c r="G178" s="3" t="str">
        <f>VLOOKUP(Registros[[#This Row],[Cliente]],Cliente_Region[],2,FALSE)</f>
        <v>Canada</v>
      </c>
      <c r="H178" s="3" t="str">
        <f>VLOOKUP(Registros[[#This Row],[Producto]],Producto[],2,FALSE)</f>
        <v>CHOTUS</v>
      </c>
    </row>
    <row r="179" spans="1:8" ht="20.100000000000001" customHeight="1" x14ac:dyDescent="0.25">
      <c r="A179" s="3" t="s">
        <v>16</v>
      </c>
      <c r="B179" s="3" t="s">
        <v>97</v>
      </c>
      <c r="C179" s="3">
        <v>2022</v>
      </c>
      <c r="D179" s="4">
        <v>4</v>
      </c>
      <c r="E179" s="5">
        <v>1125</v>
      </c>
      <c r="F179" s="5">
        <v>280.02999999999997</v>
      </c>
      <c r="G179" s="3" t="str">
        <f>VLOOKUP(Registros[[#This Row],[Cliente]],Cliente_Region[],2,FALSE)</f>
        <v>Canada</v>
      </c>
      <c r="H179" s="3" t="str">
        <f>VLOOKUP(Registros[[#This Row],[Producto]],Producto[],2,FALSE)</f>
        <v>CHOTUS</v>
      </c>
    </row>
    <row r="180" spans="1:8" ht="20.100000000000001" customHeight="1" x14ac:dyDescent="0.25">
      <c r="A180" s="3" t="s">
        <v>16</v>
      </c>
      <c r="B180" s="3" t="s">
        <v>97</v>
      </c>
      <c r="C180" s="3">
        <v>2022</v>
      </c>
      <c r="D180" s="4">
        <v>5</v>
      </c>
      <c r="E180" s="5">
        <v>1125</v>
      </c>
      <c r="F180" s="5">
        <v>292.98</v>
      </c>
      <c r="G180" s="3" t="str">
        <f>VLOOKUP(Registros[[#This Row],[Cliente]],Cliente_Region[],2,FALSE)</f>
        <v>Canada</v>
      </c>
      <c r="H180" s="3" t="str">
        <f>VLOOKUP(Registros[[#This Row],[Producto]],Producto[],2,FALSE)</f>
        <v>CHOTUS</v>
      </c>
    </row>
    <row r="181" spans="1:8" ht="20.100000000000001" customHeight="1" x14ac:dyDescent="0.25">
      <c r="A181" s="3" t="s">
        <v>16</v>
      </c>
      <c r="B181" s="3" t="s">
        <v>97</v>
      </c>
      <c r="C181" s="3">
        <v>2022</v>
      </c>
      <c r="D181" s="4">
        <v>6</v>
      </c>
      <c r="E181" s="5">
        <v>1425</v>
      </c>
      <c r="F181" s="5">
        <v>353.97</v>
      </c>
      <c r="G181" s="3" t="str">
        <f>VLOOKUP(Registros[[#This Row],[Cliente]],Cliente_Region[],2,FALSE)</f>
        <v>Canada</v>
      </c>
      <c r="H181" s="3" t="str">
        <f>VLOOKUP(Registros[[#This Row],[Producto]],Producto[],2,FALSE)</f>
        <v>CHOTUS</v>
      </c>
    </row>
    <row r="182" spans="1:8" ht="20.100000000000001" customHeight="1" x14ac:dyDescent="0.25">
      <c r="A182" s="3" t="s">
        <v>17</v>
      </c>
      <c r="B182" s="3" t="s">
        <v>97</v>
      </c>
      <c r="C182" s="3">
        <v>2022</v>
      </c>
      <c r="D182" s="4">
        <v>1</v>
      </c>
      <c r="E182" s="5">
        <v>205</v>
      </c>
      <c r="F182" s="5">
        <v>35</v>
      </c>
      <c r="G182" s="3" t="str">
        <f>VLOOKUP(Registros[[#This Row],[Cliente]],Cliente_Region[],2,FALSE)</f>
        <v>Canada</v>
      </c>
      <c r="H182" s="3" t="str">
        <f>VLOOKUP(Registros[[#This Row],[Producto]],Producto[],2,FALSE)</f>
        <v>LAX</v>
      </c>
    </row>
    <row r="183" spans="1:8" ht="20.100000000000001" customHeight="1" x14ac:dyDescent="0.25">
      <c r="A183" s="3" t="s">
        <v>18</v>
      </c>
      <c r="B183" s="3" t="s">
        <v>97</v>
      </c>
      <c r="C183" s="3">
        <v>2022</v>
      </c>
      <c r="D183" s="4">
        <v>2</v>
      </c>
      <c r="E183" s="5">
        <v>270</v>
      </c>
      <c r="F183" s="5">
        <v>47.09</v>
      </c>
      <c r="G183" s="3" t="str">
        <f>VLOOKUP(Registros[[#This Row],[Cliente]],Cliente_Region[],2,FALSE)</f>
        <v>Canada</v>
      </c>
      <c r="H183" s="3" t="str">
        <f>VLOOKUP(Registros[[#This Row],[Producto]],Producto[],2,FALSE)</f>
        <v>GAMBO</v>
      </c>
    </row>
    <row r="184" spans="1:8" ht="20.100000000000001" customHeight="1" x14ac:dyDescent="0.25">
      <c r="A184" s="3" t="s">
        <v>18</v>
      </c>
      <c r="B184" s="3" t="s">
        <v>97</v>
      </c>
      <c r="C184" s="3">
        <v>2022</v>
      </c>
      <c r="D184" s="4">
        <v>3</v>
      </c>
      <c r="E184" s="5">
        <v>1512</v>
      </c>
      <c r="F184" s="5">
        <v>280.52</v>
      </c>
      <c r="G184" s="3" t="str">
        <f>VLOOKUP(Registros[[#This Row],[Cliente]],Cliente_Region[],2,FALSE)</f>
        <v>Canada</v>
      </c>
      <c r="H184" s="3" t="str">
        <f>VLOOKUP(Registros[[#This Row],[Producto]],Producto[],2,FALSE)</f>
        <v>GAMBO</v>
      </c>
    </row>
    <row r="185" spans="1:8" ht="20.100000000000001" customHeight="1" x14ac:dyDescent="0.25">
      <c r="A185" s="3" t="s">
        <v>18</v>
      </c>
      <c r="B185" s="3" t="s">
        <v>97</v>
      </c>
      <c r="C185" s="3">
        <v>2022</v>
      </c>
      <c r="D185" s="4">
        <v>5</v>
      </c>
      <c r="E185" s="5">
        <v>900</v>
      </c>
      <c r="F185" s="5">
        <v>164.51</v>
      </c>
      <c r="G185" s="3" t="str">
        <f>VLOOKUP(Registros[[#This Row],[Cliente]],Cliente_Region[],2,FALSE)</f>
        <v>Canada</v>
      </c>
      <c r="H185" s="3" t="str">
        <f>VLOOKUP(Registros[[#This Row],[Producto]],Producto[],2,FALSE)</f>
        <v>GAMBO</v>
      </c>
    </row>
    <row r="186" spans="1:8" ht="20.100000000000001" customHeight="1" x14ac:dyDescent="0.25">
      <c r="A186" s="3" t="s">
        <v>18</v>
      </c>
      <c r="B186" s="3" t="s">
        <v>97</v>
      </c>
      <c r="C186" s="3">
        <v>2022</v>
      </c>
      <c r="D186" s="4">
        <v>6</v>
      </c>
      <c r="E186" s="5">
        <v>270</v>
      </c>
      <c r="F186" s="5">
        <v>50.79</v>
      </c>
      <c r="G186" s="3" t="str">
        <f>VLOOKUP(Registros[[#This Row],[Cliente]],Cliente_Region[],2,FALSE)</f>
        <v>Canada</v>
      </c>
      <c r="H186" s="3" t="str">
        <f>VLOOKUP(Registros[[#This Row],[Producto]],Producto[],2,FALSE)</f>
        <v>GAMBO</v>
      </c>
    </row>
    <row r="187" spans="1:8" ht="20.100000000000001" customHeight="1" x14ac:dyDescent="0.25">
      <c r="A187" s="3" t="s">
        <v>102</v>
      </c>
      <c r="B187" s="3" t="s">
        <v>97</v>
      </c>
      <c r="C187" s="3">
        <v>2022</v>
      </c>
      <c r="D187" s="4">
        <v>1</v>
      </c>
      <c r="E187" s="5">
        <v>3198</v>
      </c>
      <c r="F187" s="5">
        <v>642.35</v>
      </c>
      <c r="G187" s="3" t="str">
        <f>VLOOKUP(Registros[[#This Row],[Cliente]],Cliente_Region[],2,FALSE)</f>
        <v>Canada</v>
      </c>
      <c r="H187" s="3" t="str">
        <f>VLOOKUP(Registros[[#This Row],[Producto]],Producto[],2,FALSE)</f>
        <v>DAWNE</v>
      </c>
    </row>
    <row r="188" spans="1:8" ht="20.100000000000001" customHeight="1" x14ac:dyDescent="0.25">
      <c r="A188" s="3" t="s">
        <v>103</v>
      </c>
      <c r="B188" s="3" t="s">
        <v>97</v>
      </c>
      <c r="C188" s="3">
        <v>2022</v>
      </c>
      <c r="D188" s="4">
        <v>2</v>
      </c>
      <c r="E188" s="5">
        <v>2255.75</v>
      </c>
      <c r="F188" s="5">
        <v>587</v>
      </c>
      <c r="G188" s="3" t="str">
        <f>VLOOKUP(Registros[[#This Row],[Cliente]],Cliente_Region[],2,FALSE)</f>
        <v>Canada</v>
      </c>
      <c r="H188" s="3" t="str">
        <f>VLOOKUP(Registros[[#This Row],[Producto]],Producto[],2,FALSE)</f>
        <v>SALF</v>
      </c>
    </row>
    <row r="189" spans="1:8" ht="20.100000000000001" customHeight="1" x14ac:dyDescent="0.25">
      <c r="A189" s="3" t="s">
        <v>103</v>
      </c>
      <c r="B189" s="3" t="s">
        <v>97</v>
      </c>
      <c r="C189" s="3">
        <v>2022</v>
      </c>
      <c r="D189" s="4">
        <v>3</v>
      </c>
      <c r="E189" s="5">
        <v>2540</v>
      </c>
      <c r="F189" s="5">
        <v>698.75</v>
      </c>
      <c r="G189" s="3" t="str">
        <f>VLOOKUP(Registros[[#This Row],[Cliente]],Cliente_Region[],2,FALSE)</f>
        <v>Canada</v>
      </c>
      <c r="H189" s="3" t="str">
        <f>VLOOKUP(Registros[[#This Row],[Producto]],Producto[],2,FALSE)</f>
        <v>SALF</v>
      </c>
    </row>
    <row r="190" spans="1:8" ht="20.100000000000001" customHeight="1" x14ac:dyDescent="0.25">
      <c r="A190" s="3" t="s">
        <v>103</v>
      </c>
      <c r="B190" s="3" t="s">
        <v>97</v>
      </c>
      <c r="C190" s="3">
        <v>2022</v>
      </c>
      <c r="D190" s="4">
        <v>4</v>
      </c>
      <c r="E190" s="5">
        <v>2010</v>
      </c>
      <c r="F190" s="5">
        <v>432</v>
      </c>
      <c r="G190" s="3" t="str">
        <f>VLOOKUP(Registros[[#This Row],[Cliente]],Cliente_Region[],2,FALSE)</f>
        <v>Canada</v>
      </c>
      <c r="H190" s="3" t="str">
        <f>VLOOKUP(Registros[[#This Row],[Producto]],Producto[],2,FALSE)</f>
        <v>SALF</v>
      </c>
    </row>
    <row r="191" spans="1:8" ht="20.100000000000001" customHeight="1" x14ac:dyDescent="0.25">
      <c r="A191" s="3" t="s">
        <v>103</v>
      </c>
      <c r="B191" s="3" t="s">
        <v>97</v>
      </c>
      <c r="C191" s="3">
        <v>2022</v>
      </c>
      <c r="D191" s="4">
        <v>5</v>
      </c>
      <c r="E191" s="5">
        <v>418.75</v>
      </c>
      <c r="F191" s="5">
        <v>79</v>
      </c>
      <c r="G191" s="3" t="str">
        <f>VLOOKUP(Registros[[#This Row],[Cliente]],Cliente_Region[],2,FALSE)</f>
        <v>Canada</v>
      </c>
      <c r="H191" s="3" t="str">
        <f>VLOOKUP(Registros[[#This Row],[Producto]],Producto[],2,FALSE)</f>
        <v>SALF</v>
      </c>
    </row>
    <row r="192" spans="1:8" ht="20.100000000000001" customHeight="1" x14ac:dyDescent="0.25">
      <c r="A192" s="3" t="s">
        <v>103</v>
      </c>
      <c r="B192" s="3" t="s">
        <v>97</v>
      </c>
      <c r="C192" s="3">
        <v>2022</v>
      </c>
      <c r="D192" s="4">
        <v>6</v>
      </c>
      <c r="E192" s="5">
        <v>1480</v>
      </c>
      <c r="F192" s="5">
        <v>197.5</v>
      </c>
      <c r="G192" s="3" t="str">
        <f>VLOOKUP(Registros[[#This Row],[Cliente]],Cliente_Region[],2,FALSE)</f>
        <v>Canada</v>
      </c>
      <c r="H192" s="3" t="str">
        <f>VLOOKUP(Registros[[#This Row],[Producto]],Producto[],2,FALSE)</f>
        <v>SALF</v>
      </c>
    </row>
    <row r="193" spans="1:8" ht="20.100000000000001" customHeight="1" x14ac:dyDescent="0.25">
      <c r="A193" s="3" t="s">
        <v>22</v>
      </c>
      <c r="B193" s="3" t="s">
        <v>97</v>
      </c>
      <c r="C193" s="3">
        <v>2022</v>
      </c>
      <c r="D193" s="4">
        <v>1</v>
      </c>
      <c r="E193" s="5">
        <v>1140</v>
      </c>
      <c r="F193" s="5">
        <v>576.79</v>
      </c>
      <c r="G193" s="3" t="str">
        <f>VLOOKUP(Registros[[#This Row],[Cliente]],Cliente_Region[],2,FALSE)</f>
        <v>Canada</v>
      </c>
      <c r="H193" s="3" t="str">
        <f>VLOOKUP(Registros[[#This Row],[Producto]],Producto[],2,FALSE)</f>
        <v>DONANY</v>
      </c>
    </row>
    <row r="194" spans="1:8" ht="20.100000000000001" customHeight="1" x14ac:dyDescent="0.25">
      <c r="A194" s="3" t="s">
        <v>23</v>
      </c>
      <c r="B194" s="3" t="s">
        <v>97</v>
      </c>
      <c r="C194" s="3">
        <v>2022</v>
      </c>
      <c r="D194" s="4">
        <v>2</v>
      </c>
      <c r="E194" s="5">
        <v>1080</v>
      </c>
      <c r="F194" s="5">
        <v>586.20000000000005</v>
      </c>
      <c r="G194" s="3" t="str">
        <f>VLOOKUP(Registros[[#This Row],[Cliente]],Cliente_Region[],2,FALSE)</f>
        <v>Canada</v>
      </c>
      <c r="H194" s="3" t="str">
        <f>VLOOKUP(Registros[[#This Row],[Producto]],Producto[],2,FALSE)</f>
        <v>GAMBO</v>
      </c>
    </row>
    <row r="195" spans="1:8" ht="20.100000000000001" customHeight="1" x14ac:dyDescent="0.25">
      <c r="A195" s="3" t="s">
        <v>23</v>
      </c>
      <c r="B195" s="3" t="s">
        <v>97</v>
      </c>
      <c r="C195" s="3">
        <v>2022</v>
      </c>
      <c r="D195" s="4">
        <v>3</v>
      </c>
      <c r="E195" s="5">
        <v>1890</v>
      </c>
      <c r="F195" s="5">
        <v>1025.8499999999999</v>
      </c>
      <c r="G195" s="3" t="str">
        <f>VLOOKUP(Registros[[#This Row],[Cliente]],Cliente_Region[],2,FALSE)</f>
        <v>Canada</v>
      </c>
      <c r="H195" s="3" t="str">
        <f>VLOOKUP(Registros[[#This Row],[Producto]],Producto[],2,FALSE)</f>
        <v>GAMBO</v>
      </c>
    </row>
    <row r="196" spans="1:8" ht="20.100000000000001" customHeight="1" x14ac:dyDescent="0.25">
      <c r="A196" s="3" t="s">
        <v>23</v>
      </c>
      <c r="B196" s="3" t="s">
        <v>97</v>
      </c>
      <c r="C196" s="3">
        <v>2022</v>
      </c>
      <c r="D196" s="4">
        <v>4</v>
      </c>
      <c r="E196" s="5">
        <v>810</v>
      </c>
      <c r="F196" s="5">
        <v>439.65</v>
      </c>
      <c r="G196" s="3" t="str">
        <f>VLOOKUP(Registros[[#This Row],[Cliente]],Cliente_Region[],2,FALSE)</f>
        <v>Canada</v>
      </c>
      <c r="H196" s="3" t="str">
        <f>VLOOKUP(Registros[[#This Row],[Producto]],Producto[],2,FALSE)</f>
        <v>GAMBO</v>
      </c>
    </row>
    <row r="197" spans="1:8" ht="20.100000000000001" customHeight="1" x14ac:dyDescent="0.25">
      <c r="A197" s="3" t="s">
        <v>23</v>
      </c>
      <c r="B197" s="3" t="s">
        <v>97</v>
      </c>
      <c r="C197" s="3">
        <v>2022</v>
      </c>
      <c r="D197" s="4">
        <v>5</v>
      </c>
      <c r="E197" s="5">
        <v>180</v>
      </c>
      <c r="F197" s="5">
        <v>97.7</v>
      </c>
      <c r="G197" s="3" t="str">
        <f>VLOOKUP(Registros[[#This Row],[Cliente]],Cliente_Region[],2,FALSE)</f>
        <v>Canada</v>
      </c>
      <c r="H197" s="3" t="str">
        <f>VLOOKUP(Registros[[#This Row],[Producto]],Producto[],2,FALSE)</f>
        <v>GAMBO</v>
      </c>
    </row>
    <row r="198" spans="1:8" ht="20.100000000000001" customHeight="1" x14ac:dyDescent="0.25">
      <c r="A198" s="3" t="s">
        <v>23</v>
      </c>
      <c r="B198" s="3" t="s">
        <v>97</v>
      </c>
      <c r="C198" s="3">
        <v>2022</v>
      </c>
      <c r="D198" s="4">
        <v>6</v>
      </c>
      <c r="E198" s="5">
        <v>90</v>
      </c>
      <c r="F198" s="5">
        <v>48.85</v>
      </c>
      <c r="G198" s="3" t="str">
        <f>VLOOKUP(Registros[[#This Row],[Cliente]],Cliente_Region[],2,FALSE)</f>
        <v>Canada</v>
      </c>
      <c r="H198" s="3" t="str">
        <f>VLOOKUP(Registros[[#This Row],[Producto]],Producto[],2,FALSE)</f>
        <v>GAMBO</v>
      </c>
    </row>
    <row r="199" spans="1:8" ht="20.100000000000001" customHeight="1" x14ac:dyDescent="0.25">
      <c r="A199" s="3" t="s">
        <v>24</v>
      </c>
      <c r="B199" s="3" t="s">
        <v>97</v>
      </c>
      <c r="C199" s="3">
        <v>2022</v>
      </c>
      <c r="D199" s="4">
        <v>3</v>
      </c>
      <c r="E199" s="5">
        <v>663.75</v>
      </c>
      <c r="F199" s="5">
        <v>253.58</v>
      </c>
      <c r="G199" s="3" t="str">
        <f>VLOOKUP(Registros[[#This Row],[Cliente]],Cliente_Region[],2,FALSE)</f>
        <v>Canada</v>
      </c>
      <c r="H199" s="3" t="str">
        <f>VLOOKUP(Registros[[#This Row],[Producto]],Producto[],2,FALSE)</f>
        <v>GAMBO</v>
      </c>
    </row>
    <row r="200" spans="1:8" ht="20.100000000000001" customHeight="1" x14ac:dyDescent="0.25">
      <c r="A200" s="3" t="s">
        <v>28</v>
      </c>
      <c r="B200" s="3" t="s">
        <v>97</v>
      </c>
      <c r="C200" s="3">
        <v>2022</v>
      </c>
      <c r="D200" s="4">
        <v>4</v>
      </c>
      <c r="E200" s="5">
        <v>780</v>
      </c>
      <c r="F200" s="5">
        <v>172.71</v>
      </c>
      <c r="G200" s="3" t="str">
        <f>VLOOKUP(Registros[[#This Row],[Cliente]],Cliente_Region[],2,FALSE)</f>
        <v>Canada</v>
      </c>
      <c r="H200" s="3" t="str">
        <f>VLOOKUP(Registros[[#This Row],[Producto]],Producto[],2,FALSE)</f>
        <v>SALF</v>
      </c>
    </row>
    <row r="201" spans="1:8" ht="20.100000000000001" customHeight="1" x14ac:dyDescent="0.25">
      <c r="A201" s="3" t="s">
        <v>29</v>
      </c>
      <c r="B201" s="3" t="s">
        <v>97</v>
      </c>
      <c r="C201" s="3">
        <v>2022</v>
      </c>
      <c r="D201" s="4">
        <v>5</v>
      </c>
      <c r="E201" s="5">
        <v>0</v>
      </c>
      <c r="F201" s="5">
        <v>-2.71</v>
      </c>
      <c r="G201" s="3" t="str">
        <f>VLOOKUP(Registros[[#This Row],[Cliente]],Cliente_Region[],2,FALSE)</f>
        <v>Canada</v>
      </c>
      <c r="H201" s="3" t="str">
        <f>VLOOKUP(Registros[[#This Row],[Producto]],Producto[],2,FALSE)</f>
        <v>LAX</v>
      </c>
    </row>
    <row r="202" spans="1:8" ht="20.100000000000001" customHeight="1" x14ac:dyDescent="0.25">
      <c r="A202" s="3" t="s">
        <v>30</v>
      </c>
      <c r="B202" s="3" t="s">
        <v>97</v>
      </c>
      <c r="C202" s="3">
        <v>2022</v>
      </c>
      <c r="D202" s="4">
        <v>1</v>
      </c>
      <c r="E202" s="5">
        <v>1445</v>
      </c>
      <c r="F202" s="5">
        <v>639.53</v>
      </c>
      <c r="G202" s="3" t="str">
        <f>VLOOKUP(Registros[[#This Row],[Cliente]],Cliente_Region[],2,FALSE)</f>
        <v>Canada</v>
      </c>
      <c r="H202" s="3" t="str">
        <f>VLOOKUP(Registros[[#This Row],[Producto]],Producto[],2,FALSE)</f>
        <v>CHOTUS</v>
      </c>
    </row>
    <row r="203" spans="1:8" ht="20.100000000000001" customHeight="1" x14ac:dyDescent="0.25">
      <c r="A203" s="3" t="s">
        <v>31</v>
      </c>
      <c r="B203" s="3" t="s">
        <v>97</v>
      </c>
      <c r="C203" s="3">
        <v>2022</v>
      </c>
      <c r="D203" s="4">
        <v>2</v>
      </c>
      <c r="E203" s="5">
        <v>765</v>
      </c>
      <c r="F203" s="5">
        <v>395.21</v>
      </c>
      <c r="G203" s="3" t="str">
        <f>VLOOKUP(Registros[[#This Row],[Cliente]],Cliente_Region[],2,FALSE)</f>
        <v>Canada</v>
      </c>
      <c r="H203" s="3" t="str">
        <f>VLOOKUP(Registros[[#This Row],[Producto]],Producto[],2,FALSE)</f>
        <v>CHOTUS</v>
      </c>
    </row>
    <row r="204" spans="1:8" ht="20.100000000000001" customHeight="1" x14ac:dyDescent="0.25">
      <c r="A204" s="3" t="s">
        <v>31</v>
      </c>
      <c r="B204" s="3" t="s">
        <v>97</v>
      </c>
      <c r="C204" s="3">
        <v>2022</v>
      </c>
      <c r="D204" s="4">
        <v>3</v>
      </c>
      <c r="E204" s="5">
        <v>1020</v>
      </c>
      <c r="F204" s="5">
        <v>538.91999999999996</v>
      </c>
      <c r="G204" s="3" t="str">
        <f>VLOOKUP(Registros[[#This Row],[Cliente]],Cliente_Region[],2,FALSE)</f>
        <v>Canada</v>
      </c>
      <c r="H204" s="3" t="str">
        <f>VLOOKUP(Registros[[#This Row],[Producto]],Producto[],2,FALSE)</f>
        <v>CHOTUS</v>
      </c>
    </row>
    <row r="205" spans="1:8" ht="20.100000000000001" customHeight="1" x14ac:dyDescent="0.25">
      <c r="A205" s="3" t="s">
        <v>31</v>
      </c>
      <c r="B205" s="3" t="s">
        <v>97</v>
      </c>
      <c r="C205" s="3">
        <v>2022</v>
      </c>
      <c r="D205" s="4">
        <v>4</v>
      </c>
      <c r="E205" s="5">
        <v>1062.5</v>
      </c>
      <c r="F205" s="5">
        <v>517.39</v>
      </c>
      <c r="G205" s="3" t="str">
        <f>VLOOKUP(Registros[[#This Row],[Cliente]],Cliente_Region[],2,FALSE)</f>
        <v>Canada</v>
      </c>
      <c r="H205" s="3" t="str">
        <f>VLOOKUP(Registros[[#This Row],[Producto]],Producto[],2,FALSE)</f>
        <v>CHOTUS</v>
      </c>
    </row>
    <row r="206" spans="1:8" ht="20.100000000000001" customHeight="1" x14ac:dyDescent="0.25">
      <c r="A206" s="3" t="s">
        <v>31</v>
      </c>
      <c r="B206" s="3" t="s">
        <v>97</v>
      </c>
      <c r="C206" s="3">
        <v>2022</v>
      </c>
      <c r="D206" s="4">
        <v>5</v>
      </c>
      <c r="E206" s="5">
        <v>935</v>
      </c>
      <c r="F206" s="5">
        <v>494.01</v>
      </c>
      <c r="G206" s="3" t="str">
        <f>VLOOKUP(Registros[[#This Row],[Cliente]],Cliente_Region[],2,FALSE)</f>
        <v>Canada</v>
      </c>
      <c r="H206" s="3" t="str">
        <f>VLOOKUP(Registros[[#This Row],[Producto]],Producto[],2,FALSE)</f>
        <v>CHOTUS</v>
      </c>
    </row>
    <row r="207" spans="1:8" ht="20.100000000000001" customHeight="1" x14ac:dyDescent="0.25">
      <c r="A207" s="3" t="s">
        <v>31</v>
      </c>
      <c r="B207" s="3" t="s">
        <v>97</v>
      </c>
      <c r="C207" s="3">
        <v>2022</v>
      </c>
      <c r="D207" s="4">
        <v>6</v>
      </c>
      <c r="E207" s="5">
        <v>1445</v>
      </c>
      <c r="F207" s="5">
        <v>763.46</v>
      </c>
      <c r="G207" s="3" t="str">
        <f>VLOOKUP(Registros[[#This Row],[Cliente]],Cliente_Region[],2,FALSE)</f>
        <v>Canada</v>
      </c>
      <c r="H207" s="3" t="str">
        <f>VLOOKUP(Registros[[#This Row],[Producto]],Producto[],2,FALSE)</f>
        <v>CHOTUS</v>
      </c>
    </row>
    <row r="208" spans="1:8" ht="20.100000000000001" customHeight="1" x14ac:dyDescent="0.25">
      <c r="A208" s="3" t="s">
        <v>32</v>
      </c>
      <c r="B208" s="3" t="s">
        <v>97</v>
      </c>
      <c r="C208" s="3">
        <v>2022</v>
      </c>
      <c r="D208" s="4">
        <v>4</v>
      </c>
      <c r="E208" s="5">
        <v>870</v>
      </c>
      <c r="F208" s="5">
        <v>267.64999999999998</v>
      </c>
      <c r="G208" s="3" t="str">
        <f>VLOOKUP(Registros[[#This Row],[Cliente]],Cliente_Region[],2,FALSE)</f>
        <v>Canada</v>
      </c>
      <c r="H208" s="3" t="str">
        <f>VLOOKUP(Registros[[#This Row],[Producto]],Producto[],2,FALSE)</f>
        <v>GAMBO</v>
      </c>
    </row>
    <row r="209" spans="1:8" ht="20.100000000000001" customHeight="1" x14ac:dyDescent="0.25">
      <c r="A209" s="3" t="s">
        <v>33</v>
      </c>
      <c r="B209" s="3" t="s">
        <v>97</v>
      </c>
      <c r="C209" s="3">
        <v>2022</v>
      </c>
      <c r="D209" s="4">
        <v>5</v>
      </c>
      <c r="E209" s="5">
        <v>0</v>
      </c>
      <c r="F209" s="5">
        <v>-97.65</v>
      </c>
      <c r="G209" s="3" t="str">
        <f>VLOOKUP(Registros[[#This Row],[Cliente]],Cliente_Region[],2,FALSE)</f>
        <v>Canada</v>
      </c>
      <c r="H209" s="3" t="str">
        <f>VLOOKUP(Registros[[#This Row],[Producto]],Producto[],2,FALSE)</f>
        <v>GAMBO</v>
      </c>
    </row>
    <row r="210" spans="1:8" ht="20.100000000000001" customHeight="1" x14ac:dyDescent="0.25">
      <c r="A210" s="3" t="s">
        <v>34</v>
      </c>
      <c r="B210" s="3" t="s">
        <v>97</v>
      </c>
      <c r="C210" s="3">
        <v>2022</v>
      </c>
      <c r="D210" s="4">
        <v>1</v>
      </c>
      <c r="E210" s="5">
        <v>1882.5</v>
      </c>
      <c r="F210" s="5">
        <v>840.51</v>
      </c>
      <c r="G210" s="3" t="str">
        <f>VLOOKUP(Registros[[#This Row],[Cliente]],Cliente_Region[],2,FALSE)</f>
        <v>Canada</v>
      </c>
      <c r="H210" s="3" t="str">
        <f>VLOOKUP(Registros[[#This Row],[Producto]],Producto[],2,FALSE)</f>
        <v>DONANY</v>
      </c>
    </row>
    <row r="211" spans="1:8" ht="20.100000000000001" customHeight="1" x14ac:dyDescent="0.25">
      <c r="A211" s="3" t="s">
        <v>35</v>
      </c>
      <c r="B211" s="3" t="s">
        <v>97</v>
      </c>
      <c r="C211" s="3">
        <v>2022</v>
      </c>
      <c r="D211" s="4">
        <v>2</v>
      </c>
      <c r="E211" s="5">
        <v>850</v>
      </c>
      <c r="F211" s="5">
        <v>462.5</v>
      </c>
      <c r="G211" s="3" t="str">
        <f>VLOOKUP(Registros[[#This Row],[Cliente]],Cliente_Region[],2,FALSE)</f>
        <v>Canada</v>
      </c>
      <c r="H211" s="3" t="str">
        <f>VLOOKUP(Registros[[#This Row],[Producto]],Producto[],2,FALSE)</f>
        <v>MOC</v>
      </c>
    </row>
    <row r="212" spans="1:8" ht="20.100000000000001" customHeight="1" x14ac:dyDescent="0.25">
      <c r="A212" s="3" t="s">
        <v>35</v>
      </c>
      <c r="B212" s="3" t="s">
        <v>97</v>
      </c>
      <c r="C212" s="3">
        <v>2022</v>
      </c>
      <c r="D212" s="4">
        <v>3</v>
      </c>
      <c r="E212" s="5">
        <v>1275</v>
      </c>
      <c r="F212" s="5">
        <v>693.75</v>
      </c>
      <c r="G212" s="3" t="str">
        <f>VLOOKUP(Registros[[#This Row],[Cliente]],Cliente_Region[],2,FALSE)</f>
        <v>Canada</v>
      </c>
      <c r="H212" s="3" t="str">
        <f>VLOOKUP(Registros[[#This Row],[Producto]],Producto[],2,FALSE)</f>
        <v>MOC</v>
      </c>
    </row>
    <row r="213" spans="1:8" ht="20.100000000000001" customHeight="1" x14ac:dyDescent="0.25">
      <c r="A213" s="3" t="s">
        <v>35</v>
      </c>
      <c r="B213" s="3" t="s">
        <v>97</v>
      </c>
      <c r="C213" s="3">
        <v>2022</v>
      </c>
      <c r="D213" s="4">
        <v>4</v>
      </c>
      <c r="E213" s="5">
        <v>1105</v>
      </c>
      <c r="F213" s="5">
        <v>557.38</v>
      </c>
      <c r="G213" s="3" t="str">
        <f>VLOOKUP(Registros[[#This Row],[Cliente]],Cliente_Region[],2,FALSE)</f>
        <v>Canada</v>
      </c>
      <c r="H213" s="3" t="str">
        <f>VLOOKUP(Registros[[#This Row],[Producto]],Producto[],2,FALSE)</f>
        <v>MOC</v>
      </c>
    </row>
    <row r="214" spans="1:8" ht="20.100000000000001" customHeight="1" x14ac:dyDescent="0.25">
      <c r="A214" s="3" t="s">
        <v>35</v>
      </c>
      <c r="B214" s="3" t="s">
        <v>97</v>
      </c>
      <c r="C214" s="3">
        <v>2022</v>
      </c>
      <c r="D214" s="4">
        <v>5</v>
      </c>
      <c r="E214" s="5">
        <v>1105</v>
      </c>
      <c r="F214" s="5">
        <v>601.25</v>
      </c>
      <c r="G214" s="3" t="str">
        <f>VLOOKUP(Registros[[#This Row],[Cliente]],Cliente_Region[],2,FALSE)</f>
        <v>Canada</v>
      </c>
      <c r="H214" s="3" t="str">
        <f>VLOOKUP(Registros[[#This Row],[Producto]],Producto[],2,FALSE)</f>
        <v>MOC</v>
      </c>
    </row>
    <row r="215" spans="1:8" ht="20.100000000000001" customHeight="1" x14ac:dyDescent="0.25">
      <c r="A215" s="3" t="s">
        <v>35</v>
      </c>
      <c r="B215" s="3" t="s">
        <v>97</v>
      </c>
      <c r="C215" s="3">
        <v>2022</v>
      </c>
      <c r="D215" s="4">
        <v>6</v>
      </c>
      <c r="E215" s="5">
        <v>1487.5</v>
      </c>
      <c r="F215" s="5">
        <v>809.37</v>
      </c>
      <c r="G215" s="3" t="str">
        <f>VLOOKUP(Registros[[#This Row],[Cliente]],Cliente_Region[],2,FALSE)</f>
        <v>Canada</v>
      </c>
      <c r="H215" s="3" t="str">
        <f>VLOOKUP(Registros[[#This Row],[Producto]],Producto[],2,FALSE)</f>
        <v>MOC</v>
      </c>
    </row>
    <row r="216" spans="1:8" ht="20.100000000000001" customHeight="1" x14ac:dyDescent="0.25">
      <c r="A216" s="3" t="s">
        <v>104</v>
      </c>
      <c r="B216" s="3" t="s">
        <v>97</v>
      </c>
      <c r="C216" s="3">
        <v>2022</v>
      </c>
      <c r="D216" s="4">
        <v>1</v>
      </c>
      <c r="E216" s="5">
        <v>8492.5</v>
      </c>
      <c r="F216" s="5">
        <v>925</v>
      </c>
      <c r="G216" s="3" t="str">
        <f>VLOOKUP(Registros[[#This Row],[Cliente]],Cliente_Region[],2,FALSE)</f>
        <v>Canada</v>
      </c>
      <c r="H216" s="3" t="str">
        <f>VLOOKUP(Registros[[#This Row],[Producto]],Producto[],2,FALSE)</f>
        <v>DONANY</v>
      </c>
    </row>
    <row r="217" spans="1:8" ht="20.100000000000001" customHeight="1" x14ac:dyDescent="0.25">
      <c r="A217" s="3" t="s">
        <v>105</v>
      </c>
      <c r="B217" s="3" t="s">
        <v>97</v>
      </c>
      <c r="C217" s="3">
        <v>2022</v>
      </c>
      <c r="D217" s="4">
        <v>2</v>
      </c>
      <c r="E217" s="5">
        <v>7213.75</v>
      </c>
      <c r="F217" s="5">
        <v>1439.8</v>
      </c>
      <c r="G217" s="3" t="str">
        <f>VLOOKUP(Registros[[#This Row],[Cliente]],Cliente_Region[],2,FALSE)</f>
        <v>Canada</v>
      </c>
      <c r="H217" s="3" t="str">
        <f>VLOOKUP(Registros[[#This Row],[Producto]],Producto[],2,FALSE)</f>
        <v>DAWNE</v>
      </c>
    </row>
    <row r="218" spans="1:8" ht="20.100000000000001" customHeight="1" x14ac:dyDescent="0.25">
      <c r="A218" s="3" t="s">
        <v>105</v>
      </c>
      <c r="B218" s="3" t="s">
        <v>97</v>
      </c>
      <c r="C218" s="3">
        <v>2022</v>
      </c>
      <c r="D218" s="4">
        <v>3</v>
      </c>
      <c r="E218" s="5">
        <v>8379</v>
      </c>
      <c r="F218" s="5">
        <v>1764</v>
      </c>
      <c r="G218" s="3" t="str">
        <f>VLOOKUP(Registros[[#This Row],[Cliente]],Cliente_Region[],2,FALSE)</f>
        <v>Canada</v>
      </c>
      <c r="H218" s="3" t="str">
        <f>VLOOKUP(Registros[[#This Row],[Producto]],Producto[],2,FALSE)</f>
        <v>DAWNE</v>
      </c>
    </row>
    <row r="219" spans="1:8" ht="20.100000000000001" customHeight="1" x14ac:dyDescent="0.25">
      <c r="A219" s="3" t="s">
        <v>105</v>
      </c>
      <c r="B219" s="3" t="s">
        <v>97</v>
      </c>
      <c r="C219" s="3">
        <v>2022</v>
      </c>
      <c r="D219" s="4">
        <v>4</v>
      </c>
      <c r="E219" s="5">
        <v>6483.75</v>
      </c>
      <c r="F219" s="5">
        <v>1365</v>
      </c>
      <c r="G219" s="3" t="str">
        <f>VLOOKUP(Registros[[#This Row],[Cliente]],Cliente_Region[],2,FALSE)</f>
        <v>Canada</v>
      </c>
      <c r="H219" s="3" t="str">
        <f>VLOOKUP(Registros[[#This Row],[Producto]],Producto[],2,FALSE)</f>
        <v>DAWNE</v>
      </c>
    </row>
    <row r="220" spans="1:8" ht="20.100000000000001" customHeight="1" x14ac:dyDescent="0.25">
      <c r="A220" s="3" t="s">
        <v>105</v>
      </c>
      <c r="B220" s="3" t="s">
        <v>97</v>
      </c>
      <c r="C220" s="3">
        <v>2022</v>
      </c>
      <c r="D220" s="4">
        <v>5</v>
      </c>
      <c r="E220" s="5">
        <v>5885.25</v>
      </c>
      <c r="F220" s="5">
        <v>1239</v>
      </c>
      <c r="G220" s="3" t="str">
        <f>VLOOKUP(Registros[[#This Row],[Cliente]],Cliente_Region[],2,FALSE)</f>
        <v>Canada</v>
      </c>
      <c r="H220" s="3" t="str">
        <f>VLOOKUP(Registros[[#This Row],[Producto]],Producto[],2,FALSE)</f>
        <v>DAWNE</v>
      </c>
    </row>
    <row r="221" spans="1:8" ht="20.100000000000001" customHeight="1" x14ac:dyDescent="0.25">
      <c r="A221" s="3" t="s">
        <v>105</v>
      </c>
      <c r="B221" s="3" t="s">
        <v>97</v>
      </c>
      <c r="C221" s="3">
        <v>2022</v>
      </c>
      <c r="D221" s="4">
        <v>6</v>
      </c>
      <c r="E221" s="5">
        <v>4987.5</v>
      </c>
      <c r="F221" s="5">
        <v>1050</v>
      </c>
      <c r="G221" s="3" t="str">
        <f>VLOOKUP(Registros[[#This Row],[Cliente]],Cliente_Region[],2,FALSE)</f>
        <v>Canada</v>
      </c>
      <c r="H221" s="3" t="str">
        <f>VLOOKUP(Registros[[#This Row],[Producto]],Producto[],2,FALSE)</f>
        <v>DAWNE</v>
      </c>
    </row>
    <row r="222" spans="1:8" ht="20.100000000000001" customHeight="1" x14ac:dyDescent="0.25">
      <c r="A222" s="3" t="s">
        <v>106</v>
      </c>
      <c r="B222" s="3" t="s">
        <v>97</v>
      </c>
      <c r="C222" s="3">
        <v>2022</v>
      </c>
      <c r="D222" s="4">
        <v>5</v>
      </c>
      <c r="E222" s="5">
        <v>55.5</v>
      </c>
      <c r="F222" s="5">
        <v>31.34</v>
      </c>
      <c r="G222" s="3" t="str">
        <f>VLOOKUP(Registros[[#This Row],[Cliente]],Cliente_Region[],2,FALSE)</f>
        <v>Canada</v>
      </c>
      <c r="H222" s="3" t="str">
        <f>VLOOKUP(Registros[[#This Row],[Producto]],Producto[],2,FALSE)</f>
        <v>MOC</v>
      </c>
    </row>
    <row r="223" spans="1:8" ht="20.100000000000001" customHeight="1" x14ac:dyDescent="0.25">
      <c r="A223" s="3" t="s">
        <v>108</v>
      </c>
      <c r="B223" s="3" t="s">
        <v>97</v>
      </c>
      <c r="C223" s="3">
        <v>2022</v>
      </c>
      <c r="D223" s="4">
        <v>4</v>
      </c>
      <c r="E223" s="5">
        <v>107.5</v>
      </c>
      <c r="F223" s="5">
        <v>0</v>
      </c>
      <c r="G223" s="3" t="str">
        <f>VLOOKUP(Registros[[#This Row],[Cliente]],Cliente_Region[],2,FALSE)</f>
        <v>Canada</v>
      </c>
      <c r="H223" s="3" t="str">
        <f>VLOOKUP(Registros[[#This Row],[Producto]],Producto[],2,FALSE)</f>
        <v>LAX</v>
      </c>
    </row>
    <row r="224" spans="1:8" ht="20.100000000000001" customHeight="1" x14ac:dyDescent="0.25">
      <c r="A224" s="3" t="s">
        <v>42</v>
      </c>
      <c r="B224" s="3" t="s">
        <v>97</v>
      </c>
      <c r="C224" s="3">
        <v>2022</v>
      </c>
      <c r="D224" s="4">
        <v>1</v>
      </c>
      <c r="E224" s="5">
        <v>989</v>
      </c>
      <c r="F224" s="5">
        <v>509.66</v>
      </c>
      <c r="G224" s="3" t="str">
        <f>VLOOKUP(Registros[[#This Row],[Cliente]],Cliente_Region[],2,FALSE)</f>
        <v>Canada</v>
      </c>
      <c r="H224" s="3" t="str">
        <f>VLOOKUP(Registros[[#This Row],[Producto]],Producto[],2,FALSE)</f>
        <v>GAMBO</v>
      </c>
    </row>
    <row r="225" spans="1:8" ht="20.100000000000001" customHeight="1" x14ac:dyDescent="0.25">
      <c r="A225" s="3" t="s">
        <v>43</v>
      </c>
      <c r="B225" s="3" t="s">
        <v>97</v>
      </c>
      <c r="C225" s="3">
        <v>2022</v>
      </c>
      <c r="D225" s="4">
        <v>2</v>
      </c>
      <c r="E225" s="5">
        <v>940.5</v>
      </c>
      <c r="F225" s="5">
        <v>505.72</v>
      </c>
      <c r="G225" s="3" t="str">
        <f>VLOOKUP(Registros[[#This Row],[Cliente]],Cliente_Region[],2,FALSE)</f>
        <v>Canada</v>
      </c>
      <c r="H225" s="3" t="str">
        <f>VLOOKUP(Registros[[#This Row],[Producto]],Producto[],2,FALSE)</f>
        <v>MOC</v>
      </c>
    </row>
    <row r="226" spans="1:8" ht="20.100000000000001" customHeight="1" x14ac:dyDescent="0.25">
      <c r="A226" s="3" t="s">
        <v>43</v>
      </c>
      <c r="B226" s="3" t="s">
        <v>97</v>
      </c>
      <c r="C226" s="3">
        <v>2022</v>
      </c>
      <c r="D226" s="4">
        <v>3</v>
      </c>
      <c r="E226" s="5">
        <v>1102.5</v>
      </c>
      <c r="F226" s="5">
        <v>600.86</v>
      </c>
      <c r="G226" s="3" t="str">
        <f>VLOOKUP(Registros[[#This Row],[Cliente]],Cliente_Region[],2,FALSE)</f>
        <v>Canada</v>
      </c>
      <c r="H226" s="3" t="str">
        <f>VLOOKUP(Registros[[#This Row],[Producto]],Producto[],2,FALSE)</f>
        <v>MOC</v>
      </c>
    </row>
    <row r="227" spans="1:8" ht="20.100000000000001" customHeight="1" x14ac:dyDescent="0.25">
      <c r="A227" s="3" t="s">
        <v>43</v>
      </c>
      <c r="B227" s="3" t="s">
        <v>97</v>
      </c>
      <c r="C227" s="3">
        <v>2022</v>
      </c>
      <c r="D227" s="4">
        <v>4</v>
      </c>
      <c r="E227" s="5">
        <v>661.5</v>
      </c>
      <c r="F227" s="5">
        <v>360.51</v>
      </c>
      <c r="G227" s="3" t="str">
        <f>VLOOKUP(Registros[[#This Row],[Cliente]],Cliente_Region[],2,FALSE)</f>
        <v>Canada</v>
      </c>
      <c r="H227" s="3" t="str">
        <f>VLOOKUP(Registros[[#This Row],[Producto]],Producto[],2,FALSE)</f>
        <v>MOC</v>
      </c>
    </row>
    <row r="228" spans="1:8" ht="20.100000000000001" customHeight="1" x14ac:dyDescent="0.25">
      <c r="A228" s="3" t="s">
        <v>43</v>
      </c>
      <c r="B228" s="3" t="s">
        <v>97</v>
      </c>
      <c r="C228" s="3">
        <v>2022</v>
      </c>
      <c r="D228" s="4">
        <v>5</v>
      </c>
      <c r="E228" s="5">
        <v>493</v>
      </c>
      <c r="F228" s="5">
        <v>247.76</v>
      </c>
      <c r="G228" s="3" t="str">
        <f>VLOOKUP(Registros[[#This Row],[Cliente]],Cliente_Region[],2,FALSE)</f>
        <v>Canada</v>
      </c>
      <c r="H228" s="3" t="str">
        <f>VLOOKUP(Registros[[#This Row],[Producto]],Producto[],2,FALSE)</f>
        <v>MOC</v>
      </c>
    </row>
    <row r="229" spans="1:8" ht="20.100000000000001" customHeight="1" x14ac:dyDescent="0.25">
      <c r="A229" s="3" t="s">
        <v>43</v>
      </c>
      <c r="B229" s="3" t="s">
        <v>97</v>
      </c>
      <c r="C229" s="3">
        <v>2022</v>
      </c>
      <c r="D229" s="4">
        <v>6</v>
      </c>
      <c r="E229" s="5">
        <v>269.5</v>
      </c>
      <c r="F229" s="5">
        <v>146.86000000000001</v>
      </c>
      <c r="G229" s="3" t="str">
        <f>VLOOKUP(Registros[[#This Row],[Cliente]],Cliente_Region[],2,FALSE)</f>
        <v>Canada</v>
      </c>
      <c r="H229" s="3" t="str">
        <f>VLOOKUP(Registros[[#This Row],[Producto]],Producto[],2,FALSE)</f>
        <v>MOC</v>
      </c>
    </row>
    <row r="230" spans="1:8" ht="20.100000000000001" customHeight="1" x14ac:dyDescent="0.25">
      <c r="A230" s="3" t="s">
        <v>110</v>
      </c>
      <c r="B230" s="3" t="s">
        <v>97</v>
      </c>
      <c r="C230" s="3">
        <v>2022</v>
      </c>
      <c r="D230" s="4">
        <v>1</v>
      </c>
      <c r="E230" s="5">
        <v>5705</v>
      </c>
      <c r="F230" s="5">
        <v>1838.17</v>
      </c>
      <c r="G230" s="3" t="str">
        <f>VLOOKUP(Registros[[#This Row],[Cliente]],Cliente_Region[],2,FALSE)</f>
        <v>Canada</v>
      </c>
      <c r="H230" s="3" t="str">
        <f>VLOOKUP(Registros[[#This Row],[Producto]],Producto[],2,FALSE)</f>
        <v>DONANY</v>
      </c>
    </row>
    <row r="231" spans="1:8" ht="20.100000000000001" customHeight="1" x14ac:dyDescent="0.25">
      <c r="A231" s="3" t="s">
        <v>111</v>
      </c>
      <c r="B231" s="3" t="s">
        <v>97</v>
      </c>
      <c r="C231" s="3">
        <v>2022</v>
      </c>
      <c r="D231" s="4">
        <v>2</v>
      </c>
      <c r="E231" s="5">
        <v>4916.25</v>
      </c>
      <c r="F231" s="5">
        <v>1712.79</v>
      </c>
      <c r="G231" s="3" t="str">
        <f>VLOOKUP(Registros[[#This Row],[Cliente]],Cliente_Region[],2,FALSE)</f>
        <v>Canada</v>
      </c>
      <c r="H231" s="3" t="str">
        <f>VLOOKUP(Registros[[#This Row],[Producto]],Producto[],2,FALSE)</f>
        <v>QUOKAR</v>
      </c>
    </row>
    <row r="232" spans="1:8" ht="20.100000000000001" customHeight="1" x14ac:dyDescent="0.25">
      <c r="A232" s="3" t="s">
        <v>111</v>
      </c>
      <c r="B232" s="3" t="s">
        <v>97</v>
      </c>
      <c r="C232" s="3">
        <v>2022</v>
      </c>
      <c r="D232" s="4">
        <v>3</v>
      </c>
      <c r="E232" s="5">
        <v>3825</v>
      </c>
      <c r="F232" s="5">
        <v>1360.8</v>
      </c>
      <c r="G232" s="3" t="str">
        <f>VLOOKUP(Registros[[#This Row],[Cliente]],Cliente_Region[],2,FALSE)</f>
        <v>Canada</v>
      </c>
      <c r="H232" s="3" t="str">
        <f>VLOOKUP(Registros[[#This Row],[Producto]],Producto[],2,FALSE)</f>
        <v>QUOKAR</v>
      </c>
    </row>
    <row r="233" spans="1:8" ht="20.100000000000001" customHeight="1" x14ac:dyDescent="0.25">
      <c r="A233" s="3" t="s">
        <v>111</v>
      </c>
      <c r="B233" s="3" t="s">
        <v>97</v>
      </c>
      <c r="C233" s="3">
        <v>2022</v>
      </c>
      <c r="D233" s="4">
        <v>4</v>
      </c>
      <c r="E233" s="5">
        <v>4972.5</v>
      </c>
      <c r="F233" s="5">
        <v>1769.04</v>
      </c>
      <c r="G233" s="3" t="str">
        <f>VLOOKUP(Registros[[#This Row],[Cliente]],Cliente_Region[],2,FALSE)</f>
        <v>Canada</v>
      </c>
      <c r="H233" s="3" t="str">
        <f>VLOOKUP(Registros[[#This Row],[Producto]],Producto[],2,FALSE)</f>
        <v>QUOKAR</v>
      </c>
    </row>
    <row r="234" spans="1:8" ht="20.100000000000001" customHeight="1" x14ac:dyDescent="0.25">
      <c r="A234" s="3" t="s">
        <v>111</v>
      </c>
      <c r="B234" s="3" t="s">
        <v>97</v>
      </c>
      <c r="C234" s="3">
        <v>2022</v>
      </c>
      <c r="D234" s="4">
        <v>5</v>
      </c>
      <c r="E234" s="5">
        <v>5992.5</v>
      </c>
      <c r="F234" s="5">
        <v>2131.92</v>
      </c>
      <c r="G234" s="3" t="str">
        <f>VLOOKUP(Registros[[#This Row],[Cliente]],Cliente_Region[],2,FALSE)</f>
        <v>Canada</v>
      </c>
      <c r="H234" s="3" t="str">
        <f>VLOOKUP(Registros[[#This Row],[Producto]],Producto[],2,FALSE)</f>
        <v>QUOKAR</v>
      </c>
    </row>
    <row r="235" spans="1:8" ht="20.100000000000001" customHeight="1" x14ac:dyDescent="0.25">
      <c r="A235" s="3" t="s">
        <v>111</v>
      </c>
      <c r="B235" s="3" t="s">
        <v>97</v>
      </c>
      <c r="C235" s="3">
        <v>2022</v>
      </c>
      <c r="D235" s="4">
        <v>6</v>
      </c>
      <c r="E235" s="5">
        <v>5355</v>
      </c>
      <c r="F235" s="5">
        <v>1905.12</v>
      </c>
      <c r="G235" s="3" t="str">
        <f>VLOOKUP(Registros[[#This Row],[Cliente]],Cliente_Region[],2,FALSE)</f>
        <v>Canada</v>
      </c>
      <c r="H235" s="3" t="str">
        <f>VLOOKUP(Registros[[#This Row],[Producto]],Producto[],2,FALSE)</f>
        <v>QUOKAR</v>
      </c>
    </row>
    <row r="236" spans="1:8" ht="20.100000000000001" customHeight="1" x14ac:dyDescent="0.25">
      <c r="A236" s="3" t="s">
        <v>46</v>
      </c>
      <c r="B236" s="3" t="s">
        <v>97</v>
      </c>
      <c r="C236" s="3">
        <v>2022</v>
      </c>
      <c r="D236" s="4">
        <v>1</v>
      </c>
      <c r="E236" s="5">
        <v>1465</v>
      </c>
      <c r="F236" s="5">
        <v>913.32</v>
      </c>
      <c r="G236" s="3" t="str">
        <f>VLOOKUP(Registros[[#This Row],[Cliente]],Cliente_Region[],2,FALSE)</f>
        <v>Canada</v>
      </c>
      <c r="H236" s="3" t="str">
        <f>VLOOKUP(Registros[[#This Row],[Producto]],Producto[],2,FALSE)</f>
        <v>QUOKAR</v>
      </c>
    </row>
    <row r="237" spans="1:8" ht="20.100000000000001" customHeight="1" x14ac:dyDescent="0.25">
      <c r="A237" s="3" t="s">
        <v>47</v>
      </c>
      <c r="B237" s="3" t="s">
        <v>97</v>
      </c>
      <c r="C237" s="3">
        <v>2022</v>
      </c>
      <c r="D237" s="4">
        <v>2</v>
      </c>
      <c r="E237" s="5">
        <v>1516</v>
      </c>
      <c r="F237" s="5">
        <v>967.47</v>
      </c>
      <c r="G237" s="3" t="str">
        <f>VLOOKUP(Registros[[#This Row],[Cliente]],Cliente_Region[],2,FALSE)</f>
        <v>Canada</v>
      </c>
      <c r="H237" s="3" t="str">
        <f>VLOOKUP(Registros[[#This Row],[Producto]],Producto[],2,FALSE)</f>
        <v>LAX</v>
      </c>
    </row>
    <row r="238" spans="1:8" ht="20.100000000000001" customHeight="1" x14ac:dyDescent="0.25">
      <c r="A238" s="3" t="s">
        <v>47</v>
      </c>
      <c r="B238" s="3" t="s">
        <v>97</v>
      </c>
      <c r="C238" s="3">
        <v>2022</v>
      </c>
      <c r="D238" s="4">
        <v>3</v>
      </c>
      <c r="E238" s="5">
        <v>1242</v>
      </c>
      <c r="F238" s="5">
        <v>811.66</v>
      </c>
      <c r="G238" s="3" t="str">
        <f>VLOOKUP(Registros[[#This Row],[Cliente]],Cliente_Region[],2,FALSE)</f>
        <v>Canada</v>
      </c>
      <c r="H238" s="3" t="str">
        <f>VLOOKUP(Registros[[#This Row],[Producto]],Producto[],2,FALSE)</f>
        <v>LAX</v>
      </c>
    </row>
    <row r="239" spans="1:8" ht="20.100000000000001" customHeight="1" x14ac:dyDescent="0.25">
      <c r="A239" s="3" t="s">
        <v>47</v>
      </c>
      <c r="B239" s="3" t="s">
        <v>97</v>
      </c>
      <c r="C239" s="3">
        <v>2022</v>
      </c>
      <c r="D239" s="4">
        <v>4</v>
      </c>
      <c r="E239" s="5">
        <v>872.5</v>
      </c>
      <c r="F239" s="5">
        <v>573.65</v>
      </c>
      <c r="G239" s="3" t="str">
        <f>VLOOKUP(Registros[[#This Row],[Cliente]],Cliente_Region[],2,FALSE)</f>
        <v>Canada</v>
      </c>
      <c r="H239" s="3" t="str">
        <f>VLOOKUP(Registros[[#This Row],[Producto]],Producto[],2,FALSE)</f>
        <v>LAX</v>
      </c>
    </row>
    <row r="240" spans="1:8" ht="20.100000000000001" customHeight="1" x14ac:dyDescent="0.25">
      <c r="A240" s="3" t="s">
        <v>47</v>
      </c>
      <c r="B240" s="3" t="s">
        <v>97</v>
      </c>
      <c r="C240" s="3">
        <v>2022</v>
      </c>
      <c r="D240" s="4">
        <v>5</v>
      </c>
      <c r="E240" s="5">
        <v>448.5</v>
      </c>
      <c r="F240" s="5">
        <v>293.10000000000002</v>
      </c>
      <c r="G240" s="3" t="str">
        <f>VLOOKUP(Registros[[#This Row],[Cliente]],Cliente_Region[],2,FALSE)</f>
        <v>Canada</v>
      </c>
      <c r="H240" s="3" t="str">
        <f>VLOOKUP(Registros[[#This Row],[Producto]],Producto[],2,FALSE)</f>
        <v>LAX</v>
      </c>
    </row>
    <row r="241" spans="1:8" ht="20.100000000000001" customHeight="1" x14ac:dyDescent="0.25">
      <c r="A241" s="3" t="s">
        <v>47</v>
      </c>
      <c r="B241" s="3" t="s">
        <v>97</v>
      </c>
      <c r="C241" s="3">
        <v>2022</v>
      </c>
      <c r="D241" s="4">
        <v>6</v>
      </c>
      <c r="E241" s="5">
        <v>448.5</v>
      </c>
      <c r="F241" s="5">
        <v>293.13</v>
      </c>
      <c r="G241" s="3" t="str">
        <f>VLOOKUP(Registros[[#This Row],[Cliente]],Cliente_Region[],2,FALSE)</f>
        <v>Canada</v>
      </c>
      <c r="H241" s="3" t="str">
        <f>VLOOKUP(Registros[[#This Row],[Producto]],Producto[],2,FALSE)</f>
        <v>LAX</v>
      </c>
    </row>
    <row r="242" spans="1:8" ht="20.100000000000001" customHeight="1" x14ac:dyDescent="0.25">
      <c r="A242" s="3" t="s">
        <v>48</v>
      </c>
      <c r="B242" s="3" t="s">
        <v>97</v>
      </c>
      <c r="C242" s="3">
        <v>2022</v>
      </c>
      <c r="D242" s="4">
        <v>1</v>
      </c>
      <c r="E242" s="5">
        <v>2745</v>
      </c>
      <c r="F242" s="5">
        <v>1589.83</v>
      </c>
      <c r="G242" s="3" t="str">
        <f>VLOOKUP(Registros[[#This Row],[Cliente]],Cliente_Region[],2,FALSE)</f>
        <v>Canada</v>
      </c>
      <c r="H242" s="3" t="str">
        <f>VLOOKUP(Registros[[#This Row],[Producto]],Producto[],2,FALSE)</f>
        <v>GAMBO</v>
      </c>
    </row>
    <row r="243" spans="1:8" ht="20.100000000000001" customHeight="1" x14ac:dyDescent="0.25">
      <c r="A243" s="3" t="s">
        <v>49</v>
      </c>
      <c r="B243" s="3" t="s">
        <v>97</v>
      </c>
      <c r="C243" s="3">
        <v>2022</v>
      </c>
      <c r="D243" s="4">
        <v>2</v>
      </c>
      <c r="E243" s="5">
        <v>2276.25</v>
      </c>
      <c r="F243" s="5">
        <v>1427.97</v>
      </c>
      <c r="G243" s="3" t="str">
        <f>VLOOKUP(Registros[[#This Row],[Cliente]],Cliente_Region[],2,FALSE)</f>
        <v>Canada</v>
      </c>
      <c r="H243" s="3" t="str">
        <f>VLOOKUP(Registros[[#This Row],[Producto]],Producto[],2,FALSE)</f>
        <v>CHOTUS</v>
      </c>
    </row>
    <row r="244" spans="1:8" ht="20.100000000000001" customHeight="1" x14ac:dyDescent="0.25">
      <c r="A244" s="3" t="s">
        <v>49</v>
      </c>
      <c r="B244" s="3" t="s">
        <v>97</v>
      </c>
      <c r="C244" s="3">
        <v>2022</v>
      </c>
      <c r="D244" s="4">
        <v>3</v>
      </c>
      <c r="E244" s="5">
        <v>2485</v>
      </c>
      <c r="F244" s="5">
        <v>1571.46</v>
      </c>
      <c r="G244" s="3" t="str">
        <f>VLOOKUP(Registros[[#This Row],[Cliente]],Cliente_Region[],2,FALSE)</f>
        <v>Canada</v>
      </c>
      <c r="H244" s="3" t="str">
        <f>VLOOKUP(Registros[[#This Row],[Producto]],Producto[],2,FALSE)</f>
        <v>CHOTUS</v>
      </c>
    </row>
    <row r="245" spans="1:8" ht="20.100000000000001" customHeight="1" x14ac:dyDescent="0.25">
      <c r="A245" s="3" t="s">
        <v>49</v>
      </c>
      <c r="B245" s="3" t="s">
        <v>97</v>
      </c>
      <c r="C245" s="3">
        <v>2022</v>
      </c>
      <c r="D245" s="4">
        <v>4</v>
      </c>
      <c r="E245" s="5">
        <v>2840</v>
      </c>
      <c r="F245" s="5">
        <v>1763.81</v>
      </c>
      <c r="G245" s="3" t="str">
        <f>VLOOKUP(Registros[[#This Row],[Cliente]],Cliente_Region[],2,FALSE)</f>
        <v>Canada</v>
      </c>
      <c r="H245" s="3" t="str">
        <f>VLOOKUP(Registros[[#This Row],[Producto]],Producto[],2,FALSE)</f>
        <v>CHOTUS</v>
      </c>
    </row>
    <row r="246" spans="1:8" ht="20.100000000000001" customHeight="1" x14ac:dyDescent="0.25">
      <c r="A246" s="3" t="s">
        <v>49</v>
      </c>
      <c r="B246" s="3" t="s">
        <v>97</v>
      </c>
      <c r="C246" s="3">
        <v>2022</v>
      </c>
      <c r="D246" s="4">
        <v>5</v>
      </c>
      <c r="E246" s="5">
        <v>2840</v>
      </c>
      <c r="F246" s="5">
        <v>1795.97</v>
      </c>
      <c r="G246" s="3" t="str">
        <f>VLOOKUP(Registros[[#This Row],[Cliente]],Cliente_Region[],2,FALSE)</f>
        <v>Canada</v>
      </c>
      <c r="H246" s="3" t="str">
        <f>VLOOKUP(Registros[[#This Row],[Producto]],Producto[],2,FALSE)</f>
        <v>CHOTUS</v>
      </c>
    </row>
    <row r="247" spans="1:8" ht="20.100000000000001" customHeight="1" x14ac:dyDescent="0.25">
      <c r="A247" s="3" t="s">
        <v>49</v>
      </c>
      <c r="B247" s="3" t="s">
        <v>97</v>
      </c>
      <c r="C247" s="3">
        <v>2022</v>
      </c>
      <c r="D247" s="4">
        <v>6</v>
      </c>
      <c r="E247" s="5">
        <v>3195</v>
      </c>
      <c r="F247" s="5">
        <v>2020.45</v>
      </c>
      <c r="G247" s="3" t="str">
        <f>VLOOKUP(Registros[[#This Row],[Cliente]],Cliente_Region[],2,FALSE)</f>
        <v>Canada</v>
      </c>
      <c r="H247" s="3" t="str">
        <f>VLOOKUP(Registros[[#This Row],[Producto]],Producto[],2,FALSE)</f>
        <v>CHOTUS</v>
      </c>
    </row>
    <row r="248" spans="1:8" ht="20.100000000000001" customHeight="1" x14ac:dyDescent="0.25">
      <c r="A248" s="3" t="s">
        <v>112</v>
      </c>
      <c r="B248" s="3" t="s">
        <v>97</v>
      </c>
      <c r="C248" s="3">
        <v>2022</v>
      </c>
      <c r="D248" s="4">
        <v>3</v>
      </c>
      <c r="E248" s="5">
        <v>34.25</v>
      </c>
      <c r="F248" s="5">
        <v>8.64</v>
      </c>
      <c r="G248" s="3" t="str">
        <f>VLOOKUP(Registros[[#This Row],[Cliente]],Cliente_Region[],2,FALSE)</f>
        <v>Canada</v>
      </c>
      <c r="H248" s="3" t="str">
        <f>VLOOKUP(Registros[[#This Row],[Producto]],Producto[],2,FALSE)</f>
        <v>DONANY</v>
      </c>
    </row>
    <row r="249" spans="1:8" ht="20.100000000000001" customHeight="1" x14ac:dyDescent="0.25">
      <c r="A249" s="3" t="s">
        <v>114</v>
      </c>
      <c r="B249" s="3" t="s">
        <v>97</v>
      </c>
      <c r="C249" s="3">
        <v>2022</v>
      </c>
      <c r="D249" s="4">
        <v>3</v>
      </c>
      <c r="E249" s="5">
        <v>20</v>
      </c>
      <c r="F249" s="5">
        <v>9.9600000000000009</v>
      </c>
      <c r="G249" s="3" t="str">
        <f>VLOOKUP(Registros[[#This Row],[Cliente]],Cliente_Region[],2,FALSE)</f>
        <v>Canada</v>
      </c>
      <c r="H249" s="3" t="str">
        <f>VLOOKUP(Registros[[#This Row],[Producto]],Producto[],2,FALSE)</f>
        <v>DAWNE</v>
      </c>
    </row>
    <row r="250" spans="1:8" ht="20.100000000000001" customHeight="1" x14ac:dyDescent="0.25">
      <c r="A250" s="3" t="s">
        <v>116</v>
      </c>
      <c r="B250" s="3" t="s">
        <v>97</v>
      </c>
      <c r="C250" s="3">
        <v>2022</v>
      </c>
      <c r="D250" s="4">
        <v>3</v>
      </c>
      <c r="E250" s="5">
        <v>21.25</v>
      </c>
      <c r="F250" s="5">
        <v>6.33</v>
      </c>
      <c r="G250" s="3" t="str">
        <f>VLOOKUP(Registros[[#This Row],[Cliente]],Cliente_Region[],2,FALSE)</f>
        <v>Canada</v>
      </c>
      <c r="H250" s="3" t="str">
        <f>VLOOKUP(Registros[[#This Row],[Producto]],Producto[],2,FALSE)</f>
        <v>QUOKAR</v>
      </c>
    </row>
    <row r="251" spans="1:8" ht="20.100000000000001" customHeight="1" x14ac:dyDescent="0.25">
      <c r="A251" s="3" t="s">
        <v>118</v>
      </c>
      <c r="B251" s="3" t="s">
        <v>97</v>
      </c>
      <c r="C251" s="3">
        <v>2022</v>
      </c>
      <c r="D251" s="4">
        <v>4</v>
      </c>
      <c r="E251" s="5">
        <v>1428</v>
      </c>
      <c r="F251" s="5">
        <v>1036.03</v>
      </c>
      <c r="G251" s="3" t="str">
        <f>VLOOKUP(Registros[[#This Row],[Cliente]],Cliente_Region[],2,FALSE)</f>
        <v>Canada</v>
      </c>
      <c r="H251" s="3" t="str">
        <f>VLOOKUP(Registros[[#This Row],[Producto]],Producto[],2,FALSE)</f>
        <v>GAMBO</v>
      </c>
    </row>
    <row r="252" spans="1:8" ht="20.100000000000001" customHeight="1" x14ac:dyDescent="0.25">
      <c r="A252" s="3" t="s">
        <v>120</v>
      </c>
      <c r="B252" s="3" t="s">
        <v>97</v>
      </c>
      <c r="C252" s="3">
        <v>2022</v>
      </c>
      <c r="D252" s="4">
        <v>6</v>
      </c>
      <c r="E252" s="5">
        <v>45</v>
      </c>
      <c r="F252" s="5">
        <v>25.83</v>
      </c>
      <c r="G252" s="3" t="str">
        <f>VLOOKUP(Registros[[#This Row],[Cliente]],Cliente_Region[],2,FALSE)</f>
        <v>Canada</v>
      </c>
      <c r="H252" s="3" t="str">
        <f>VLOOKUP(Registros[[#This Row],[Producto]],Producto[],2,FALSE)</f>
        <v>LAX</v>
      </c>
    </row>
    <row r="253" spans="1:8" ht="20.100000000000001" customHeight="1" x14ac:dyDescent="0.25">
      <c r="A253" s="3" t="s">
        <v>58</v>
      </c>
      <c r="B253" s="3" t="s">
        <v>97</v>
      </c>
      <c r="C253" s="3">
        <v>2022</v>
      </c>
      <c r="D253" s="4">
        <v>6</v>
      </c>
      <c r="E253" s="5">
        <v>18</v>
      </c>
      <c r="F253" s="5">
        <v>11.51</v>
      </c>
      <c r="G253" s="3" t="str">
        <f>VLOOKUP(Registros[[#This Row],[Cliente]],Cliente_Region[],2,FALSE)</f>
        <v>Canada</v>
      </c>
      <c r="H253" s="3" t="str">
        <f>VLOOKUP(Registros[[#This Row],[Producto]],Producto[],2,FALSE)</f>
        <v>MOC</v>
      </c>
    </row>
    <row r="254" spans="1:8" ht="20.100000000000001" customHeight="1" x14ac:dyDescent="0.25">
      <c r="A254" s="3" t="s">
        <v>122</v>
      </c>
      <c r="B254" s="3" t="s">
        <v>97</v>
      </c>
      <c r="C254" s="3">
        <v>2022</v>
      </c>
      <c r="D254" s="4">
        <v>4</v>
      </c>
      <c r="E254" s="5">
        <v>255</v>
      </c>
      <c r="F254" s="5">
        <v>748.84</v>
      </c>
      <c r="G254" s="3" t="str">
        <f>VLOOKUP(Registros[[#This Row],[Cliente]],Cliente_Region[],2,FALSE)</f>
        <v>Canada</v>
      </c>
      <c r="H254" s="3" t="str">
        <f>VLOOKUP(Registros[[#This Row],[Producto]],Producto[],2,FALSE)</f>
        <v>SALF</v>
      </c>
    </row>
    <row r="255" spans="1:8" ht="20.100000000000001" customHeight="1" x14ac:dyDescent="0.25">
      <c r="A255" s="3" t="s">
        <v>124</v>
      </c>
      <c r="B255" s="3" t="s">
        <v>97</v>
      </c>
      <c r="C255" s="3">
        <v>2022</v>
      </c>
      <c r="D255" s="4">
        <v>1</v>
      </c>
      <c r="E255" s="5">
        <v>17446</v>
      </c>
      <c r="F255" s="5">
        <v>11973.5</v>
      </c>
      <c r="G255" s="3" t="str">
        <f>VLOOKUP(Registros[[#This Row],[Cliente]],Cliente_Region[],2,FALSE)</f>
        <v>Canada</v>
      </c>
      <c r="H255" s="3" t="str">
        <f>VLOOKUP(Registros[[#This Row],[Producto]],Producto[],2,FALSE)</f>
        <v>DAWNE</v>
      </c>
    </row>
    <row r="256" spans="1:8" ht="20.100000000000001" customHeight="1" x14ac:dyDescent="0.25">
      <c r="A256" s="3" t="s">
        <v>125</v>
      </c>
      <c r="B256" s="3" t="s">
        <v>97</v>
      </c>
      <c r="C256" s="3">
        <v>2022</v>
      </c>
      <c r="D256" s="4">
        <v>2</v>
      </c>
      <c r="E256" s="5">
        <v>14832</v>
      </c>
      <c r="F256" s="5">
        <v>10872.99</v>
      </c>
      <c r="G256" s="3" t="str">
        <f>VLOOKUP(Registros[[#This Row],[Cliente]],Cliente_Region[],2,FALSE)</f>
        <v>Canada</v>
      </c>
      <c r="H256" s="3" t="str">
        <f>VLOOKUP(Registros[[#This Row],[Producto]],Producto[],2,FALSE)</f>
        <v>QUOKAR</v>
      </c>
    </row>
    <row r="257" spans="1:8" ht="20.100000000000001" customHeight="1" x14ac:dyDescent="0.25">
      <c r="A257" s="3" t="s">
        <v>125</v>
      </c>
      <c r="B257" s="3" t="s">
        <v>97</v>
      </c>
      <c r="C257" s="3">
        <v>2022</v>
      </c>
      <c r="D257" s="4">
        <v>3</v>
      </c>
      <c r="E257" s="5">
        <v>12784</v>
      </c>
      <c r="F257" s="5">
        <v>9385.4</v>
      </c>
      <c r="G257" s="3" t="str">
        <f>VLOOKUP(Registros[[#This Row],[Cliente]],Cliente_Region[],2,FALSE)</f>
        <v>Canada</v>
      </c>
      <c r="H257" s="3" t="str">
        <f>VLOOKUP(Registros[[#This Row],[Producto]],Producto[],2,FALSE)</f>
        <v>QUOKAR</v>
      </c>
    </row>
    <row r="258" spans="1:8" ht="20.100000000000001" customHeight="1" x14ac:dyDescent="0.25">
      <c r="A258" s="3" t="s">
        <v>125</v>
      </c>
      <c r="B258" s="3" t="s">
        <v>97</v>
      </c>
      <c r="C258" s="3">
        <v>2022</v>
      </c>
      <c r="D258" s="4">
        <v>4</v>
      </c>
      <c r="E258" s="5">
        <v>13124</v>
      </c>
      <c r="F258" s="5">
        <v>9635.02</v>
      </c>
      <c r="G258" s="3" t="str">
        <f>VLOOKUP(Registros[[#This Row],[Cliente]],Cliente_Region[],2,FALSE)</f>
        <v>Canada</v>
      </c>
      <c r="H258" s="3" t="str">
        <f>VLOOKUP(Registros[[#This Row],[Producto]],Producto[],2,FALSE)</f>
        <v>QUOKAR</v>
      </c>
    </row>
    <row r="259" spans="1:8" ht="20.100000000000001" customHeight="1" x14ac:dyDescent="0.25">
      <c r="A259" s="3" t="s">
        <v>125</v>
      </c>
      <c r="B259" s="3" t="s">
        <v>97</v>
      </c>
      <c r="C259" s="3">
        <v>2022</v>
      </c>
      <c r="D259" s="4">
        <v>5</v>
      </c>
      <c r="E259" s="5">
        <v>15436</v>
      </c>
      <c r="F259" s="5">
        <v>11332.37</v>
      </c>
      <c r="G259" s="3" t="str">
        <f>VLOOKUP(Registros[[#This Row],[Cliente]],Cliente_Region[],2,FALSE)</f>
        <v>Canada</v>
      </c>
      <c r="H259" s="3" t="str">
        <f>VLOOKUP(Registros[[#This Row],[Producto]],Producto[],2,FALSE)</f>
        <v>QUOKAR</v>
      </c>
    </row>
    <row r="260" spans="1:8" ht="20.100000000000001" customHeight="1" x14ac:dyDescent="0.25">
      <c r="A260" s="3" t="s">
        <v>125</v>
      </c>
      <c r="B260" s="3" t="s">
        <v>97</v>
      </c>
      <c r="C260" s="3">
        <v>2022</v>
      </c>
      <c r="D260" s="4">
        <v>6</v>
      </c>
      <c r="E260" s="5">
        <v>16388</v>
      </c>
      <c r="F260" s="5">
        <v>11979.04</v>
      </c>
      <c r="G260" s="3" t="str">
        <f>VLOOKUP(Registros[[#This Row],[Cliente]],Cliente_Region[],2,FALSE)</f>
        <v>Canada</v>
      </c>
      <c r="H260" s="3" t="str">
        <f>VLOOKUP(Registros[[#This Row],[Producto]],Producto[],2,FALSE)</f>
        <v>QUOKAR</v>
      </c>
    </row>
    <row r="261" spans="1:8" ht="20.100000000000001" customHeight="1" x14ac:dyDescent="0.25">
      <c r="A261" s="3" t="s">
        <v>74</v>
      </c>
      <c r="B261" s="3" t="s">
        <v>97</v>
      </c>
      <c r="C261" s="3">
        <v>2022</v>
      </c>
      <c r="D261" s="4">
        <v>1</v>
      </c>
      <c r="E261" s="5">
        <v>2607.5</v>
      </c>
      <c r="F261" s="5">
        <v>237.28</v>
      </c>
      <c r="G261" s="3" t="str">
        <f>VLOOKUP(Registros[[#This Row],[Cliente]],Cliente_Region[],2,FALSE)</f>
        <v>Canada</v>
      </c>
      <c r="H261" s="3" t="str">
        <f>VLOOKUP(Registros[[#This Row],[Producto]],Producto[],2,FALSE)</f>
        <v>CHOTUS</v>
      </c>
    </row>
    <row r="262" spans="1:8" ht="20.100000000000001" customHeight="1" x14ac:dyDescent="0.25">
      <c r="A262" s="3" t="s">
        <v>75</v>
      </c>
      <c r="B262" s="3" t="s">
        <v>97</v>
      </c>
      <c r="C262" s="3">
        <v>2022</v>
      </c>
      <c r="D262" s="4">
        <v>2</v>
      </c>
      <c r="E262" s="5">
        <v>1350</v>
      </c>
      <c r="F262" s="5">
        <v>631.67999999999995</v>
      </c>
      <c r="G262" s="3" t="str">
        <f>VLOOKUP(Registros[[#This Row],[Cliente]],Cliente_Region[],2,FALSE)</f>
        <v>Canada</v>
      </c>
      <c r="H262" s="3" t="str">
        <f>VLOOKUP(Registros[[#This Row],[Producto]],Producto[],2,FALSE)</f>
        <v>DONANY</v>
      </c>
    </row>
    <row r="263" spans="1:8" ht="20.100000000000001" customHeight="1" x14ac:dyDescent="0.25">
      <c r="A263" s="3" t="s">
        <v>75</v>
      </c>
      <c r="B263" s="3" t="s">
        <v>97</v>
      </c>
      <c r="C263" s="3">
        <v>2022</v>
      </c>
      <c r="D263" s="4">
        <v>3</v>
      </c>
      <c r="E263" s="5">
        <v>2100</v>
      </c>
      <c r="F263" s="5">
        <v>460.64</v>
      </c>
      <c r="G263" s="3" t="str">
        <f>VLOOKUP(Registros[[#This Row],[Cliente]],Cliente_Region[],2,FALSE)</f>
        <v>Canada</v>
      </c>
      <c r="H263" s="3" t="str">
        <f>VLOOKUP(Registros[[#This Row],[Producto]],Producto[],2,FALSE)</f>
        <v>DONANY</v>
      </c>
    </row>
    <row r="264" spans="1:8" ht="20.100000000000001" customHeight="1" x14ac:dyDescent="0.25">
      <c r="A264" s="3" t="s">
        <v>75</v>
      </c>
      <c r="B264" s="3" t="s">
        <v>97</v>
      </c>
      <c r="C264" s="3">
        <v>2022</v>
      </c>
      <c r="D264" s="4">
        <v>4</v>
      </c>
      <c r="E264" s="5">
        <v>3000</v>
      </c>
      <c r="F264" s="5">
        <v>936.95</v>
      </c>
      <c r="G264" s="3" t="str">
        <f>VLOOKUP(Registros[[#This Row],[Cliente]],Cliente_Region[],2,FALSE)</f>
        <v>Canada</v>
      </c>
      <c r="H264" s="3" t="str">
        <f>VLOOKUP(Registros[[#This Row],[Producto]],Producto[],2,FALSE)</f>
        <v>DONANY</v>
      </c>
    </row>
    <row r="265" spans="1:8" ht="20.100000000000001" customHeight="1" x14ac:dyDescent="0.25">
      <c r="A265" s="3" t="s">
        <v>75</v>
      </c>
      <c r="B265" s="3" t="s">
        <v>97</v>
      </c>
      <c r="C265" s="3">
        <v>2022</v>
      </c>
      <c r="D265" s="4">
        <v>5</v>
      </c>
      <c r="E265" s="5">
        <v>3075</v>
      </c>
      <c r="F265" s="5">
        <v>786.25</v>
      </c>
      <c r="G265" s="3" t="str">
        <f>VLOOKUP(Registros[[#This Row],[Cliente]],Cliente_Region[],2,FALSE)</f>
        <v>Canada</v>
      </c>
      <c r="H265" s="3" t="str">
        <f>VLOOKUP(Registros[[#This Row],[Producto]],Producto[],2,FALSE)</f>
        <v>DONANY</v>
      </c>
    </row>
    <row r="266" spans="1:8" ht="20.100000000000001" customHeight="1" x14ac:dyDescent="0.25">
      <c r="A266" s="3" t="s">
        <v>75</v>
      </c>
      <c r="B266" s="3" t="s">
        <v>97</v>
      </c>
      <c r="C266" s="3">
        <v>2022</v>
      </c>
      <c r="D266" s="4">
        <v>6</v>
      </c>
      <c r="E266" s="5">
        <v>2587.5</v>
      </c>
      <c r="F266" s="5">
        <v>719</v>
      </c>
      <c r="G266" s="3" t="str">
        <f>VLOOKUP(Registros[[#This Row],[Cliente]],Cliente_Region[],2,FALSE)</f>
        <v>Canada</v>
      </c>
      <c r="H266" s="3" t="str">
        <f>VLOOKUP(Registros[[#This Row],[Producto]],Producto[],2,FALSE)</f>
        <v>DONANY</v>
      </c>
    </row>
    <row r="267" spans="1:8" ht="20.100000000000001" customHeight="1" x14ac:dyDescent="0.25">
      <c r="A267" s="3" t="s">
        <v>62</v>
      </c>
      <c r="B267" s="3" t="s">
        <v>97</v>
      </c>
      <c r="C267" s="3">
        <v>2022</v>
      </c>
      <c r="D267" s="4">
        <v>1</v>
      </c>
      <c r="E267" s="5">
        <v>1322.5</v>
      </c>
      <c r="F267" s="5">
        <v>243.2</v>
      </c>
      <c r="G267" s="3" t="str">
        <f>VLOOKUP(Registros[[#This Row],[Cliente]],Cliente_Region[],2,FALSE)</f>
        <v>Canada</v>
      </c>
      <c r="H267" s="3" t="str">
        <f>VLOOKUP(Registros[[#This Row],[Producto]],Producto[],2,FALSE)</f>
        <v>MOC</v>
      </c>
    </row>
    <row r="268" spans="1:8" ht="20.100000000000001" customHeight="1" x14ac:dyDescent="0.25">
      <c r="A268" s="3" t="s">
        <v>63</v>
      </c>
      <c r="B268" s="3" t="s">
        <v>97</v>
      </c>
      <c r="C268" s="3">
        <v>2022</v>
      </c>
      <c r="D268" s="4">
        <v>2</v>
      </c>
      <c r="E268" s="5">
        <v>175</v>
      </c>
      <c r="F268" s="5">
        <v>39.94</v>
      </c>
      <c r="G268" s="3" t="str">
        <f>VLOOKUP(Registros[[#This Row],[Cliente]],Cliente_Region[],2,FALSE)</f>
        <v>Canada</v>
      </c>
      <c r="H268" s="3" t="str">
        <f>VLOOKUP(Registros[[#This Row],[Producto]],Producto[],2,FALSE)</f>
        <v>SALF</v>
      </c>
    </row>
    <row r="269" spans="1:8" ht="20.100000000000001" customHeight="1" x14ac:dyDescent="0.25">
      <c r="A269" s="3" t="s">
        <v>63</v>
      </c>
      <c r="B269" s="3" t="s">
        <v>97</v>
      </c>
      <c r="C269" s="3">
        <v>2022</v>
      </c>
      <c r="D269" s="4">
        <v>3</v>
      </c>
      <c r="E269" s="5">
        <v>437.5</v>
      </c>
      <c r="F269" s="5">
        <v>99.86</v>
      </c>
      <c r="G269" s="3" t="str">
        <f>VLOOKUP(Registros[[#This Row],[Cliente]],Cliente_Region[],2,FALSE)</f>
        <v>Canada</v>
      </c>
      <c r="H269" s="3" t="str">
        <f>VLOOKUP(Registros[[#This Row],[Producto]],Producto[],2,FALSE)</f>
        <v>SALF</v>
      </c>
    </row>
    <row r="270" spans="1:8" ht="20.100000000000001" customHeight="1" x14ac:dyDescent="0.25">
      <c r="A270" s="3" t="s">
        <v>63</v>
      </c>
      <c r="B270" s="3" t="s">
        <v>97</v>
      </c>
      <c r="C270" s="3">
        <v>2022</v>
      </c>
      <c r="D270" s="4">
        <v>4</v>
      </c>
      <c r="E270" s="5">
        <v>175</v>
      </c>
      <c r="F270" s="5">
        <v>-9.51</v>
      </c>
      <c r="G270" s="3" t="str">
        <f>VLOOKUP(Registros[[#This Row],[Cliente]],Cliente_Region[],2,FALSE)</f>
        <v>Canada</v>
      </c>
      <c r="H270" s="3" t="str">
        <f>VLOOKUP(Registros[[#This Row],[Producto]],Producto[],2,FALSE)</f>
        <v>SALF</v>
      </c>
    </row>
    <row r="271" spans="1:8" ht="20.100000000000001" customHeight="1" x14ac:dyDescent="0.25">
      <c r="A271" s="3" t="s">
        <v>63</v>
      </c>
      <c r="B271" s="3" t="s">
        <v>97</v>
      </c>
      <c r="C271" s="3">
        <v>2022</v>
      </c>
      <c r="D271" s="4">
        <v>5</v>
      </c>
      <c r="E271" s="5">
        <v>437.5</v>
      </c>
      <c r="F271" s="5">
        <v>233.66</v>
      </c>
      <c r="G271" s="3" t="str">
        <f>VLOOKUP(Registros[[#This Row],[Cliente]],Cliente_Region[],2,FALSE)</f>
        <v>Canada</v>
      </c>
      <c r="H271" s="3" t="str">
        <f>VLOOKUP(Registros[[#This Row],[Producto]],Producto[],2,FALSE)</f>
        <v>SALF</v>
      </c>
    </row>
    <row r="272" spans="1:8" ht="20.100000000000001" customHeight="1" x14ac:dyDescent="0.25">
      <c r="A272" s="3" t="s">
        <v>63</v>
      </c>
      <c r="B272" s="3" t="s">
        <v>97</v>
      </c>
      <c r="C272" s="3">
        <v>2022</v>
      </c>
      <c r="D272" s="4">
        <v>6</v>
      </c>
      <c r="E272" s="5">
        <v>87.5</v>
      </c>
      <c r="F272" s="5">
        <v>22.79</v>
      </c>
      <c r="G272" s="3" t="str">
        <f>VLOOKUP(Registros[[#This Row],[Cliente]],Cliente_Region[],2,FALSE)</f>
        <v>Canada</v>
      </c>
      <c r="H272" s="3" t="str">
        <f>VLOOKUP(Registros[[#This Row],[Producto]],Producto[],2,FALSE)</f>
        <v>SALF</v>
      </c>
    </row>
    <row r="273" spans="1:8" ht="20.100000000000001" customHeight="1" x14ac:dyDescent="0.25">
      <c r="A273" s="3" t="s">
        <v>126</v>
      </c>
      <c r="B273" s="3" t="s">
        <v>97</v>
      </c>
      <c r="C273" s="3">
        <v>2022</v>
      </c>
      <c r="D273" s="4">
        <v>5</v>
      </c>
      <c r="E273" s="5">
        <v>262.5</v>
      </c>
      <c r="F273" s="5">
        <v>128.52000000000001</v>
      </c>
      <c r="G273" s="3" t="str">
        <f>VLOOKUP(Registros[[#This Row],[Cliente]],Cliente_Region[],2,FALSE)</f>
        <v>Canada</v>
      </c>
      <c r="H273" s="3" t="str">
        <f>VLOOKUP(Registros[[#This Row],[Producto]],Producto[],2,FALSE)</f>
        <v>DAWNE</v>
      </c>
    </row>
    <row r="274" spans="1:8" ht="20.100000000000001" customHeight="1" x14ac:dyDescent="0.25">
      <c r="A274" s="3" t="s">
        <v>128</v>
      </c>
      <c r="B274" s="3" t="s">
        <v>97</v>
      </c>
      <c r="C274" s="3">
        <v>2022</v>
      </c>
      <c r="D274" s="4">
        <v>1</v>
      </c>
      <c r="E274" s="5">
        <v>12.5</v>
      </c>
      <c r="F274" s="5">
        <v>3.99</v>
      </c>
      <c r="G274" s="3" t="str">
        <f>VLOOKUP(Registros[[#This Row],[Cliente]],Cliente_Region[],2,FALSE)</f>
        <v>Canada</v>
      </c>
      <c r="H274" s="3" t="str">
        <f>VLOOKUP(Registros[[#This Row],[Producto]],Producto[],2,FALSE)</f>
        <v>CHOTUS</v>
      </c>
    </row>
    <row r="275" spans="1:8" ht="20.100000000000001" customHeight="1" x14ac:dyDescent="0.25">
      <c r="A275" s="3" t="s">
        <v>129</v>
      </c>
      <c r="B275" s="3" t="s">
        <v>97</v>
      </c>
      <c r="C275" s="3">
        <v>2022</v>
      </c>
      <c r="D275" s="4">
        <v>2</v>
      </c>
      <c r="E275" s="5">
        <v>84</v>
      </c>
      <c r="F275" s="5">
        <v>49.96</v>
      </c>
      <c r="G275" s="3" t="str">
        <f>VLOOKUP(Registros[[#This Row],[Cliente]],Cliente_Region[],2,FALSE)</f>
        <v>Canada</v>
      </c>
      <c r="H275" s="3" t="str">
        <f>VLOOKUP(Registros[[#This Row],[Producto]],Producto[],2,FALSE)</f>
        <v>GAMBO</v>
      </c>
    </row>
    <row r="276" spans="1:8" ht="20.100000000000001" customHeight="1" x14ac:dyDescent="0.25">
      <c r="A276" s="3" t="s">
        <v>129</v>
      </c>
      <c r="B276" s="3" t="s">
        <v>97</v>
      </c>
      <c r="C276" s="3">
        <v>2022</v>
      </c>
      <c r="D276" s="4">
        <v>3</v>
      </c>
      <c r="E276" s="5">
        <v>45</v>
      </c>
      <c r="F276" s="5">
        <v>19.47</v>
      </c>
      <c r="G276" s="3" t="str">
        <f>VLOOKUP(Registros[[#This Row],[Cliente]],Cliente_Region[],2,FALSE)</f>
        <v>Canada</v>
      </c>
      <c r="H276" s="3" t="str">
        <f>VLOOKUP(Registros[[#This Row],[Producto]],Producto[],2,FALSE)</f>
        <v>GAMBO</v>
      </c>
    </row>
    <row r="277" spans="1:8" ht="20.100000000000001" customHeight="1" x14ac:dyDescent="0.25">
      <c r="A277" s="3" t="s">
        <v>129</v>
      </c>
      <c r="B277" s="3" t="s">
        <v>97</v>
      </c>
      <c r="C277" s="3">
        <v>2022</v>
      </c>
      <c r="D277" s="4">
        <v>5</v>
      </c>
      <c r="E277" s="5">
        <v>84</v>
      </c>
      <c r="F277" s="5">
        <v>49</v>
      </c>
      <c r="G277" s="3" t="str">
        <f>VLOOKUP(Registros[[#This Row],[Cliente]],Cliente_Region[],2,FALSE)</f>
        <v>Canada</v>
      </c>
      <c r="H277" s="3" t="str">
        <f>VLOOKUP(Registros[[#This Row],[Producto]],Producto[],2,FALSE)</f>
        <v>GAMBO</v>
      </c>
    </row>
    <row r="278" spans="1:8" ht="20.100000000000001" customHeight="1" x14ac:dyDescent="0.25">
      <c r="A278" s="3" t="s">
        <v>129</v>
      </c>
      <c r="B278" s="3" t="s">
        <v>97</v>
      </c>
      <c r="C278" s="3">
        <v>2022</v>
      </c>
      <c r="D278" s="4">
        <v>6</v>
      </c>
      <c r="E278" s="5">
        <v>63</v>
      </c>
      <c r="F278" s="5">
        <v>0</v>
      </c>
      <c r="G278" s="3" t="str">
        <f>VLOOKUP(Registros[[#This Row],[Cliente]],Cliente_Region[],2,FALSE)</f>
        <v>Canada</v>
      </c>
      <c r="H278" s="3" t="str">
        <f>VLOOKUP(Registros[[#This Row],[Producto]],Producto[],2,FALSE)</f>
        <v>GAMBO</v>
      </c>
    </row>
    <row r="279" spans="1:8" ht="20.100000000000001" customHeight="1" x14ac:dyDescent="0.25">
      <c r="A279" s="3" t="s">
        <v>130</v>
      </c>
      <c r="B279" s="3" t="s">
        <v>97</v>
      </c>
      <c r="C279" s="3">
        <v>2022</v>
      </c>
      <c r="D279" s="4">
        <v>1</v>
      </c>
      <c r="E279" s="5">
        <v>60</v>
      </c>
      <c r="F279" s="5">
        <v>0</v>
      </c>
      <c r="G279" s="3" t="str">
        <f>VLOOKUP(Registros[[#This Row],[Cliente]],Cliente_Region[],2,FALSE)</f>
        <v>Canada</v>
      </c>
      <c r="H279" s="3" t="str">
        <f>VLOOKUP(Registros[[#This Row],[Producto]],Producto[],2,FALSE)</f>
        <v>DAWNE</v>
      </c>
    </row>
    <row r="280" spans="1:8" ht="20.100000000000001" customHeight="1" x14ac:dyDescent="0.25">
      <c r="A280" s="3" t="s">
        <v>131</v>
      </c>
      <c r="B280" s="3" t="s">
        <v>97</v>
      </c>
      <c r="C280" s="3">
        <v>2022</v>
      </c>
      <c r="D280" s="4">
        <v>2</v>
      </c>
      <c r="E280" s="5">
        <v>84.5</v>
      </c>
      <c r="F280" s="5">
        <v>1.32</v>
      </c>
      <c r="G280" s="3" t="str">
        <f>VLOOKUP(Registros[[#This Row],[Cliente]],Cliente_Region[],2,FALSE)</f>
        <v>Canada</v>
      </c>
      <c r="H280" s="3" t="str">
        <f>VLOOKUP(Registros[[#This Row],[Producto]],Producto[],2,FALSE)</f>
        <v>LAX</v>
      </c>
    </row>
    <row r="281" spans="1:8" ht="20.100000000000001" customHeight="1" x14ac:dyDescent="0.25">
      <c r="A281" s="3" t="s">
        <v>133</v>
      </c>
      <c r="B281" s="3" t="s">
        <v>132</v>
      </c>
      <c r="C281" s="3">
        <v>2022</v>
      </c>
      <c r="D281" s="4">
        <v>5</v>
      </c>
      <c r="E281" s="5">
        <v>27.5</v>
      </c>
      <c r="F281" s="5">
        <v>10.039999999999999</v>
      </c>
      <c r="G281" s="3" t="str">
        <f>VLOOKUP(Registros[[#This Row],[Cliente]],Cliente_Region[],2,FALSE)</f>
        <v>Colombia</v>
      </c>
      <c r="H281" s="3" t="str">
        <f>VLOOKUP(Registros[[#This Row],[Producto]],Producto[],2,FALSE)</f>
        <v>QUOKAR</v>
      </c>
    </row>
    <row r="282" spans="1:8" ht="20.100000000000001" customHeight="1" x14ac:dyDescent="0.25">
      <c r="A282" s="3" t="s">
        <v>134</v>
      </c>
      <c r="B282" s="3" t="s">
        <v>132</v>
      </c>
      <c r="C282" s="3">
        <v>2022</v>
      </c>
      <c r="D282" s="4">
        <v>6</v>
      </c>
      <c r="E282" s="5">
        <v>165</v>
      </c>
      <c r="F282" s="5">
        <v>60.25</v>
      </c>
      <c r="G282" s="3" t="str">
        <f>VLOOKUP(Registros[[#This Row],[Cliente]],Cliente_Region[],2,FALSE)</f>
        <v>Colombia</v>
      </c>
      <c r="H282" s="3" t="str">
        <f>VLOOKUP(Registros[[#This Row],[Producto]],Producto[],2,FALSE)</f>
        <v>QUOKAR</v>
      </c>
    </row>
    <row r="283" spans="1:8" ht="20.100000000000001" customHeight="1" x14ac:dyDescent="0.25">
      <c r="A283" s="3" t="s">
        <v>26</v>
      </c>
      <c r="B283" s="3" t="s">
        <v>132</v>
      </c>
      <c r="C283" s="3">
        <v>2022</v>
      </c>
      <c r="D283" s="4">
        <v>6</v>
      </c>
      <c r="E283" s="5">
        <v>312</v>
      </c>
      <c r="F283" s="5">
        <v>132.69</v>
      </c>
      <c r="G283" s="3" t="str">
        <f>VLOOKUP(Registros[[#This Row],[Cliente]],Cliente_Region[],2,FALSE)</f>
        <v>Colombia</v>
      </c>
      <c r="H283" s="3" t="str">
        <f>VLOOKUP(Registros[[#This Row],[Producto]],Producto[],2,FALSE)</f>
        <v>CHOTUS</v>
      </c>
    </row>
    <row r="284" spans="1:8" ht="20.100000000000001" customHeight="1" x14ac:dyDescent="0.25">
      <c r="A284" s="3" t="s">
        <v>30</v>
      </c>
      <c r="B284" s="3" t="s">
        <v>132</v>
      </c>
      <c r="C284" s="3">
        <v>2022</v>
      </c>
      <c r="D284" s="4">
        <v>6</v>
      </c>
      <c r="E284" s="5">
        <v>65</v>
      </c>
      <c r="F284" s="5">
        <v>44.95</v>
      </c>
      <c r="G284" s="3" t="str">
        <f>VLOOKUP(Registros[[#This Row],[Cliente]],Cliente_Region[],2,FALSE)</f>
        <v>Colombia</v>
      </c>
      <c r="H284" s="3" t="str">
        <f>VLOOKUP(Registros[[#This Row],[Producto]],Producto[],2,FALSE)</f>
        <v>CHOTUS</v>
      </c>
    </row>
    <row r="285" spans="1:8" ht="20.100000000000001" customHeight="1" x14ac:dyDescent="0.25">
      <c r="A285" s="3" t="s">
        <v>32</v>
      </c>
      <c r="B285" s="3" t="s">
        <v>132</v>
      </c>
      <c r="C285" s="3">
        <v>2022</v>
      </c>
      <c r="D285" s="4">
        <v>3</v>
      </c>
      <c r="E285" s="5">
        <v>261</v>
      </c>
      <c r="F285" s="5">
        <v>84.95</v>
      </c>
      <c r="G285" s="3" t="str">
        <f>VLOOKUP(Registros[[#This Row],[Cliente]],Cliente_Region[],2,FALSE)</f>
        <v>Colombia</v>
      </c>
      <c r="H285" s="3" t="str">
        <f>VLOOKUP(Registros[[#This Row],[Producto]],Producto[],2,FALSE)</f>
        <v>GAMBO</v>
      </c>
    </row>
    <row r="286" spans="1:8" ht="20.100000000000001" customHeight="1" x14ac:dyDescent="0.25">
      <c r="A286" s="3" t="s">
        <v>34</v>
      </c>
      <c r="B286" s="3" t="s">
        <v>132</v>
      </c>
      <c r="C286" s="3">
        <v>2022</v>
      </c>
      <c r="D286" s="4">
        <v>6</v>
      </c>
      <c r="E286" s="5">
        <v>76.25</v>
      </c>
      <c r="F286" s="5">
        <v>56.87</v>
      </c>
      <c r="G286" s="3" t="str">
        <f>VLOOKUP(Registros[[#This Row],[Cliente]],Cliente_Region[],2,FALSE)</f>
        <v>Colombia</v>
      </c>
      <c r="H286" s="3" t="str">
        <f>VLOOKUP(Registros[[#This Row],[Producto]],Producto[],2,FALSE)</f>
        <v>DONANY</v>
      </c>
    </row>
    <row r="287" spans="1:8" ht="20.100000000000001" customHeight="1" x14ac:dyDescent="0.25">
      <c r="A287" s="3" t="s">
        <v>135</v>
      </c>
      <c r="B287" s="3" t="s">
        <v>132</v>
      </c>
      <c r="C287" s="3">
        <v>2022</v>
      </c>
      <c r="D287" s="4">
        <v>1</v>
      </c>
      <c r="E287" s="5">
        <v>358.8</v>
      </c>
      <c r="F287" s="5">
        <v>224</v>
      </c>
      <c r="G287" s="3" t="str">
        <f>VLOOKUP(Registros[[#This Row],[Cliente]],Cliente_Region[],2,FALSE)</f>
        <v>Colombia</v>
      </c>
      <c r="H287" s="3" t="str">
        <f>VLOOKUP(Registros[[#This Row],[Producto]],Producto[],2,FALSE)</f>
        <v>GAMBO</v>
      </c>
    </row>
    <row r="288" spans="1:8" ht="20.100000000000001" customHeight="1" x14ac:dyDescent="0.25">
      <c r="A288" s="3" t="s">
        <v>93</v>
      </c>
      <c r="B288" s="3" t="s">
        <v>132</v>
      </c>
      <c r="C288" s="3">
        <v>2022</v>
      </c>
      <c r="D288" s="4">
        <v>2</v>
      </c>
      <c r="E288" s="5">
        <v>268.8</v>
      </c>
      <c r="F288" s="5">
        <v>160.96</v>
      </c>
      <c r="G288" s="3" t="str">
        <f>VLOOKUP(Registros[[#This Row],[Cliente]],Cliente_Region[],2,FALSE)</f>
        <v>Colombia</v>
      </c>
      <c r="H288" s="3" t="str">
        <f>VLOOKUP(Registros[[#This Row],[Producto]],Producto[],2,FALSE)</f>
        <v>GAMBO</v>
      </c>
    </row>
    <row r="289" spans="1:8" ht="20.100000000000001" customHeight="1" x14ac:dyDescent="0.25">
      <c r="A289" s="3" t="s">
        <v>93</v>
      </c>
      <c r="B289" s="3" t="s">
        <v>132</v>
      </c>
      <c r="C289" s="3">
        <v>2022</v>
      </c>
      <c r="D289" s="4">
        <v>3</v>
      </c>
      <c r="E289" s="5">
        <v>285.60000000000002</v>
      </c>
      <c r="F289" s="5">
        <v>171.02</v>
      </c>
      <c r="G289" s="3" t="str">
        <f>VLOOKUP(Registros[[#This Row],[Cliente]],Cliente_Region[],2,FALSE)</f>
        <v>Colombia</v>
      </c>
      <c r="H289" s="3" t="str">
        <f>VLOOKUP(Registros[[#This Row],[Producto]],Producto[],2,FALSE)</f>
        <v>GAMBO</v>
      </c>
    </row>
    <row r="290" spans="1:8" ht="20.100000000000001" customHeight="1" x14ac:dyDescent="0.25">
      <c r="A290" s="3" t="s">
        <v>93</v>
      </c>
      <c r="B290" s="3" t="s">
        <v>132</v>
      </c>
      <c r="C290" s="3">
        <v>2022</v>
      </c>
      <c r="D290" s="4">
        <v>4</v>
      </c>
      <c r="E290" s="5">
        <v>337.8</v>
      </c>
      <c r="F290" s="5">
        <v>209.74</v>
      </c>
      <c r="G290" s="3" t="str">
        <f>VLOOKUP(Registros[[#This Row],[Cliente]],Cliente_Region[],2,FALSE)</f>
        <v>Colombia</v>
      </c>
      <c r="H290" s="3" t="str">
        <f>VLOOKUP(Registros[[#This Row],[Producto]],Producto[],2,FALSE)</f>
        <v>GAMBO</v>
      </c>
    </row>
    <row r="291" spans="1:8" ht="20.100000000000001" customHeight="1" x14ac:dyDescent="0.25">
      <c r="A291" s="3" t="s">
        <v>93</v>
      </c>
      <c r="B291" s="3" t="s">
        <v>132</v>
      </c>
      <c r="C291" s="3">
        <v>2022</v>
      </c>
      <c r="D291" s="4">
        <v>5</v>
      </c>
      <c r="E291" s="5">
        <v>252</v>
      </c>
      <c r="F291" s="5">
        <v>150.9</v>
      </c>
      <c r="G291" s="3" t="str">
        <f>VLOOKUP(Registros[[#This Row],[Cliente]],Cliente_Region[],2,FALSE)</f>
        <v>Colombia</v>
      </c>
      <c r="H291" s="3" t="str">
        <f>VLOOKUP(Registros[[#This Row],[Producto]],Producto[],2,FALSE)</f>
        <v>GAMBO</v>
      </c>
    </row>
    <row r="292" spans="1:8" ht="20.100000000000001" customHeight="1" x14ac:dyDescent="0.25">
      <c r="A292" s="3" t="s">
        <v>93</v>
      </c>
      <c r="B292" s="3" t="s">
        <v>132</v>
      </c>
      <c r="C292" s="3">
        <v>2022</v>
      </c>
      <c r="D292" s="4">
        <v>6</v>
      </c>
      <c r="E292" s="5">
        <v>168</v>
      </c>
      <c r="F292" s="5">
        <v>100.6</v>
      </c>
      <c r="G292" s="3" t="str">
        <f>VLOOKUP(Registros[[#This Row],[Cliente]],Cliente_Region[],2,FALSE)</f>
        <v>Colombia</v>
      </c>
      <c r="H292" s="3" t="str">
        <f>VLOOKUP(Registros[[#This Row],[Producto]],Producto[],2,FALSE)</f>
        <v>GAMBO</v>
      </c>
    </row>
    <row r="293" spans="1:8" ht="20.100000000000001" customHeight="1" x14ac:dyDescent="0.25">
      <c r="A293" s="3" t="s">
        <v>136</v>
      </c>
      <c r="B293" s="3" t="s">
        <v>132</v>
      </c>
      <c r="C293" s="3">
        <v>2022</v>
      </c>
      <c r="D293" s="4">
        <v>1</v>
      </c>
      <c r="E293" s="5">
        <v>64.900000000000006</v>
      </c>
      <c r="F293" s="5">
        <v>27.52</v>
      </c>
      <c r="G293" s="3" t="str">
        <f>VLOOKUP(Registros[[#This Row],[Cliente]],Cliente_Region[],2,FALSE)</f>
        <v>Colombia</v>
      </c>
      <c r="H293" s="3" t="str">
        <f>VLOOKUP(Registros[[#This Row],[Producto]],Producto[],2,FALSE)</f>
        <v>CHOTUS</v>
      </c>
    </row>
    <row r="294" spans="1:8" ht="20.100000000000001" customHeight="1" x14ac:dyDescent="0.25">
      <c r="A294" s="3" t="s">
        <v>137</v>
      </c>
      <c r="B294" s="3" t="s">
        <v>132</v>
      </c>
      <c r="C294" s="3">
        <v>2022</v>
      </c>
      <c r="D294" s="4">
        <v>2</v>
      </c>
      <c r="E294" s="5">
        <v>30.4</v>
      </c>
      <c r="F294" s="5">
        <v>5.47</v>
      </c>
      <c r="G294" s="3" t="str">
        <f>VLOOKUP(Registros[[#This Row],[Cliente]],Cliente_Region[],2,FALSE)</f>
        <v>Colombia</v>
      </c>
      <c r="H294" s="3" t="str">
        <f>VLOOKUP(Registros[[#This Row],[Producto]],Producto[],2,FALSE)</f>
        <v>QUOKAR</v>
      </c>
    </row>
    <row r="295" spans="1:8" ht="20.100000000000001" customHeight="1" x14ac:dyDescent="0.25">
      <c r="A295" s="3" t="s">
        <v>137</v>
      </c>
      <c r="B295" s="3" t="s">
        <v>132</v>
      </c>
      <c r="C295" s="3">
        <v>2022</v>
      </c>
      <c r="D295" s="4">
        <v>4</v>
      </c>
      <c r="E295" s="5">
        <v>15.2</v>
      </c>
      <c r="F295" s="5">
        <v>2.74</v>
      </c>
      <c r="G295" s="3" t="str">
        <f>VLOOKUP(Registros[[#This Row],[Cliente]],Cliente_Region[],2,FALSE)</f>
        <v>Colombia</v>
      </c>
      <c r="H295" s="3" t="str">
        <f>VLOOKUP(Registros[[#This Row],[Producto]],Producto[],2,FALSE)</f>
        <v>QUOKAR</v>
      </c>
    </row>
    <row r="296" spans="1:8" ht="20.100000000000001" customHeight="1" x14ac:dyDescent="0.25">
      <c r="A296" s="3" t="s">
        <v>137</v>
      </c>
      <c r="B296" s="3" t="s">
        <v>132</v>
      </c>
      <c r="C296" s="3">
        <v>2022</v>
      </c>
      <c r="D296" s="4">
        <v>6</v>
      </c>
      <c r="E296" s="5">
        <v>15.2</v>
      </c>
      <c r="F296" s="5">
        <v>2.74</v>
      </c>
      <c r="G296" s="3" t="str">
        <f>VLOOKUP(Registros[[#This Row],[Cliente]],Cliente_Region[],2,FALSE)</f>
        <v>Colombia</v>
      </c>
      <c r="H296" s="3" t="str">
        <f>VLOOKUP(Registros[[#This Row],[Producto]],Producto[],2,FALSE)</f>
        <v>QUOKAR</v>
      </c>
    </row>
    <row r="297" spans="1:8" ht="20.100000000000001" customHeight="1" x14ac:dyDescent="0.25">
      <c r="A297" s="3" t="s">
        <v>138</v>
      </c>
      <c r="B297" s="3" t="s">
        <v>132</v>
      </c>
      <c r="C297" s="3">
        <v>2022</v>
      </c>
      <c r="D297" s="4">
        <v>2</v>
      </c>
      <c r="E297" s="5">
        <v>56</v>
      </c>
      <c r="F297" s="5">
        <v>33.61</v>
      </c>
      <c r="G297" s="3" t="str">
        <f>VLOOKUP(Registros[[#This Row],[Cliente]],Cliente_Region[],2,FALSE)</f>
        <v>Colombia</v>
      </c>
      <c r="H297" s="3" t="str">
        <f>VLOOKUP(Registros[[#This Row],[Producto]],Producto[],2,FALSE)</f>
        <v>SALF</v>
      </c>
    </row>
    <row r="298" spans="1:8" ht="20.100000000000001" customHeight="1" x14ac:dyDescent="0.25">
      <c r="A298" s="3" t="s">
        <v>139</v>
      </c>
      <c r="B298" s="3" t="s">
        <v>132</v>
      </c>
      <c r="C298" s="3">
        <v>2022</v>
      </c>
      <c r="D298" s="4">
        <v>3</v>
      </c>
      <c r="E298" s="5">
        <v>56</v>
      </c>
      <c r="F298" s="5">
        <v>34.04</v>
      </c>
      <c r="G298" s="3" t="str">
        <f>VLOOKUP(Registros[[#This Row],[Cliente]],Cliente_Region[],2,FALSE)</f>
        <v>Colombia</v>
      </c>
      <c r="H298" s="3" t="str">
        <f>VLOOKUP(Registros[[#This Row],[Producto]],Producto[],2,FALSE)</f>
        <v>MOC</v>
      </c>
    </row>
    <row r="299" spans="1:8" ht="20.100000000000001" customHeight="1" x14ac:dyDescent="0.25">
      <c r="A299" s="3" t="s">
        <v>139</v>
      </c>
      <c r="B299" s="3" t="s">
        <v>132</v>
      </c>
      <c r="C299" s="3">
        <v>2022</v>
      </c>
      <c r="D299" s="4">
        <v>5</v>
      </c>
      <c r="E299" s="5">
        <v>168</v>
      </c>
      <c r="F299" s="5">
        <v>102.81</v>
      </c>
      <c r="G299" s="3" t="str">
        <f>VLOOKUP(Registros[[#This Row],[Cliente]],Cliente_Region[],2,FALSE)</f>
        <v>Colombia</v>
      </c>
      <c r="H299" s="3" t="str">
        <f>VLOOKUP(Registros[[#This Row],[Producto]],Producto[],2,FALSE)</f>
        <v>MOC</v>
      </c>
    </row>
    <row r="300" spans="1:8" ht="20.100000000000001" customHeight="1" x14ac:dyDescent="0.25">
      <c r="A300" s="3" t="s">
        <v>140</v>
      </c>
      <c r="B300" s="3" t="s">
        <v>132</v>
      </c>
      <c r="C300" s="3">
        <v>2022</v>
      </c>
      <c r="D300" s="4">
        <v>1</v>
      </c>
      <c r="E300" s="5">
        <v>35</v>
      </c>
      <c r="F300" s="5">
        <v>18.670000000000002</v>
      </c>
      <c r="G300" s="3" t="str">
        <f>VLOOKUP(Registros[[#This Row],[Cliente]],Cliente_Region[],2,FALSE)</f>
        <v>Colombia</v>
      </c>
      <c r="H300" s="3" t="str">
        <f>VLOOKUP(Registros[[#This Row],[Producto]],Producto[],2,FALSE)</f>
        <v>DAWNE</v>
      </c>
    </row>
    <row r="301" spans="1:8" ht="20.100000000000001" customHeight="1" x14ac:dyDescent="0.25">
      <c r="A301" s="3" t="s">
        <v>142</v>
      </c>
      <c r="B301" s="3" t="s">
        <v>132</v>
      </c>
      <c r="C301" s="3">
        <v>2022</v>
      </c>
      <c r="D301" s="4">
        <v>1</v>
      </c>
      <c r="E301" s="5">
        <v>1380</v>
      </c>
      <c r="F301" s="5">
        <v>1077.29</v>
      </c>
      <c r="G301" s="3" t="str">
        <f>VLOOKUP(Registros[[#This Row],[Cliente]],Cliente_Region[],2,FALSE)</f>
        <v>Colombia</v>
      </c>
      <c r="H301" s="3" t="str">
        <f>VLOOKUP(Registros[[#This Row],[Producto]],Producto[],2,FALSE)</f>
        <v>SALF</v>
      </c>
    </row>
    <row r="302" spans="1:8" ht="20.100000000000001" customHeight="1" x14ac:dyDescent="0.25">
      <c r="A302" s="3" t="s">
        <v>143</v>
      </c>
      <c r="B302" s="3" t="s">
        <v>132</v>
      </c>
      <c r="C302" s="3">
        <v>2022</v>
      </c>
      <c r="D302" s="4">
        <v>2</v>
      </c>
      <c r="E302" s="5">
        <v>990</v>
      </c>
      <c r="F302" s="5">
        <v>772.82</v>
      </c>
      <c r="G302" s="3" t="str">
        <f>VLOOKUP(Registros[[#This Row],[Cliente]],Cliente_Region[],2,FALSE)</f>
        <v>Colombia</v>
      </c>
      <c r="H302" s="3" t="str">
        <f>VLOOKUP(Registros[[#This Row],[Producto]],Producto[],2,FALSE)</f>
        <v>DONANY</v>
      </c>
    </row>
    <row r="303" spans="1:8" ht="20.100000000000001" customHeight="1" x14ac:dyDescent="0.25">
      <c r="A303" s="3" t="s">
        <v>143</v>
      </c>
      <c r="B303" s="3" t="s">
        <v>132</v>
      </c>
      <c r="C303" s="3">
        <v>2022</v>
      </c>
      <c r="D303" s="4">
        <v>3</v>
      </c>
      <c r="E303" s="5">
        <v>600</v>
      </c>
      <c r="F303" s="5">
        <v>468.38</v>
      </c>
      <c r="G303" s="3" t="str">
        <f>VLOOKUP(Registros[[#This Row],[Cliente]],Cliente_Region[],2,FALSE)</f>
        <v>Colombia</v>
      </c>
      <c r="H303" s="3" t="str">
        <f>VLOOKUP(Registros[[#This Row],[Producto]],Producto[],2,FALSE)</f>
        <v>DONANY</v>
      </c>
    </row>
    <row r="304" spans="1:8" ht="20.100000000000001" customHeight="1" x14ac:dyDescent="0.25">
      <c r="A304" s="3" t="s">
        <v>143</v>
      </c>
      <c r="B304" s="3" t="s">
        <v>132</v>
      </c>
      <c r="C304" s="3">
        <v>2022</v>
      </c>
      <c r="D304" s="4">
        <v>4</v>
      </c>
      <c r="E304" s="5">
        <v>960</v>
      </c>
      <c r="F304" s="5">
        <v>749.39</v>
      </c>
      <c r="G304" s="3" t="str">
        <f>VLOOKUP(Registros[[#This Row],[Cliente]],Cliente_Region[],2,FALSE)</f>
        <v>Colombia</v>
      </c>
      <c r="H304" s="3" t="str">
        <f>VLOOKUP(Registros[[#This Row],[Producto]],Producto[],2,FALSE)</f>
        <v>DONANY</v>
      </c>
    </row>
    <row r="305" spans="1:8" ht="20.100000000000001" customHeight="1" x14ac:dyDescent="0.25">
      <c r="A305" s="3" t="s">
        <v>143</v>
      </c>
      <c r="B305" s="3" t="s">
        <v>132</v>
      </c>
      <c r="C305" s="3">
        <v>2022</v>
      </c>
      <c r="D305" s="4">
        <v>5</v>
      </c>
      <c r="E305" s="5">
        <v>1320</v>
      </c>
      <c r="F305" s="5">
        <v>1030.43</v>
      </c>
      <c r="G305" s="3" t="str">
        <f>VLOOKUP(Registros[[#This Row],[Cliente]],Cliente_Region[],2,FALSE)</f>
        <v>Colombia</v>
      </c>
      <c r="H305" s="3" t="str">
        <f>VLOOKUP(Registros[[#This Row],[Producto]],Producto[],2,FALSE)</f>
        <v>DONANY</v>
      </c>
    </row>
    <row r="306" spans="1:8" ht="20.100000000000001" customHeight="1" x14ac:dyDescent="0.25">
      <c r="A306" s="3" t="s">
        <v>143</v>
      </c>
      <c r="B306" s="3" t="s">
        <v>132</v>
      </c>
      <c r="C306" s="3">
        <v>2022</v>
      </c>
      <c r="D306" s="4">
        <v>6</v>
      </c>
      <c r="E306" s="5">
        <v>1890</v>
      </c>
      <c r="F306" s="5">
        <v>1475.37</v>
      </c>
      <c r="G306" s="3" t="str">
        <f>VLOOKUP(Registros[[#This Row],[Cliente]],Cliente_Region[],2,FALSE)</f>
        <v>Colombia</v>
      </c>
      <c r="H306" s="3" t="str">
        <f>VLOOKUP(Registros[[#This Row],[Producto]],Producto[],2,FALSE)</f>
        <v>DONANY</v>
      </c>
    </row>
    <row r="307" spans="1:8" ht="20.100000000000001" customHeight="1" x14ac:dyDescent="0.25">
      <c r="A307" s="3" t="s">
        <v>144</v>
      </c>
      <c r="B307" s="3" t="s">
        <v>132</v>
      </c>
      <c r="C307" s="3">
        <v>2022</v>
      </c>
      <c r="D307" s="4">
        <v>2</v>
      </c>
      <c r="E307" s="5">
        <v>25</v>
      </c>
      <c r="F307" s="5">
        <v>15.32</v>
      </c>
      <c r="G307" s="3" t="str">
        <f>VLOOKUP(Registros[[#This Row],[Cliente]],Cliente_Region[],2,FALSE)</f>
        <v>Colombia</v>
      </c>
      <c r="H307" s="3" t="str">
        <f>VLOOKUP(Registros[[#This Row],[Producto]],Producto[],2,FALSE)</f>
        <v>DAWNE</v>
      </c>
    </row>
    <row r="308" spans="1:8" ht="20.100000000000001" customHeight="1" x14ac:dyDescent="0.25">
      <c r="A308" s="3" t="s">
        <v>145</v>
      </c>
      <c r="B308" s="3" t="s">
        <v>132</v>
      </c>
      <c r="C308" s="3">
        <v>2022</v>
      </c>
      <c r="D308" s="4">
        <v>5</v>
      </c>
      <c r="E308" s="5">
        <v>10.4</v>
      </c>
      <c r="F308" s="5">
        <v>5.56</v>
      </c>
      <c r="G308" s="3" t="str">
        <f>VLOOKUP(Registros[[#This Row],[Cliente]],Cliente_Region[],2,FALSE)</f>
        <v>Colombia</v>
      </c>
      <c r="H308" s="3" t="str">
        <f>VLOOKUP(Registros[[#This Row],[Producto]],Producto[],2,FALSE)</f>
        <v>DAWNE</v>
      </c>
    </row>
    <row r="309" spans="1:8" ht="20.100000000000001" customHeight="1" x14ac:dyDescent="0.25">
      <c r="A309" s="3" t="s">
        <v>65</v>
      </c>
      <c r="B309" s="3" t="s">
        <v>132</v>
      </c>
      <c r="C309" s="3">
        <v>2022</v>
      </c>
      <c r="D309" s="4">
        <v>2</v>
      </c>
      <c r="E309" s="5">
        <v>18.75</v>
      </c>
      <c r="F309" s="5">
        <v>12.86</v>
      </c>
      <c r="G309" s="3" t="str">
        <f>VLOOKUP(Registros[[#This Row],[Cliente]],Cliente_Region[],2,FALSE)</f>
        <v>Colombia</v>
      </c>
      <c r="H309" s="3" t="str">
        <f>VLOOKUP(Registros[[#This Row],[Producto]],Producto[],2,FALSE)</f>
        <v>DAWNE</v>
      </c>
    </row>
    <row r="310" spans="1:8" ht="20.100000000000001" customHeight="1" x14ac:dyDescent="0.25">
      <c r="A310" s="3" t="s">
        <v>66</v>
      </c>
      <c r="B310" s="3" t="s">
        <v>132</v>
      </c>
      <c r="C310" s="3">
        <v>2022</v>
      </c>
      <c r="D310" s="4">
        <v>5</v>
      </c>
      <c r="E310" s="5">
        <v>206.25</v>
      </c>
      <c r="F310" s="5">
        <v>141.46</v>
      </c>
      <c r="G310" s="3" t="str">
        <f>VLOOKUP(Registros[[#This Row],[Cliente]],Cliente_Region[],2,FALSE)</f>
        <v>Colombia</v>
      </c>
      <c r="H310" s="3" t="str">
        <f>VLOOKUP(Registros[[#This Row],[Producto]],Producto[],2,FALSE)</f>
        <v>LAX</v>
      </c>
    </row>
    <row r="311" spans="1:8" ht="20.100000000000001" customHeight="1" x14ac:dyDescent="0.25">
      <c r="A311" s="3" t="s">
        <v>129</v>
      </c>
      <c r="B311" s="3" t="s">
        <v>132</v>
      </c>
      <c r="C311" s="3">
        <v>2022</v>
      </c>
      <c r="D311" s="4">
        <v>6</v>
      </c>
      <c r="E311" s="5">
        <v>440</v>
      </c>
      <c r="F311" s="5">
        <v>120</v>
      </c>
      <c r="G311" s="3" t="str">
        <f>VLOOKUP(Registros[[#This Row],[Cliente]],Cliente_Region[],2,FALSE)</f>
        <v>Colombia</v>
      </c>
      <c r="H311" s="3" t="str">
        <f>VLOOKUP(Registros[[#This Row],[Producto]],Producto[],2,FALSE)</f>
        <v>GAMBO</v>
      </c>
    </row>
    <row r="312" spans="1:8" ht="20.100000000000001" customHeight="1" x14ac:dyDescent="0.25">
      <c r="A312" s="3" t="s">
        <v>146</v>
      </c>
      <c r="B312" s="3" t="s">
        <v>132</v>
      </c>
      <c r="C312" s="3">
        <v>2022</v>
      </c>
      <c r="D312" s="4">
        <v>4</v>
      </c>
      <c r="E312" s="5">
        <v>1446.25</v>
      </c>
      <c r="F312" s="5">
        <v>699.99</v>
      </c>
      <c r="G312" s="3" t="str">
        <f>VLOOKUP(Registros[[#This Row],[Cliente]],Cliente_Region[],2,FALSE)</f>
        <v>Colombia</v>
      </c>
      <c r="H312" s="3" t="str">
        <f>VLOOKUP(Registros[[#This Row],[Producto]],Producto[],2,FALSE)</f>
        <v>DAWNE</v>
      </c>
    </row>
    <row r="313" spans="1:8" ht="20.100000000000001" customHeight="1" x14ac:dyDescent="0.25">
      <c r="A313" s="3" t="s">
        <v>147</v>
      </c>
      <c r="B313" s="3" t="s">
        <v>132</v>
      </c>
      <c r="C313" s="3">
        <v>2022</v>
      </c>
      <c r="D313" s="4">
        <v>5</v>
      </c>
      <c r="E313" s="5">
        <v>91.5</v>
      </c>
      <c r="F313" s="5">
        <v>43.37</v>
      </c>
      <c r="G313" s="3" t="str">
        <f>VLOOKUP(Registros[[#This Row],[Cliente]],Cliente_Region[],2,FALSE)</f>
        <v>Colombia</v>
      </c>
      <c r="H313" s="3" t="str">
        <f>VLOOKUP(Registros[[#This Row],[Producto]],Producto[],2,FALSE)</f>
        <v>DONANY</v>
      </c>
    </row>
    <row r="314" spans="1:8" ht="20.100000000000001" customHeight="1" x14ac:dyDescent="0.25">
      <c r="A314" s="3" t="s">
        <v>120</v>
      </c>
      <c r="B314" s="3" t="s">
        <v>132</v>
      </c>
      <c r="C314" s="3">
        <v>2022</v>
      </c>
      <c r="D314" s="4">
        <v>1</v>
      </c>
      <c r="E314" s="5">
        <v>387</v>
      </c>
      <c r="F314" s="5">
        <v>229.63</v>
      </c>
      <c r="G314" s="3" t="str">
        <f>VLOOKUP(Registros[[#This Row],[Cliente]],Cliente_Region[],2,FALSE)</f>
        <v>Colombia</v>
      </c>
      <c r="H314" s="3" t="str">
        <f>VLOOKUP(Registros[[#This Row],[Producto]],Producto[],2,FALSE)</f>
        <v>LAX</v>
      </c>
    </row>
    <row r="315" spans="1:8" ht="20.100000000000001" customHeight="1" x14ac:dyDescent="0.25">
      <c r="A315" s="3" t="s">
        <v>121</v>
      </c>
      <c r="B315" s="3" t="s">
        <v>132</v>
      </c>
      <c r="C315" s="3">
        <v>2022</v>
      </c>
      <c r="D315" s="4">
        <v>2</v>
      </c>
      <c r="E315" s="5">
        <v>462</v>
      </c>
      <c r="F315" s="5">
        <v>258.32</v>
      </c>
      <c r="G315" s="3" t="str">
        <f>VLOOKUP(Registros[[#This Row],[Cliente]],Cliente_Region[],2,FALSE)</f>
        <v>Colombia</v>
      </c>
      <c r="H315" s="3" t="str">
        <f>VLOOKUP(Registros[[#This Row],[Producto]],Producto[],2,FALSE)</f>
        <v>LAX</v>
      </c>
    </row>
    <row r="316" spans="1:8" ht="20.100000000000001" customHeight="1" x14ac:dyDescent="0.25">
      <c r="A316" s="3" t="s">
        <v>121</v>
      </c>
      <c r="B316" s="3" t="s">
        <v>132</v>
      </c>
      <c r="C316" s="3">
        <v>2022</v>
      </c>
      <c r="D316" s="4">
        <v>3</v>
      </c>
      <c r="E316" s="5">
        <v>105</v>
      </c>
      <c r="F316" s="5">
        <v>44.48</v>
      </c>
      <c r="G316" s="3" t="str">
        <f>VLOOKUP(Registros[[#This Row],[Cliente]],Cliente_Region[],2,FALSE)</f>
        <v>Colombia</v>
      </c>
      <c r="H316" s="3" t="str">
        <f>VLOOKUP(Registros[[#This Row],[Producto]],Producto[],2,FALSE)</f>
        <v>LAX</v>
      </c>
    </row>
    <row r="317" spans="1:8" ht="20.100000000000001" customHeight="1" x14ac:dyDescent="0.25">
      <c r="A317" s="3" t="s">
        <v>121</v>
      </c>
      <c r="B317" s="3" t="s">
        <v>132</v>
      </c>
      <c r="C317" s="3">
        <v>2022</v>
      </c>
      <c r="D317" s="4">
        <v>4</v>
      </c>
      <c r="E317" s="5">
        <v>462</v>
      </c>
      <c r="F317" s="5">
        <v>212.13</v>
      </c>
      <c r="G317" s="3" t="str">
        <f>VLOOKUP(Registros[[#This Row],[Cliente]],Cliente_Region[],2,FALSE)</f>
        <v>Colombia</v>
      </c>
      <c r="H317" s="3" t="str">
        <f>VLOOKUP(Registros[[#This Row],[Producto]],Producto[],2,FALSE)</f>
        <v>LAX</v>
      </c>
    </row>
    <row r="318" spans="1:8" ht="20.100000000000001" customHeight="1" x14ac:dyDescent="0.25">
      <c r="A318" s="3" t="s">
        <v>121</v>
      </c>
      <c r="B318" s="3" t="s">
        <v>132</v>
      </c>
      <c r="C318" s="3">
        <v>2022</v>
      </c>
      <c r="D318" s="4">
        <v>5</v>
      </c>
      <c r="E318" s="5">
        <v>231</v>
      </c>
      <c r="F318" s="5">
        <v>124.31</v>
      </c>
      <c r="G318" s="3" t="str">
        <f>VLOOKUP(Registros[[#This Row],[Cliente]],Cliente_Region[],2,FALSE)</f>
        <v>Colombia</v>
      </c>
      <c r="H318" s="3" t="str">
        <f>VLOOKUP(Registros[[#This Row],[Producto]],Producto[],2,FALSE)</f>
        <v>LAX</v>
      </c>
    </row>
    <row r="319" spans="1:8" ht="20.100000000000001" customHeight="1" x14ac:dyDescent="0.25">
      <c r="A319" s="3" t="s">
        <v>121</v>
      </c>
      <c r="B319" s="3" t="s">
        <v>132</v>
      </c>
      <c r="C319" s="3">
        <v>2022</v>
      </c>
      <c r="D319" s="4">
        <v>6</v>
      </c>
      <c r="E319" s="5">
        <v>378</v>
      </c>
      <c r="F319" s="5">
        <v>206.76</v>
      </c>
      <c r="G319" s="3" t="str">
        <f>VLOOKUP(Registros[[#This Row],[Cliente]],Cliente_Region[],2,FALSE)</f>
        <v>Colombia</v>
      </c>
      <c r="H319" s="3" t="str">
        <f>VLOOKUP(Registros[[#This Row],[Producto]],Producto[],2,FALSE)</f>
        <v>LAX</v>
      </c>
    </row>
    <row r="320" spans="1:8" ht="20.100000000000001" customHeight="1" x14ac:dyDescent="0.25">
      <c r="A320" s="3" t="s">
        <v>58</v>
      </c>
      <c r="B320" s="3" t="s">
        <v>132</v>
      </c>
      <c r="C320" s="3">
        <v>2022</v>
      </c>
      <c r="D320" s="4">
        <v>1</v>
      </c>
      <c r="E320" s="5">
        <v>67.5</v>
      </c>
      <c r="F320" s="5">
        <v>35.07</v>
      </c>
      <c r="G320" s="3" t="str">
        <f>VLOOKUP(Registros[[#This Row],[Cliente]],Cliente_Region[],2,FALSE)</f>
        <v>Colombia</v>
      </c>
      <c r="H320" s="3" t="str">
        <f>VLOOKUP(Registros[[#This Row],[Producto]],Producto[],2,FALSE)</f>
        <v>MOC</v>
      </c>
    </row>
    <row r="321" spans="1:8" ht="20.100000000000001" customHeight="1" x14ac:dyDescent="0.25">
      <c r="A321" s="3" t="s">
        <v>59</v>
      </c>
      <c r="B321" s="3" t="s">
        <v>132</v>
      </c>
      <c r="C321" s="3">
        <v>2022</v>
      </c>
      <c r="D321" s="4">
        <v>4</v>
      </c>
      <c r="E321" s="5">
        <v>27</v>
      </c>
      <c r="F321" s="5">
        <v>14.03</v>
      </c>
      <c r="G321" s="3" t="str">
        <f>VLOOKUP(Registros[[#This Row],[Cliente]],Cliente_Region[],2,FALSE)</f>
        <v>Colombia</v>
      </c>
      <c r="H321" s="3" t="str">
        <f>VLOOKUP(Registros[[#This Row],[Producto]],Producto[],2,FALSE)</f>
        <v>QUOKAR</v>
      </c>
    </row>
    <row r="322" spans="1:8" ht="20.100000000000001" customHeight="1" x14ac:dyDescent="0.25">
      <c r="A322" s="3" t="s">
        <v>59</v>
      </c>
      <c r="B322" s="3" t="s">
        <v>132</v>
      </c>
      <c r="C322" s="3">
        <v>2022</v>
      </c>
      <c r="D322" s="4">
        <v>5</v>
      </c>
      <c r="E322" s="5">
        <v>189</v>
      </c>
      <c r="F322" s="5">
        <v>98.21</v>
      </c>
      <c r="G322" s="3" t="str">
        <f>VLOOKUP(Registros[[#This Row],[Cliente]],Cliente_Region[],2,FALSE)</f>
        <v>Colombia</v>
      </c>
      <c r="H322" s="3" t="str">
        <f>VLOOKUP(Registros[[#This Row],[Producto]],Producto[],2,FALSE)</f>
        <v>QUOKAR</v>
      </c>
    </row>
    <row r="323" spans="1:8" ht="20.100000000000001" customHeight="1" x14ac:dyDescent="0.25">
      <c r="A323" s="3" t="s">
        <v>74</v>
      </c>
      <c r="B323" s="3" t="s">
        <v>132</v>
      </c>
      <c r="C323" s="3">
        <v>2022</v>
      </c>
      <c r="D323" s="4">
        <v>1</v>
      </c>
      <c r="E323" s="5">
        <v>522.5</v>
      </c>
      <c r="F323" s="5">
        <v>24.37</v>
      </c>
      <c r="G323" s="3" t="str">
        <f>VLOOKUP(Registros[[#This Row],[Cliente]],Cliente_Region[],2,FALSE)</f>
        <v>Colombia</v>
      </c>
      <c r="H323" s="3" t="str">
        <f>VLOOKUP(Registros[[#This Row],[Producto]],Producto[],2,FALSE)</f>
        <v>CHOTUS</v>
      </c>
    </row>
    <row r="324" spans="1:8" ht="20.100000000000001" customHeight="1" x14ac:dyDescent="0.25">
      <c r="A324" s="3" t="s">
        <v>75</v>
      </c>
      <c r="B324" s="3" t="s">
        <v>132</v>
      </c>
      <c r="C324" s="3">
        <v>2022</v>
      </c>
      <c r="D324" s="4">
        <v>2</v>
      </c>
      <c r="E324" s="5">
        <v>757.5</v>
      </c>
      <c r="F324" s="5">
        <v>198.57</v>
      </c>
      <c r="G324" s="3" t="str">
        <f>VLOOKUP(Registros[[#This Row],[Cliente]],Cliente_Region[],2,FALSE)</f>
        <v>Colombia</v>
      </c>
      <c r="H324" s="3" t="str">
        <f>VLOOKUP(Registros[[#This Row],[Producto]],Producto[],2,FALSE)</f>
        <v>DONANY</v>
      </c>
    </row>
    <row r="325" spans="1:8" ht="20.100000000000001" customHeight="1" x14ac:dyDescent="0.25">
      <c r="A325" s="3" t="s">
        <v>75</v>
      </c>
      <c r="B325" s="3" t="s">
        <v>132</v>
      </c>
      <c r="C325" s="3">
        <v>2022</v>
      </c>
      <c r="D325" s="4">
        <v>3</v>
      </c>
      <c r="E325" s="5">
        <v>225</v>
      </c>
      <c r="F325" s="5">
        <v>51</v>
      </c>
      <c r="G325" s="3" t="str">
        <f>VLOOKUP(Registros[[#This Row],[Cliente]],Cliente_Region[],2,FALSE)</f>
        <v>Colombia</v>
      </c>
      <c r="H325" s="3" t="str">
        <f>VLOOKUP(Registros[[#This Row],[Producto]],Producto[],2,FALSE)</f>
        <v>DONANY</v>
      </c>
    </row>
    <row r="326" spans="1:8" ht="20.100000000000001" customHeight="1" x14ac:dyDescent="0.25">
      <c r="A326" s="3" t="s">
        <v>75</v>
      </c>
      <c r="B326" s="3" t="s">
        <v>132</v>
      </c>
      <c r="C326" s="3">
        <v>2022</v>
      </c>
      <c r="D326" s="4">
        <v>4</v>
      </c>
      <c r="E326" s="5">
        <v>382.5</v>
      </c>
      <c r="F326" s="5">
        <v>118.66</v>
      </c>
      <c r="G326" s="3" t="str">
        <f>VLOOKUP(Registros[[#This Row],[Cliente]],Cliente_Region[],2,FALSE)</f>
        <v>Colombia</v>
      </c>
      <c r="H326" s="3" t="str">
        <f>VLOOKUP(Registros[[#This Row],[Producto]],Producto[],2,FALSE)</f>
        <v>DONANY</v>
      </c>
    </row>
    <row r="327" spans="1:8" ht="20.100000000000001" customHeight="1" x14ac:dyDescent="0.25">
      <c r="A327" s="3" t="s">
        <v>75</v>
      </c>
      <c r="B327" s="3" t="s">
        <v>132</v>
      </c>
      <c r="C327" s="3">
        <v>2022</v>
      </c>
      <c r="D327" s="4">
        <v>5</v>
      </c>
      <c r="E327" s="5">
        <v>997.5</v>
      </c>
      <c r="F327" s="5">
        <v>282.60000000000002</v>
      </c>
      <c r="G327" s="3" t="str">
        <f>VLOOKUP(Registros[[#This Row],[Cliente]],Cliente_Region[],2,FALSE)</f>
        <v>Colombia</v>
      </c>
      <c r="H327" s="3" t="str">
        <f>VLOOKUP(Registros[[#This Row],[Producto]],Producto[],2,FALSE)</f>
        <v>DONANY</v>
      </c>
    </row>
    <row r="328" spans="1:8" ht="20.100000000000001" customHeight="1" x14ac:dyDescent="0.25">
      <c r="A328" s="3" t="s">
        <v>75</v>
      </c>
      <c r="B328" s="3" t="s">
        <v>132</v>
      </c>
      <c r="C328" s="3">
        <v>2022</v>
      </c>
      <c r="D328" s="4">
        <v>6</v>
      </c>
      <c r="E328" s="5">
        <v>982.5</v>
      </c>
      <c r="F328" s="5">
        <v>288.2</v>
      </c>
      <c r="G328" s="3" t="str">
        <f>VLOOKUP(Registros[[#This Row],[Cliente]],Cliente_Region[],2,FALSE)</f>
        <v>Colombia</v>
      </c>
      <c r="H328" s="3" t="str">
        <f>VLOOKUP(Registros[[#This Row],[Producto]],Producto[],2,FALSE)</f>
        <v>DONANY</v>
      </c>
    </row>
    <row r="329" spans="1:8" ht="20.100000000000001" customHeight="1" x14ac:dyDescent="0.25">
      <c r="A329" s="3" t="s">
        <v>62</v>
      </c>
      <c r="B329" s="3" t="s">
        <v>132</v>
      </c>
      <c r="C329" s="3">
        <v>2022</v>
      </c>
      <c r="D329" s="4">
        <v>1</v>
      </c>
      <c r="E329" s="5">
        <v>4360</v>
      </c>
      <c r="F329" s="5">
        <v>1124.02</v>
      </c>
      <c r="G329" s="3" t="str">
        <f>VLOOKUP(Registros[[#This Row],[Cliente]],Cliente_Region[],2,FALSE)</f>
        <v>Colombia</v>
      </c>
      <c r="H329" s="3" t="str">
        <f>VLOOKUP(Registros[[#This Row],[Producto]],Producto[],2,FALSE)</f>
        <v>MOC</v>
      </c>
    </row>
    <row r="330" spans="1:8" ht="20.100000000000001" customHeight="1" x14ac:dyDescent="0.25">
      <c r="A330" s="3" t="s">
        <v>63</v>
      </c>
      <c r="B330" s="3" t="s">
        <v>132</v>
      </c>
      <c r="C330" s="3">
        <v>2022</v>
      </c>
      <c r="D330" s="4">
        <v>2</v>
      </c>
      <c r="E330" s="5">
        <v>2497.5</v>
      </c>
      <c r="F330" s="5">
        <v>645.45000000000005</v>
      </c>
      <c r="G330" s="3" t="str">
        <f>VLOOKUP(Registros[[#This Row],[Cliente]],Cliente_Region[],2,FALSE)</f>
        <v>Colombia</v>
      </c>
      <c r="H330" s="3" t="str">
        <f>VLOOKUP(Registros[[#This Row],[Producto]],Producto[],2,FALSE)</f>
        <v>SALF</v>
      </c>
    </row>
    <row r="331" spans="1:8" ht="20.100000000000001" customHeight="1" x14ac:dyDescent="0.25">
      <c r="A331" s="3" t="s">
        <v>63</v>
      </c>
      <c r="B331" s="3" t="s">
        <v>132</v>
      </c>
      <c r="C331" s="3">
        <v>2022</v>
      </c>
      <c r="D331" s="4">
        <v>3</v>
      </c>
      <c r="E331" s="5">
        <v>2625</v>
      </c>
      <c r="F331" s="5">
        <v>599.16</v>
      </c>
      <c r="G331" s="3" t="str">
        <f>VLOOKUP(Registros[[#This Row],[Cliente]],Cliente_Region[],2,FALSE)</f>
        <v>Colombia</v>
      </c>
      <c r="H331" s="3" t="str">
        <f>VLOOKUP(Registros[[#This Row],[Producto]],Producto[],2,FALSE)</f>
        <v>SALF</v>
      </c>
    </row>
    <row r="332" spans="1:8" ht="20.100000000000001" customHeight="1" x14ac:dyDescent="0.25">
      <c r="A332" s="3" t="s">
        <v>63</v>
      </c>
      <c r="B332" s="3" t="s">
        <v>132</v>
      </c>
      <c r="C332" s="3">
        <v>2022</v>
      </c>
      <c r="D332" s="4">
        <v>4</v>
      </c>
      <c r="E332" s="5">
        <v>3500</v>
      </c>
      <c r="F332" s="5">
        <v>799.13</v>
      </c>
      <c r="G332" s="3" t="str">
        <f>VLOOKUP(Registros[[#This Row],[Cliente]],Cliente_Region[],2,FALSE)</f>
        <v>Colombia</v>
      </c>
      <c r="H332" s="3" t="str">
        <f>VLOOKUP(Registros[[#This Row],[Producto]],Producto[],2,FALSE)</f>
        <v>SALF</v>
      </c>
    </row>
    <row r="333" spans="1:8" ht="20.100000000000001" customHeight="1" x14ac:dyDescent="0.25">
      <c r="A333" s="3" t="s">
        <v>63</v>
      </c>
      <c r="B333" s="3" t="s">
        <v>132</v>
      </c>
      <c r="C333" s="3">
        <v>2022</v>
      </c>
      <c r="D333" s="4">
        <v>5</v>
      </c>
      <c r="E333" s="5">
        <v>4260</v>
      </c>
      <c r="F333" s="5">
        <v>1297.42</v>
      </c>
      <c r="G333" s="3" t="str">
        <f>VLOOKUP(Registros[[#This Row],[Cliente]],Cliente_Region[],2,FALSE)</f>
        <v>Colombia</v>
      </c>
      <c r="H333" s="3" t="str">
        <f>VLOOKUP(Registros[[#This Row],[Producto]],Producto[],2,FALSE)</f>
        <v>SALF</v>
      </c>
    </row>
    <row r="334" spans="1:8" ht="20.100000000000001" customHeight="1" x14ac:dyDescent="0.25">
      <c r="A334" s="3" t="s">
        <v>63</v>
      </c>
      <c r="B334" s="3" t="s">
        <v>132</v>
      </c>
      <c r="C334" s="3">
        <v>2022</v>
      </c>
      <c r="D334" s="4">
        <v>6</v>
      </c>
      <c r="E334" s="5">
        <v>4470</v>
      </c>
      <c r="F334" s="5">
        <v>1396.91</v>
      </c>
      <c r="G334" s="3" t="str">
        <f>VLOOKUP(Registros[[#This Row],[Cliente]],Cliente_Region[],2,FALSE)</f>
        <v>Colombia</v>
      </c>
      <c r="H334" s="3" t="str">
        <f>VLOOKUP(Registros[[#This Row],[Producto]],Producto[],2,FALSE)</f>
        <v>SALF</v>
      </c>
    </row>
    <row r="335" spans="1:8" ht="20.100000000000001" customHeight="1" x14ac:dyDescent="0.25">
      <c r="A335" s="3" t="s">
        <v>148</v>
      </c>
      <c r="B335" s="3" t="s">
        <v>132</v>
      </c>
      <c r="C335" s="3">
        <v>2022</v>
      </c>
      <c r="D335" s="4">
        <v>6</v>
      </c>
      <c r="E335" s="5">
        <v>2160</v>
      </c>
      <c r="F335" s="5">
        <v>630.73</v>
      </c>
      <c r="G335" s="3" t="str">
        <f>VLOOKUP(Registros[[#This Row],[Cliente]],Cliente_Region[],2,FALSE)</f>
        <v>Colombia</v>
      </c>
      <c r="H335" s="3" t="str">
        <f>VLOOKUP(Registros[[#This Row],[Producto]],Producto[],2,FALSE)</f>
        <v>QUOKAR</v>
      </c>
    </row>
    <row r="336" spans="1:8" ht="20.100000000000001" customHeight="1" x14ac:dyDescent="0.25">
      <c r="A336" s="3" t="s">
        <v>149</v>
      </c>
      <c r="B336" s="3" t="s">
        <v>132</v>
      </c>
      <c r="C336" s="3">
        <v>2022</v>
      </c>
      <c r="D336" s="4">
        <v>1</v>
      </c>
      <c r="E336" s="5">
        <v>70</v>
      </c>
      <c r="F336" s="5">
        <v>30.12</v>
      </c>
      <c r="G336" s="3" t="str">
        <f>VLOOKUP(Registros[[#This Row],[Cliente]],Cliente_Region[],2,FALSE)</f>
        <v>Colombia</v>
      </c>
      <c r="H336" s="3" t="str">
        <f>VLOOKUP(Registros[[#This Row],[Producto]],Producto[],2,FALSE)</f>
        <v>QUOKAR</v>
      </c>
    </row>
    <row r="337" spans="1:8" ht="20.100000000000001" customHeight="1" x14ac:dyDescent="0.25">
      <c r="A337" s="3" t="s">
        <v>150</v>
      </c>
      <c r="B337" s="3" t="s">
        <v>132</v>
      </c>
      <c r="C337" s="3">
        <v>2022</v>
      </c>
      <c r="D337" s="4">
        <v>2</v>
      </c>
      <c r="E337" s="5">
        <v>280</v>
      </c>
      <c r="F337" s="5">
        <v>103.61</v>
      </c>
      <c r="G337" s="3" t="str">
        <f>VLOOKUP(Registros[[#This Row],[Cliente]],Cliente_Region[],2,FALSE)</f>
        <v>Colombia</v>
      </c>
      <c r="H337" s="3" t="str">
        <f>VLOOKUP(Registros[[#This Row],[Producto]],Producto[],2,FALSE)</f>
        <v>MOC</v>
      </c>
    </row>
    <row r="338" spans="1:8" ht="20.100000000000001" customHeight="1" x14ac:dyDescent="0.25">
      <c r="A338" s="3" t="s">
        <v>150</v>
      </c>
      <c r="B338" s="3" t="s">
        <v>132</v>
      </c>
      <c r="C338" s="3">
        <v>2022</v>
      </c>
      <c r="D338" s="4">
        <v>3</v>
      </c>
      <c r="E338" s="5">
        <v>70</v>
      </c>
      <c r="F338" s="5">
        <v>25.9</v>
      </c>
      <c r="G338" s="3" t="str">
        <f>VLOOKUP(Registros[[#This Row],[Cliente]],Cliente_Region[],2,FALSE)</f>
        <v>Colombia</v>
      </c>
      <c r="H338" s="3" t="str">
        <f>VLOOKUP(Registros[[#This Row],[Producto]],Producto[],2,FALSE)</f>
        <v>MOC</v>
      </c>
    </row>
    <row r="339" spans="1:8" ht="20.100000000000001" customHeight="1" x14ac:dyDescent="0.25">
      <c r="A339" s="3" t="s">
        <v>150</v>
      </c>
      <c r="B339" s="3" t="s">
        <v>132</v>
      </c>
      <c r="C339" s="3">
        <v>2022</v>
      </c>
      <c r="D339" s="4">
        <v>4</v>
      </c>
      <c r="E339" s="5">
        <v>444</v>
      </c>
      <c r="F339" s="5">
        <v>195.78</v>
      </c>
      <c r="G339" s="3" t="str">
        <f>VLOOKUP(Registros[[#This Row],[Cliente]],Cliente_Region[],2,FALSE)</f>
        <v>Colombia</v>
      </c>
      <c r="H339" s="3" t="str">
        <f>VLOOKUP(Registros[[#This Row],[Producto]],Producto[],2,FALSE)</f>
        <v>MOC</v>
      </c>
    </row>
    <row r="340" spans="1:8" ht="20.100000000000001" customHeight="1" x14ac:dyDescent="0.25">
      <c r="A340" s="3" t="s">
        <v>150</v>
      </c>
      <c r="B340" s="3" t="s">
        <v>132</v>
      </c>
      <c r="C340" s="3">
        <v>2022</v>
      </c>
      <c r="D340" s="4">
        <v>5</v>
      </c>
      <c r="E340" s="5">
        <v>370</v>
      </c>
      <c r="F340" s="5">
        <v>163.15</v>
      </c>
      <c r="G340" s="3" t="str">
        <f>VLOOKUP(Registros[[#This Row],[Cliente]],Cliente_Region[],2,FALSE)</f>
        <v>Colombia</v>
      </c>
      <c r="H340" s="3" t="str">
        <f>VLOOKUP(Registros[[#This Row],[Producto]],Producto[],2,FALSE)</f>
        <v>MOC</v>
      </c>
    </row>
    <row r="341" spans="1:8" ht="20.100000000000001" customHeight="1" x14ac:dyDescent="0.25">
      <c r="A341" s="3" t="s">
        <v>150</v>
      </c>
      <c r="B341" s="3" t="s">
        <v>132</v>
      </c>
      <c r="C341" s="3">
        <v>2022</v>
      </c>
      <c r="D341" s="4">
        <v>6</v>
      </c>
      <c r="E341" s="5">
        <v>444</v>
      </c>
      <c r="F341" s="5">
        <v>197.05</v>
      </c>
      <c r="G341" s="3" t="str">
        <f>VLOOKUP(Registros[[#This Row],[Cliente]],Cliente_Region[],2,FALSE)</f>
        <v>Colombia</v>
      </c>
      <c r="H341" s="3" t="str">
        <f>VLOOKUP(Registros[[#This Row],[Producto]],Producto[],2,FALSE)</f>
        <v>MOC</v>
      </c>
    </row>
    <row r="342" spans="1:8" ht="20.100000000000001" customHeight="1" x14ac:dyDescent="0.25">
      <c r="A342" s="3" t="s">
        <v>151</v>
      </c>
      <c r="B342" s="3" t="s">
        <v>132</v>
      </c>
      <c r="C342" s="3">
        <v>2022</v>
      </c>
      <c r="D342" s="4">
        <v>4</v>
      </c>
      <c r="E342" s="5">
        <v>740</v>
      </c>
      <c r="F342" s="5">
        <v>227.61</v>
      </c>
      <c r="G342" s="3" t="str">
        <f>VLOOKUP(Registros[[#This Row],[Cliente]],Cliente_Region[],2,FALSE)</f>
        <v>Colombia</v>
      </c>
      <c r="H342" s="3" t="str">
        <f>VLOOKUP(Registros[[#This Row],[Producto]],Producto[],2,FALSE)</f>
        <v>MOC</v>
      </c>
    </row>
    <row r="343" spans="1:8" ht="20.100000000000001" customHeight="1" x14ac:dyDescent="0.25">
      <c r="A343" s="3" t="s">
        <v>5</v>
      </c>
      <c r="B343" s="3" t="s">
        <v>132</v>
      </c>
      <c r="C343" s="3">
        <v>2022</v>
      </c>
      <c r="D343" s="4">
        <v>5</v>
      </c>
      <c r="E343" s="5">
        <v>1480</v>
      </c>
      <c r="F343" s="5">
        <v>455.22</v>
      </c>
      <c r="G343" s="3" t="str">
        <f>VLOOKUP(Registros[[#This Row],[Cliente]],Cliente_Region[],2,FALSE)</f>
        <v>Colombia</v>
      </c>
      <c r="H343" s="3" t="str">
        <f>VLOOKUP(Registros[[#This Row],[Producto]],Producto[],2,FALSE)</f>
        <v>CHOTUS</v>
      </c>
    </row>
    <row r="344" spans="1:8" ht="20.100000000000001" customHeight="1" x14ac:dyDescent="0.25">
      <c r="A344" s="3" t="s">
        <v>5</v>
      </c>
      <c r="B344" s="3" t="s">
        <v>132</v>
      </c>
      <c r="C344" s="3">
        <v>2022</v>
      </c>
      <c r="D344" s="4">
        <v>6</v>
      </c>
      <c r="E344" s="5">
        <v>1110</v>
      </c>
      <c r="F344" s="5">
        <v>311.94</v>
      </c>
      <c r="G344" s="3" t="str">
        <f>VLOOKUP(Registros[[#This Row],[Cliente]],Cliente_Region[],2,FALSE)</f>
        <v>Colombia</v>
      </c>
      <c r="H344" s="3" t="str">
        <f>VLOOKUP(Registros[[#This Row],[Producto]],Producto[],2,FALSE)</f>
        <v>CHOTUS</v>
      </c>
    </row>
    <row r="345" spans="1:8" ht="20.100000000000001" customHeight="1" x14ac:dyDescent="0.25">
      <c r="A345" s="3" t="s">
        <v>153</v>
      </c>
      <c r="B345" s="3" t="s">
        <v>152</v>
      </c>
      <c r="C345" s="3">
        <v>2022</v>
      </c>
      <c r="D345" s="4">
        <v>1</v>
      </c>
      <c r="E345" s="5">
        <v>540</v>
      </c>
      <c r="F345" s="5">
        <v>233.21</v>
      </c>
      <c r="G345" s="3" t="str">
        <f>VLOOKUP(Registros[[#This Row],[Cliente]],Cliente_Region[],2,FALSE)</f>
        <v>Peru</v>
      </c>
      <c r="H345" s="3" t="str">
        <f>VLOOKUP(Registros[[#This Row],[Producto]],Producto[],2,FALSE)</f>
        <v>DAWNE</v>
      </c>
    </row>
    <row r="346" spans="1:8" ht="20.100000000000001" customHeight="1" x14ac:dyDescent="0.25">
      <c r="A346" s="3" t="s">
        <v>154</v>
      </c>
      <c r="B346" s="3" t="s">
        <v>152</v>
      </c>
      <c r="C346" s="3">
        <v>2022</v>
      </c>
      <c r="D346" s="4">
        <v>6</v>
      </c>
      <c r="E346" s="5">
        <v>13.5</v>
      </c>
      <c r="F346" s="5">
        <v>5.93</v>
      </c>
      <c r="G346" s="3" t="str">
        <f>VLOOKUP(Registros[[#This Row],[Cliente]],Cliente_Region[],2,FALSE)</f>
        <v>Peru</v>
      </c>
      <c r="H346" s="3" t="str">
        <f>VLOOKUP(Registros[[#This Row],[Producto]],Producto[],2,FALSE)</f>
        <v>CHOTUS</v>
      </c>
    </row>
    <row r="347" spans="1:8" ht="20.100000000000001" customHeight="1" x14ac:dyDescent="0.25">
      <c r="A347" s="3" t="s">
        <v>155</v>
      </c>
      <c r="B347" s="3" t="s">
        <v>152</v>
      </c>
      <c r="C347" s="3">
        <v>2022</v>
      </c>
      <c r="D347" s="4">
        <v>1</v>
      </c>
      <c r="E347" s="5">
        <v>2576.25</v>
      </c>
      <c r="F347" s="5">
        <v>1710.95</v>
      </c>
      <c r="G347" s="3" t="str">
        <f>VLOOKUP(Registros[[#This Row],[Cliente]],Cliente_Region[],2,FALSE)</f>
        <v>Peru</v>
      </c>
      <c r="H347" s="3" t="str">
        <f>VLOOKUP(Registros[[#This Row],[Producto]],Producto[],2,FALSE)</f>
        <v>SALF</v>
      </c>
    </row>
    <row r="348" spans="1:8" ht="20.100000000000001" customHeight="1" x14ac:dyDescent="0.25">
      <c r="A348" s="3" t="s">
        <v>156</v>
      </c>
      <c r="B348" s="3" t="s">
        <v>152</v>
      </c>
      <c r="C348" s="3">
        <v>2022</v>
      </c>
      <c r="D348" s="4">
        <v>2</v>
      </c>
      <c r="E348" s="5">
        <v>1917.5</v>
      </c>
      <c r="F348" s="5">
        <v>1255.8</v>
      </c>
      <c r="G348" s="3" t="str">
        <f>VLOOKUP(Registros[[#This Row],[Cliente]],Cliente_Region[],2,FALSE)</f>
        <v>Peru</v>
      </c>
      <c r="H348" s="3" t="str">
        <f>VLOOKUP(Registros[[#This Row],[Producto]],Producto[],2,FALSE)</f>
        <v>QUOKAR</v>
      </c>
    </row>
    <row r="349" spans="1:8" ht="20.100000000000001" customHeight="1" x14ac:dyDescent="0.25">
      <c r="A349" s="3" t="s">
        <v>156</v>
      </c>
      <c r="B349" s="3" t="s">
        <v>152</v>
      </c>
      <c r="C349" s="3">
        <v>2022</v>
      </c>
      <c r="D349" s="4">
        <v>3</v>
      </c>
      <c r="E349" s="5">
        <v>2507.5</v>
      </c>
      <c r="F349" s="5">
        <v>1642.2</v>
      </c>
      <c r="G349" s="3" t="str">
        <f>VLOOKUP(Registros[[#This Row],[Cliente]],Cliente_Region[],2,FALSE)</f>
        <v>Peru</v>
      </c>
      <c r="H349" s="3" t="str">
        <f>VLOOKUP(Registros[[#This Row],[Producto]],Producto[],2,FALSE)</f>
        <v>QUOKAR</v>
      </c>
    </row>
    <row r="350" spans="1:8" ht="20.100000000000001" customHeight="1" x14ac:dyDescent="0.25">
      <c r="A350" s="3" t="s">
        <v>156</v>
      </c>
      <c r="B350" s="3" t="s">
        <v>152</v>
      </c>
      <c r="C350" s="3">
        <v>2022</v>
      </c>
      <c r="D350" s="4">
        <v>4</v>
      </c>
      <c r="E350" s="5">
        <v>2245</v>
      </c>
      <c r="F350" s="5">
        <v>1532.4</v>
      </c>
      <c r="G350" s="3" t="str">
        <f>VLOOKUP(Registros[[#This Row],[Cliente]],Cliente_Region[],2,FALSE)</f>
        <v>Peru</v>
      </c>
      <c r="H350" s="3" t="str">
        <f>VLOOKUP(Registros[[#This Row],[Producto]],Producto[],2,FALSE)</f>
        <v>QUOKAR</v>
      </c>
    </row>
    <row r="351" spans="1:8" ht="20.100000000000001" customHeight="1" x14ac:dyDescent="0.25">
      <c r="A351" s="3" t="s">
        <v>156</v>
      </c>
      <c r="B351" s="3" t="s">
        <v>152</v>
      </c>
      <c r="C351" s="3">
        <v>2022</v>
      </c>
      <c r="D351" s="4">
        <v>5</v>
      </c>
      <c r="E351" s="5">
        <v>3852.5</v>
      </c>
      <c r="F351" s="5">
        <v>2681.8</v>
      </c>
      <c r="G351" s="3" t="str">
        <f>VLOOKUP(Registros[[#This Row],[Cliente]],Cliente_Region[],2,FALSE)</f>
        <v>Peru</v>
      </c>
      <c r="H351" s="3" t="str">
        <f>VLOOKUP(Registros[[#This Row],[Producto]],Producto[],2,FALSE)</f>
        <v>QUOKAR</v>
      </c>
    </row>
    <row r="352" spans="1:8" ht="20.100000000000001" customHeight="1" x14ac:dyDescent="0.25">
      <c r="A352" s="3" t="s">
        <v>156</v>
      </c>
      <c r="B352" s="3" t="s">
        <v>152</v>
      </c>
      <c r="C352" s="3">
        <v>2022</v>
      </c>
      <c r="D352" s="4">
        <v>6</v>
      </c>
      <c r="E352" s="5">
        <v>3601.25</v>
      </c>
      <c r="F352" s="5">
        <v>2506.9</v>
      </c>
      <c r="G352" s="3" t="str">
        <f>VLOOKUP(Registros[[#This Row],[Cliente]],Cliente_Region[],2,FALSE)</f>
        <v>Peru</v>
      </c>
      <c r="H352" s="3" t="str">
        <f>VLOOKUP(Registros[[#This Row],[Producto]],Producto[],2,FALSE)</f>
        <v>QUOKAR</v>
      </c>
    </row>
    <row r="353" spans="1:8" ht="20.100000000000001" customHeight="1" x14ac:dyDescent="0.25">
      <c r="A353" s="3" t="s">
        <v>24</v>
      </c>
      <c r="B353" s="3" t="s">
        <v>152</v>
      </c>
      <c r="C353" s="3">
        <v>2022</v>
      </c>
      <c r="D353" s="4">
        <v>1</v>
      </c>
      <c r="E353" s="5">
        <v>5050.08</v>
      </c>
      <c r="F353" s="5">
        <v>2753.1</v>
      </c>
      <c r="G353" s="3" t="str">
        <f>VLOOKUP(Registros[[#This Row],[Cliente]],Cliente_Region[],2,FALSE)</f>
        <v>Peru</v>
      </c>
      <c r="H353" s="3" t="str">
        <f>VLOOKUP(Registros[[#This Row],[Producto]],Producto[],2,FALSE)</f>
        <v>GAMBO</v>
      </c>
    </row>
    <row r="354" spans="1:8" ht="20.100000000000001" customHeight="1" x14ac:dyDescent="0.25">
      <c r="A354" s="3" t="s">
        <v>25</v>
      </c>
      <c r="B354" s="3" t="s">
        <v>152</v>
      </c>
      <c r="C354" s="3">
        <v>2022</v>
      </c>
      <c r="D354" s="4">
        <v>2</v>
      </c>
      <c r="E354" s="5">
        <v>4208.3999999999996</v>
      </c>
      <c r="F354" s="5">
        <v>2294.25</v>
      </c>
      <c r="G354" s="3" t="str">
        <f>VLOOKUP(Registros[[#This Row],[Cliente]],Cliente_Region[],2,FALSE)</f>
        <v>Peru</v>
      </c>
      <c r="H354" s="3" t="str">
        <f>VLOOKUP(Registros[[#This Row],[Producto]],Producto[],2,FALSE)</f>
        <v>MOC</v>
      </c>
    </row>
    <row r="355" spans="1:8" ht="20.100000000000001" customHeight="1" x14ac:dyDescent="0.25">
      <c r="A355" s="3" t="s">
        <v>25</v>
      </c>
      <c r="B355" s="3" t="s">
        <v>152</v>
      </c>
      <c r="C355" s="3">
        <v>2022</v>
      </c>
      <c r="D355" s="4">
        <v>3</v>
      </c>
      <c r="E355" s="5">
        <v>4809.6000000000004</v>
      </c>
      <c r="F355" s="5">
        <v>2622</v>
      </c>
      <c r="G355" s="3" t="str">
        <f>VLOOKUP(Registros[[#This Row],[Cliente]],Cliente_Region[],2,FALSE)</f>
        <v>Peru</v>
      </c>
      <c r="H355" s="3" t="str">
        <f>VLOOKUP(Registros[[#This Row],[Producto]],Producto[],2,FALSE)</f>
        <v>MOC</v>
      </c>
    </row>
    <row r="356" spans="1:8" ht="20.100000000000001" customHeight="1" x14ac:dyDescent="0.25">
      <c r="A356" s="3" t="s">
        <v>25</v>
      </c>
      <c r="B356" s="3" t="s">
        <v>152</v>
      </c>
      <c r="C356" s="3">
        <v>2022</v>
      </c>
      <c r="D356" s="4">
        <v>4</v>
      </c>
      <c r="E356" s="5">
        <v>5050.08</v>
      </c>
      <c r="F356" s="5">
        <v>2753.1</v>
      </c>
      <c r="G356" s="3" t="str">
        <f>VLOOKUP(Registros[[#This Row],[Cliente]],Cliente_Region[],2,FALSE)</f>
        <v>Peru</v>
      </c>
      <c r="H356" s="3" t="str">
        <f>VLOOKUP(Registros[[#This Row],[Producto]],Producto[],2,FALSE)</f>
        <v>MOC</v>
      </c>
    </row>
    <row r="357" spans="1:8" ht="20.100000000000001" customHeight="1" x14ac:dyDescent="0.25">
      <c r="A357" s="3" t="s">
        <v>25</v>
      </c>
      <c r="B357" s="3" t="s">
        <v>152</v>
      </c>
      <c r="C357" s="3">
        <v>2022</v>
      </c>
      <c r="D357" s="4">
        <v>5</v>
      </c>
      <c r="E357" s="5">
        <v>5771.52</v>
      </c>
      <c r="F357" s="5">
        <v>3146.4</v>
      </c>
      <c r="G357" s="3" t="str">
        <f>VLOOKUP(Registros[[#This Row],[Cliente]],Cliente_Region[],2,FALSE)</f>
        <v>Peru</v>
      </c>
      <c r="H357" s="3" t="str">
        <f>VLOOKUP(Registros[[#This Row],[Producto]],Producto[],2,FALSE)</f>
        <v>MOC</v>
      </c>
    </row>
    <row r="358" spans="1:8" ht="20.100000000000001" customHeight="1" x14ac:dyDescent="0.25">
      <c r="A358" s="3" t="s">
        <v>25</v>
      </c>
      <c r="B358" s="3" t="s">
        <v>152</v>
      </c>
      <c r="C358" s="3">
        <v>2022</v>
      </c>
      <c r="D358" s="4">
        <v>6</v>
      </c>
      <c r="E358" s="5">
        <v>5531.04</v>
      </c>
      <c r="F358" s="5">
        <v>3015.3</v>
      </c>
      <c r="G358" s="3" t="str">
        <f>VLOOKUP(Registros[[#This Row],[Cliente]],Cliente_Region[],2,FALSE)</f>
        <v>Peru</v>
      </c>
      <c r="H358" s="3" t="str">
        <f>VLOOKUP(Registros[[#This Row],[Producto]],Producto[],2,FALSE)</f>
        <v>MOC</v>
      </c>
    </row>
    <row r="359" spans="1:8" ht="20.100000000000001" customHeight="1" x14ac:dyDescent="0.25">
      <c r="A359" s="3" t="s">
        <v>30</v>
      </c>
      <c r="B359" s="3" t="s">
        <v>152</v>
      </c>
      <c r="C359" s="3">
        <v>2022</v>
      </c>
      <c r="D359" s="4">
        <v>1</v>
      </c>
      <c r="E359" s="5">
        <v>1131.74</v>
      </c>
      <c r="F359" s="5">
        <v>867.14</v>
      </c>
      <c r="G359" s="3" t="str">
        <f>VLOOKUP(Registros[[#This Row],[Cliente]],Cliente_Region[],2,FALSE)</f>
        <v>Peru</v>
      </c>
      <c r="H359" s="3" t="str">
        <f>VLOOKUP(Registros[[#This Row],[Producto]],Producto[],2,FALSE)</f>
        <v>CHOTUS</v>
      </c>
    </row>
    <row r="360" spans="1:8" ht="20.100000000000001" customHeight="1" x14ac:dyDescent="0.25">
      <c r="A360" s="3" t="s">
        <v>31</v>
      </c>
      <c r="B360" s="3" t="s">
        <v>152</v>
      </c>
      <c r="C360" s="3">
        <v>2022</v>
      </c>
      <c r="D360" s="4">
        <v>2</v>
      </c>
      <c r="E360" s="5">
        <v>837.5</v>
      </c>
      <c r="F360" s="5">
        <v>637.04999999999995</v>
      </c>
      <c r="G360" s="3" t="str">
        <f>VLOOKUP(Registros[[#This Row],[Cliente]],Cliente_Region[],2,FALSE)</f>
        <v>Peru</v>
      </c>
      <c r="H360" s="3" t="str">
        <f>VLOOKUP(Registros[[#This Row],[Producto]],Producto[],2,FALSE)</f>
        <v>CHOTUS</v>
      </c>
    </row>
    <row r="361" spans="1:8" ht="20.100000000000001" customHeight="1" x14ac:dyDescent="0.25">
      <c r="A361" s="3" t="s">
        <v>31</v>
      </c>
      <c r="B361" s="3" t="s">
        <v>152</v>
      </c>
      <c r="C361" s="3">
        <v>2022</v>
      </c>
      <c r="D361" s="4">
        <v>3</v>
      </c>
      <c r="E361" s="5">
        <v>871</v>
      </c>
      <c r="F361" s="5">
        <v>662.54</v>
      </c>
      <c r="G361" s="3" t="str">
        <f>VLOOKUP(Registros[[#This Row],[Cliente]],Cliente_Region[],2,FALSE)</f>
        <v>Peru</v>
      </c>
      <c r="H361" s="3" t="str">
        <f>VLOOKUP(Registros[[#This Row],[Producto]],Producto[],2,FALSE)</f>
        <v>CHOTUS</v>
      </c>
    </row>
    <row r="362" spans="1:8" ht="20.100000000000001" customHeight="1" x14ac:dyDescent="0.25">
      <c r="A362" s="3" t="s">
        <v>31</v>
      </c>
      <c r="B362" s="3" t="s">
        <v>152</v>
      </c>
      <c r="C362" s="3">
        <v>2022</v>
      </c>
      <c r="D362" s="4">
        <v>4</v>
      </c>
      <c r="E362" s="5">
        <v>1360.9</v>
      </c>
      <c r="F362" s="5">
        <v>1064.25</v>
      </c>
      <c r="G362" s="3" t="str">
        <f>VLOOKUP(Registros[[#This Row],[Cliente]],Cliente_Region[],2,FALSE)</f>
        <v>Peru</v>
      </c>
      <c r="H362" s="3" t="str">
        <f>VLOOKUP(Registros[[#This Row],[Producto]],Producto[],2,FALSE)</f>
        <v>CHOTUS</v>
      </c>
    </row>
    <row r="363" spans="1:8" ht="20.100000000000001" customHeight="1" x14ac:dyDescent="0.25">
      <c r="A363" s="3" t="s">
        <v>31</v>
      </c>
      <c r="B363" s="3" t="s">
        <v>152</v>
      </c>
      <c r="C363" s="3">
        <v>2022</v>
      </c>
      <c r="D363" s="4">
        <v>5</v>
      </c>
      <c r="E363" s="5">
        <v>1578.5</v>
      </c>
      <c r="F363" s="5">
        <v>1249.77</v>
      </c>
      <c r="G363" s="3" t="str">
        <f>VLOOKUP(Registros[[#This Row],[Cliente]],Cliente_Region[],2,FALSE)</f>
        <v>Peru</v>
      </c>
      <c r="H363" s="3" t="str">
        <f>VLOOKUP(Registros[[#This Row],[Producto]],Producto[],2,FALSE)</f>
        <v>CHOTUS</v>
      </c>
    </row>
    <row r="364" spans="1:8" ht="20.100000000000001" customHeight="1" x14ac:dyDescent="0.25">
      <c r="A364" s="3" t="s">
        <v>31</v>
      </c>
      <c r="B364" s="3" t="s">
        <v>152</v>
      </c>
      <c r="C364" s="3">
        <v>2022</v>
      </c>
      <c r="D364" s="4">
        <v>6</v>
      </c>
      <c r="E364" s="5">
        <v>1886.5</v>
      </c>
      <c r="F364" s="5">
        <v>1493.62</v>
      </c>
      <c r="G364" s="3" t="str">
        <f>VLOOKUP(Registros[[#This Row],[Cliente]],Cliente_Region[],2,FALSE)</f>
        <v>Peru</v>
      </c>
      <c r="H364" s="3" t="str">
        <f>VLOOKUP(Registros[[#This Row],[Producto]],Producto[],2,FALSE)</f>
        <v>CHOTUS</v>
      </c>
    </row>
    <row r="365" spans="1:8" ht="20.100000000000001" customHeight="1" x14ac:dyDescent="0.25">
      <c r="A365" s="3" t="s">
        <v>34</v>
      </c>
      <c r="B365" s="3" t="s">
        <v>152</v>
      </c>
      <c r="C365" s="3">
        <v>2022</v>
      </c>
      <c r="D365" s="4">
        <v>1</v>
      </c>
      <c r="E365" s="5">
        <v>135.16999999999999</v>
      </c>
      <c r="F365" s="5">
        <v>104.15</v>
      </c>
      <c r="G365" s="3" t="str">
        <f>VLOOKUP(Registros[[#This Row],[Cliente]],Cliente_Region[],2,FALSE)</f>
        <v>Peru</v>
      </c>
      <c r="H365" s="3" t="str">
        <f>VLOOKUP(Registros[[#This Row],[Producto]],Producto[],2,FALSE)</f>
        <v>DONANY</v>
      </c>
    </row>
    <row r="366" spans="1:8" ht="20.100000000000001" customHeight="1" x14ac:dyDescent="0.25">
      <c r="A366" s="3" t="s">
        <v>35</v>
      </c>
      <c r="B366" s="3" t="s">
        <v>152</v>
      </c>
      <c r="C366" s="3">
        <v>2022</v>
      </c>
      <c r="D366" s="4">
        <v>2</v>
      </c>
      <c r="E366" s="5">
        <v>64</v>
      </c>
      <c r="F366" s="5">
        <v>48.49</v>
      </c>
      <c r="G366" s="3" t="str">
        <f>VLOOKUP(Registros[[#This Row],[Cliente]],Cliente_Region[],2,FALSE)</f>
        <v>Peru</v>
      </c>
      <c r="H366" s="3" t="str">
        <f>VLOOKUP(Registros[[#This Row],[Producto]],Producto[],2,FALSE)</f>
        <v>MOC</v>
      </c>
    </row>
    <row r="367" spans="1:8" ht="20.100000000000001" customHeight="1" x14ac:dyDescent="0.25">
      <c r="A367" s="3" t="s">
        <v>35</v>
      </c>
      <c r="B367" s="3" t="s">
        <v>152</v>
      </c>
      <c r="C367" s="3">
        <v>2022</v>
      </c>
      <c r="D367" s="4">
        <v>3</v>
      </c>
      <c r="E367" s="5">
        <v>112</v>
      </c>
      <c r="F367" s="5">
        <v>84.86</v>
      </c>
      <c r="G367" s="3" t="str">
        <f>VLOOKUP(Registros[[#This Row],[Cliente]],Cliente_Region[],2,FALSE)</f>
        <v>Peru</v>
      </c>
      <c r="H367" s="3" t="str">
        <f>VLOOKUP(Registros[[#This Row],[Producto]],Producto[],2,FALSE)</f>
        <v>MOC</v>
      </c>
    </row>
    <row r="368" spans="1:8" ht="20.100000000000001" customHeight="1" x14ac:dyDescent="0.25">
      <c r="A368" s="3" t="s">
        <v>35</v>
      </c>
      <c r="B368" s="3" t="s">
        <v>152</v>
      </c>
      <c r="C368" s="3">
        <v>2022</v>
      </c>
      <c r="D368" s="4">
        <v>4</v>
      </c>
      <c r="E368" s="5">
        <v>123.85</v>
      </c>
      <c r="F368" s="5">
        <v>96.71</v>
      </c>
      <c r="G368" s="3" t="str">
        <f>VLOOKUP(Registros[[#This Row],[Cliente]],Cliente_Region[],2,FALSE)</f>
        <v>Peru</v>
      </c>
      <c r="H368" s="3" t="str">
        <f>VLOOKUP(Registros[[#This Row],[Producto]],Producto[],2,FALSE)</f>
        <v>MOC</v>
      </c>
    </row>
    <row r="369" spans="1:8" ht="20.100000000000001" customHeight="1" x14ac:dyDescent="0.25">
      <c r="A369" s="3" t="s">
        <v>35</v>
      </c>
      <c r="B369" s="3" t="s">
        <v>152</v>
      </c>
      <c r="C369" s="3">
        <v>2022</v>
      </c>
      <c r="D369" s="4">
        <v>5</v>
      </c>
      <c r="E369" s="5">
        <v>139.65</v>
      </c>
      <c r="F369" s="5">
        <v>112.51</v>
      </c>
      <c r="G369" s="3" t="str">
        <f>VLOOKUP(Registros[[#This Row],[Cliente]],Cliente_Region[],2,FALSE)</f>
        <v>Peru</v>
      </c>
      <c r="H369" s="3" t="str">
        <f>VLOOKUP(Registros[[#This Row],[Producto]],Producto[],2,FALSE)</f>
        <v>MOC</v>
      </c>
    </row>
    <row r="370" spans="1:8" ht="20.100000000000001" customHeight="1" x14ac:dyDescent="0.25">
      <c r="A370" s="3" t="s">
        <v>35</v>
      </c>
      <c r="B370" s="3" t="s">
        <v>152</v>
      </c>
      <c r="C370" s="3">
        <v>2022</v>
      </c>
      <c r="D370" s="4">
        <v>6</v>
      </c>
      <c r="E370" s="5">
        <v>199.5</v>
      </c>
      <c r="F370" s="5">
        <v>160.74</v>
      </c>
      <c r="G370" s="3" t="str">
        <f>VLOOKUP(Registros[[#This Row],[Cliente]],Cliente_Region[],2,FALSE)</f>
        <v>Peru</v>
      </c>
      <c r="H370" s="3" t="str">
        <f>VLOOKUP(Registros[[#This Row],[Producto]],Producto[],2,FALSE)</f>
        <v>MOC</v>
      </c>
    </row>
    <row r="371" spans="1:8" ht="20.100000000000001" customHeight="1" x14ac:dyDescent="0.25">
      <c r="A371" s="3" t="s">
        <v>157</v>
      </c>
      <c r="B371" s="3" t="s">
        <v>152</v>
      </c>
      <c r="C371" s="3">
        <v>2022</v>
      </c>
      <c r="D371" s="4">
        <v>3</v>
      </c>
      <c r="E371" s="5">
        <v>42</v>
      </c>
      <c r="F371" s="5">
        <v>13.5</v>
      </c>
      <c r="G371" s="3" t="str">
        <f>VLOOKUP(Registros[[#This Row],[Cliente]],Cliente_Region[],2,FALSE)</f>
        <v>Peru</v>
      </c>
      <c r="H371" s="3" t="str">
        <f>VLOOKUP(Registros[[#This Row],[Producto]],Producto[],2,FALSE)</f>
        <v>GAMBO</v>
      </c>
    </row>
    <row r="372" spans="1:8" ht="20.100000000000001" customHeight="1" x14ac:dyDescent="0.25">
      <c r="A372" s="3" t="s">
        <v>42</v>
      </c>
      <c r="B372" s="3" t="s">
        <v>152</v>
      </c>
      <c r="C372" s="3">
        <v>2022</v>
      </c>
      <c r="D372" s="4">
        <v>2</v>
      </c>
      <c r="E372" s="5">
        <v>147</v>
      </c>
      <c r="F372" s="5">
        <v>80.11</v>
      </c>
      <c r="G372" s="3" t="str">
        <f>VLOOKUP(Registros[[#This Row],[Cliente]],Cliente_Region[],2,FALSE)</f>
        <v>Peru</v>
      </c>
      <c r="H372" s="3" t="str">
        <f>VLOOKUP(Registros[[#This Row],[Producto]],Producto[],2,FALSE)</f>
        <v>GAMBO</v>
      </c>
    </row>
    <row r="373" spans="1:8" ht="20.100000000000001" customHeight="1" x14ac:dyDescent="0.25">
      <c r="A373" s="3" t="s">
        <v>43</v>
      </c>
      <c r="B373" s="3" t="s">
        <v>152</v>
      </c>
      <c r="C373" s="3">
        <v>2022</v>
      </c>
      <c r="D373" s="4">
        <v>3</v>
      </c>
      <c r="E373" s="5">
        <v>245</v>
      </c>
      <c r="F373" s="5">
        <v>133.51</v>
      </c>
      <c r="G373" s="3" t="str">
        <f>VLOOKUP(Registros[[#This Row],[Cliente]],Cliente_Region[],2,FALSE)</f>
        <v>Peru</v>
      </c>
      <c r="H373" s="3" t="str">
        <f>VLOOKUP(Registros[[#This Row],[Producto]],Producto[],2,FALSE)</f>
        <v>MOC</v>
      </c>
    </row>
    <row r="374" spans="1:8" ht="20.100000000000001" customHeight="1" x14ac:dyDescent="0.25">
      <c r="A374" s="3" t="s">
        <v>43</v>
      </c>
      <c r="B374" s="3" t="s">
        <v>152</v>
      </c>
      <c r="C374" s="3">
        <v>2022</v>
      </c>
      <c r="D374" s="4">
        <v>4</v>
      </c>
      <c r="E374" s="5">
        <v>73.5</v>
      </c>
      <c r="F374" s="5">
        <v>40.049999999999997</v>
      </c>
      <c r="G374" s="3" t="str">
        <f>VLOOKUP(Registros[[#This Row],[Cliente]],Cliente_Region[],2,FALSE)</f>
        <v>Peru</v>
      </c>
      <c r="H374" s="3" t="str">
        <f>VLOOKUP(Registros[[#This Row],[Producto]],Producto[],2,FALSE)</f>
        <v>MOC</v>
      </c>
    </row>
    <row r="375" spans="1:8" ht="20.100000000000001" customHeight="1" x14ac:dyDescent="0.25">
      <c r="A375" s="3" t="s">
        <v>43</v>
      </c>
      <c r="B375" s="3" t="s">
        <v>152</v>
      </c>
      <c r="C375" s="3">
        <v>2022</v>
      </c>
      <c r="D375" s="4">
        <v>5</v>
      </c>
      <c r="E375" s="5">
        <v>98</v>
      </c>
      <c r="F375" s="5">
        <v>53.4</v>
      </c>
      <c r="G375" s="3" t="str">
        <f>VLOOKUP(Registros[[#This Row],[Cliente]],Cliente_Region[],2,FALSE)</f>
        <v>Peru</v>
      </c>
      <c r="H375" s="3" t="str">
        <f>VLOOKUP(Registros[[#This Row],[Producto]],Producto[],2,FALSE)</f>
        <v>MOC</v>
      </c>
    </row>
    <row r="376" spans="1:8" ht="20.100000000000001" customHeight="1" x14ac:dyDescent="0.25">
      <c r="A376" s="3" t="s">
        <v>43</v>
      </c>
      <c r="B376" s="3" t="s">
        <v>152</v>
      </c>
      <c r="C376" s="3">
        <v>2022</v>
      </c>
      <c r="D376" s="4">
        <v>6</v>
      </c>
      <c r="E376" s="5">
        <v>23.75</v>
      </c>
      <c r="F376" s="5">
        <v>12.6</v>
      </c>
      <c r="G376" s="3" t="str">
        <f>VLOOKUP(Registros[[#This Row],[Cliente]],Cliente_Region[],2,FALSE)</f>
        <v>Peru</v>
      </c>
      <c r="H376" s="3" t="str">
        <f>VLOOKUP(Registros[[#This Row],[Producto]],Producto[],2,FALSE)</f>
        <v>MOC</v>
      </c>
    </row>
    <row r="377" spans="1:8" ht="20.100000000000001" customHeight="1" x14ac:dyDescent="0.25">
      <c r="A377" s="3" t="s">
        <v>159</v>
      </c>
      <c r="B377" s="3" t="s">
        <v>152</v>
      </c>
      <c r="C377" s="3">
        <v>2022</v>
      </c>
      <c r="D377" s="4">
        <v>4</v>
      </c>
      <c r="E377" s="5">
        <v>963.5</v>
      </c>
      <c r="F377" s="5">
        <v>464</v>
      </c>
      <c r="G377" s="3" t="str">
        <f>VLOOKUP(Registros[[#This Row],[Cliente]],Cliente_Region[],2,FALSE)</f>
        <v>Peru</v>
      </c>
      <c r="H377" s="3" t="str">
        <f>VLOOKUP(Registros[[#This Row],[Producto]],Producto[],2,FALSE)</f>
        <v>DAWNE</v>
      </c>
    </row>
    <row r="378" spans="1:8" ht="20.100000000000001" customHeight="1" x14ac:dyDescent="0.25">
      <c r="A378" s="3" t="s">
        <v>160</v>
      </c>
      <c r="B378" s="3" t="s">
        <v>152</v>
      </c>
      <c r="C378" s="3">
        <v>2022</v>
      </c>
      <c r="D378" s="4">
        <v>5</v>
      </c>
      <c r="E378" s="5">
        <v>1927</v>
      </c>
      <c r="F378" s="5">
        <v>928</v>
      </c>
      <c r="G378" s="3" t="str">
        <f>VLOOKUP(Registros[[#This Row],[Cliente]],Cliente_Region[],2,FALSE)</f>
        <v>Peru</v>
      </c>
      <c r="H378" s="3" t="str">
        <f>VLOOKUP(Registros[[#This Row],[Producto]],Producto[],2,FALSE)</f>
        <v>QUOKAR</v>
      </c>
    </row>
    <row r="379" spans="1:8" ht="20.100000000000001" customHeight="1" x14ac:dyDescent="0.25">
      <c r="A379" s="3" t="s">
        <v>160</v>
      </c>
      <c r="B379" s="3" t="s">
        <v>152</v>
      </c>
      <c r="C379" s="3">
        <v>2022</v>
      </c>
      <c r="D379" s="4">
        <v>6</v>
      </c>
      <c r="E379" s="5">
        <v>1734.3</v>
      </c>
      <c r="F379" s="5">
        <v>835.2</v>
      </c>
      <c r="G379" s="3" t="str">
        <f>VLOOKUP(Registros[[#This Row],[Cliente]],Cliente_Region[],2,FALSE)</f>
        <v>Peru</v>
      </c>
      <c r="H379" s="3" t="str">
        <f>VLOOKUP(Registros[[#This Row],[Producto]],Producto[],2,FALSE)</f>
        <v>QUOKAR</v>
      </c>
    </row>
    <row r="380" spans="1:8" ht="20.100000000000001" customHeight="1" x14ac:dyDescent="0.25">
      <c r="A380" s="3" t="s">
        <v>161</v>
      </c>
      <c r="B380" s="3" t="s">
        <v>152</v>
      </c>
      <c r="C380" s="3">
        <v>2022</v>
      </c>
      <c r="D380" s="4">
        <v>1</v>
      </c>
      <c r="E380" s="5">
        <v>1734.3</v>
      </c>
      <c r="F380" s="5">
        <v>1155.8699999999999</v>
      </c>
      <c r="G380" s="3" t="str">
        <f>VLOOKUP(Registros[[#This Row],[Cliente]],Cliente_Region[],2,FALSE)</f>
        <v>Peru</v>
      </c>
      <c r="H380" s="3" t="str">
        <f>VLOOKUP(Registros[[#This Row],[Producto]],Producto[],2,FALSE)</f>
        <v>LAX</v>
      </c>
    </row>
    <row r="381" spans="1:8" ht="20.100000000000001" customHeight="1" x14ac:dyDescent="0.25">
      <c r="A381" s="3" t="s">
        <v>162</v>
      </c>
      <c r="B381" s="3" t="s">
        <v>152</v>
      </c>
      <c r="C381" s="3">
        <v>2022</v>
      </c>
      <c r="D381" s="4">
        <v>2</v>
      </c>
      <c r="E381" s="5">
        <v>1464.52</v>
      </c>
      <c r="F381" s="5">
        <v>976.07</v>
      </c>
      <c r="G381" s="3" t="str">
        <f>VLOOKUP(Registros[[#This Row],[Cliente]],Cliente_Region[],2,FALSE)</f>
        <v>Peru</v>
      </c>
      <c r="H381" s="3" t="str">
        <f>VLOOKUP(Registros[[#This Row],[Producto]],Producto[],2,FALSE)</f>
        <v>QUOKAR</v>
      </c>
    </row>
    <row r="382" spans="1:8" ht="20.100000000000001" customHeight="1" x14ac:dyDescent="0.25">
      <c r="A382" s="3" t="s">
        <v>162</v>
      </c>
      <c r="B382" s="3" t="s">
        <v>152</v>
      </c>
      <c r="C382" s="3">
        <v>2022</v>
      </c>
      <c r="D382" s="4">
        <v>3</v>
      </c>
      <c r="E382" s="5">
        <v>1348.9</v>
      </c>
      <c r="F382" s="5">
        <v>899.01</v>
      </c>
      <c r="G382" s="3" t="str">
        <f>VLOOKUP(Registros[[#This Row],[Cliente]],Cliente_Region[],2,FALSE)</f>
        <v>Peru</v>
      </c>
      <c r="H382" s="3" t="str">
        <f>VLOOKUP(Registros[[#This Row],[Producto]],Producto[],2,FALSE)</f>
        <v>QUOKAR</v>
      </c>
    </row>
    <row r="383" spans="1:8" ht="20.100000000000001" customHeight="1" x14ac:dyDescent="0.25">
      <c r="A383" s="3" t="s">
        <v>162</v>
      </c>
      <c r="B383" s="3" t="s">
        <v>152</v>
      </c>
      <c r="C383" s="3">
        <v>2022</v>
      </c>
      <c r="D383" s="4">
        <v>4</v>
      </c>
      <c r="E383" s="5">
        <v>385.4</v>
      </c>
      <c r="F383" s="5">
        <v>256.86</v>
      </c>
      <c r="G383" s="3" t="str">
        <f>VLOOKUP(Registros[[#This Row],[Cliente]],Cliente_Region[],2,FALSE)</f>
        <v>Peru</v>
      </c>
      <c r="H383" s="3" t="str">
        <f>VLOOKUP(Registros[[#This Row],[Producto]],Producto[],2,FALSE)</f>
        <v>QUOKAR</v>
      </c>
    </row>
    <row r="384" spans="1:8" ht="20.100000000000001" customHeight="1" x14ac:dyDescent="0.25">
      <c r="A384" s="3" t="s">
        <v>46</v>
      </c>
      <c r="B384" s="3" t="s">
        <v>152</v>
      </c>
      <c r="C384" s="3">
        <v>2022</v>
      </c>
      <c r="D384" s="4">
        <v>1</v>
      </c>
      <c r="E384" s="5">
        <v>13026.64</v>
      </c>
      <c r="F384" s="5">
        <v>8627.36</v>
      </c>
      <c r="G384" s="3" t="str">
        <f>VLOOKUP(Registros[[#This Row],[Cliente]],Cliente_Region[],2,FALSE)</f>
        <v>Peru</v>
      </c>
      <c r="H384" s="3" t="str">
        <f>VLOOKUP(Registros[[#This Row],[Producto]],Producto[],2,FALSE)</f>
        <v>QUOKAR</v>
      </c>
    </row>
    <row r="385" spans="1:8" ht="20.100000000000001" customHeight="1" x14ac:dyDescent="0.25">
      <c r="A385" s="3" t="s">
        <v>47</v>
      </c>
      <c r="B385" s="3" t="s">
        <v>152</v>
      </c>
      <c r="C385" s="3">
        <v>2022</v>
      </c>
      <c r="D385" s="4">
        <v>2</v>
      </c>
      <c r="E385" s="5">
        <v>9240</v>
      </c>
      <c r="F385" s="5">
        <v>6083.99</v>
      </c>
      <c r="G385" s="3" t="str">
        <f>VLOOKUP(Registros[[#This Row],[Cliente]],Cliente_Region[],2,FALSE)</f>
        <v>Peru</v>
      </c>
      <c r="H385" s="3" t="str">
        <f>VLOOKUP(Registros[[#This Row],[Producto]],Producto[],2,FALSE)</f>
        <v>LAX</v>
      </c>
    </row>
    <row r="386" spans="1:8" ht="20.100000000000001" customHeight="1" x14ac:dyDescent="0.25">
      <c r="A386" s="3" t="s">
        <v>47</v>
      </c>
      <c r="B386" s="3" t="s">
        <v>152</v>
      </c>
      <c r="C386" s="3">
        <v>2022</v>
      </c>
      <c r="D386" s="4">
        <v>3</v>
      </c>
      <c r="E386" s="5">
        <v>13720</v>
      </c>
      <c r="F386" s="5">
        <v>9033.81</v>
      </c>
      <c r="G386" s="3" t="str">
        <f>VLOOKUP(Registros[[#This Row],[Cliente]],Cliente_Region[],2,FALSE)</f>
        <v>Peru</v>
      </c>
      <c r="H386" s="3" t="str">
        <f>VLOOKUP(Registros[[#This Row],[Producto]],Producto[],2,FALSE)</f>
        <v>LAX</v>
      </c>
    </row>
    <row r="387" spans="1:8" ht="20.100000000000001" customHeight="1" x14ac:dyDescent="0.25">
      <c r="A387" s="3" t="s">
        <v>47</v>
      </c>
      <c r="B387" s="3" t="s">
        <v>152</v>
      </c>
      <c r="C387" s="3">
        <v>2022</v>
      </c>
      <c r="D387" s="4">
        <v>4</v>
      </c>
      <c r="E387" s="5">
        <v>14840</v>
      </c>
      <c r="F387" s="5">
        <v>9771.26</v>
      </c>
      <c r="G387" s="3" t="str">
        <f>VLOOKUP(Registros[[#This Row],[Cliente]],Cliente_Region[],2,FALSE)</f>
        <v>Peru</v>
      </c>
      <c r="H387" s="3" t="str">
        <f>VLOOKUP(Registros[[#This Row],[Producto]],Producto[],2,FALSE)</f>
        <v>LAX</v>
      </c>
    </row>
    <row r="388" spans="1:8" ht="20.100000000000001" customHeight="1" x14ac:dyDescent="0.25">
      <c r="A388" s="3" t="s">
        <v>47</v>
      </c>
      <c r="B388" s="3" t="s">
        <v>152</v>
      </c>
      <c r="C388" s="3">
        <v>2022</v>
      </c>
      <c r="D388" s="4">
        <v>5</v>
      </c>
      <c r="E388" s="5">
        <v>15400</v>
      </c>
      <c r="F388" s="5">
        <v>10140</v>
      </c>
      <c r="G388" s="3" t="str">
        <f>VLOOKUP(Registros[[#This Row],[Cliente]],Cliente_Region[],2,FALSE)</f>
        <v>Peru</v>
      </c>
      <c r="H388" s="3" t="str">
        <f>VLOOKUP(Registros[[#This Row],[Producto]],Producto[],2,FALSE)</f>
        <v>LAX</v>
      </c>
    </row>
    <row r="389" spans="1:8" ht="20.100000000000001" customHeight="1" x14ac:dyDescent="0.25">
      <c r="A389" s="3" t="s">
        <v>47</v>
      </c>
      <c r="B389" s="3" t="s">
        <v>152</v>
      </c>
      <c r="C389" s="3">
        <v>2022</v>
      </c>
      <c r="D389" s="4">
        <v>6</v>
      </c>
      <c r="E389" s="5">
        <v>16800</v>
      </c>
      <c r="F389" s="5">
        <v>11061.81</v>
      </c>
      <c r="G389" s="3" t="str">
        <f>VLOOKUP(Registros[[#This Row],[Cliente]],Cliente_Region[],2,FALSE)</f>
        <v>Peru</v>
      </c>
      <c r="H389" s="3" t="str">
        <f>VLOOKUP(Registros[[#This Row],[Producto]],Producto[],2,FALSE)</f>
        <v>LAX</v>
      </c>
    </row>
    <row r="390" spans="1:8" ht="20.100000000000001" customHeight="1" x14ac:dyDescent="0.25">
      <c r="A390" s="3" t="s">
        <v>48</v>
      </c>
      <c r="B390" s="3" t="s">
        <v>152</v>
      </c>
      <c r="C390" s="3">
        <v>2022</v>
      </c>
      <c r="D390" s="4">
        <v>1</v>
      </c>
      <c r="E390" s="5">
        <v>5620.2</v>
      </c>
      <c r="F390" s="5">
        <v>3819.3</v>
      </c>
      <c r="G390" s="3" t="str">
        <f>VLOOKUP(Registros[[#This Row],[Cliente]],Cliente_Region[],2,FALSE)</f>
        <v>Peru</v>
      </c>
      <c r="H390" s="3" t="str">
        <f>VLOOKUP(Registros[[#This Row],[Producto]],Producto[],2,FALSE)</f>
        <v>GAMBO</v>
      </c>
    </row>
    <row r="391" spans="1:8" ht="20.100000000000001" customHeight="1" x14ac:dyDescent="0.25">
      <c r="A391" s="3" t="s">
        <v>49</v>
      </c>
      <c r="B391" s="3" t="s">
        <v>152</v>
      </c>
      <c r="C391" s="3">
        <v>2022</v>
      </c>
      <c r="D391" s="4">
        <v>2</v>
      </c>
      <c r="E391" s="5">
        <v>4059</v>
      </c>
      <c r="F391" s="5">
        <v>2767.05</v>
      </c>
      <c r="G391" s="3" t="str">
        <f>VLOOKUP(Registros[[#This Row],[Cliente]],Cliente_Region[],2,FALSE)</f>
        <v>Peru</v>
      </c>
      <c r="H391" s="3" t="str">
        <f>VLOOKUP(Registros[[#This Row],[Producto]],Producto[],2,FALSE)</f>
        <v>CHOTUS</v>
      </c>
    </row>
    <row r="392" spans="1:8" ht="20.100000000000001" customHeight="1" x14ac:dyDescent="0.25">
      <c r="A392" s="3" t="s">
        <v>49</v>
      </c>
      <c r="B392" s="3" t="s">
        <v>152</v>
      </c>
      <c r="C392" s="3">
        <v>2022</v>
      </c>
      <c r="D392" s="4">
        <v>3</v>
      </c>
      <c r="E392" s="5">
        <v>4428</v>
      </c>
      <c r="F392" s="5">
        <v>3018.6</v>
      </c>
      <c r="G392" s="3" t="str">
        <f>VLOOKUP(Registros[[#This Row],[Cliente]],Cliente_Region[],2,FALSE)</f>
        <v>Peru</v>
      </c>
      <c r="H392" s="3" t="str">
        <f>VLOOKUP(Registros[[#This Row],[Producto]],Producto[],2,FALSE)</f>
        <v>CHOTUS</v>
      </c>
    </row>
    <row r="393" spans="1:8" ht="20.100000000000001" customHeight="1" x14ac:dyDescent="0.25">
      <c r="A393" s="3" t="s">
        <v>49</v>
      </c>
      <c r="B393" s="3" t="s">
        <v>152</v>
      </c>
      <c r="C393" s="3">
        <v>2022</v>
      </c>
      <c r="D393" s="4">
        <v>4</v>
      </c>
      <c r="E393" s="5">
        <v>5178.75</v>
      </c>
      <c r="F393" s="5">
        <v>3527.92</v>
      </c>
      <c r="G393" s="3" t="str">
        <f>VLOOKUP(Registros[[#This Row],[Cliente]],Cliente_Region[],2,FALSE)</f>
        <v>Peru</v>
      </c>
      <c r="H393" s="3" t="str">
        <f>VLOOKUP(Registros[[#This Row],[Producto]],Producto[],2,FALSE)</f>
        <v>CHOTUS</v>
      </c>
    </row>
    <row r="394" spans="1:8" ht="20.100000000000001" customHeight="1" x14ac:dyDescent="0.25">
      <c r="A394" s="3" t="s">
        <v>49</v>
      </c>
      <c r="B394" s="3" t="s">
        <v>152</v>
      </c>
      <c r="C394" s="3">
        <v>2022</v>
      </c>
      <c r="D394" s="4">
        <v>5</v>
      </c>
      <c r="E394" s="5">
        <v>5658</v>
      </c>
      <c r="F394" s="5">
        <v>3857.1</v>
      </c>
      <c r="G394" s="3" t="str">
        <f>VLOOKUP(Registros[[#This Row],[Cliente]],Cliente_Region[],2,FALSE)</f>
        <v>Peru</v>
      </c>
      <c r="H394" s="3" t="str">
        <f>VLOOKUP(Registros[[#This Row],[Producto]],Producto[],2,FALSE)</f>
        <v>CHOTUS</v>
      </c>
    </row>
    <row r="395" spans="1:8" ht="20.100000000000001" customHeight="1" x14ac:dyDescent="0.25">
      <c r="A395" s="3" t="s">
        <v>49</v>
      </c>
      <c r="B395" s="3" t="s">
        <v>152</v>
      </c>
      <c r="C395" s="3">
        <v>2022</v>
      </c>
      <c r="D395" s="4">
        <v>6</v>
      </c>
      <c r="E395" s="5">
        <v>6642</v>
      </c>
      <c r="F395" s="5">
        <v>4527.8900000000003</v>
      </c>
      <c r="G395" s="3" t="str">
        <f>VLOOKUP(Registros[[#This Row],[Cliente]],Cliente_Region[],2,FALSE)</f>
        <v>Peru</v>
      </c>
      <c r="H395" s="3" t="str">
        <f>VLOOKUP(Registros[[#This Row],[Producto]],Producto[],2,FALSE)</f>
        <v>CHOTUS</v>
      </c>
    </row>
    <row r="396" spans="1:8" ht="20.100000000000001" customHeight="1" x14ac:dyDescent="0.25">
      <c r="A396" s="3" t="s">
        <v>136</v>
      </c>
      <c r="B396" s="3" t="s">
        <v>152</v>
      </c>
      <c r="C396" s="3">
        <v>2022</v>
      </c>
      <c r="D396" s="4">
        <v>4</v>
      </c>
      <c r="E396" s="5">
        <v>192.7</v>
      </c>
      <c r="F396" s="5">
        <v>68.069999999999993</v>
      </c>
      <c r="G396" s="3" t="str">
        <f>VLOOKUP(Registros[[#This Row],[Cliente]],Cliente_Region[],2,FALSE)</f>
        <v>Peru</v>
      </c>
      <c r="H396" s="3" t="str">
        <f>VLOOKUP(Registros[[#This Row],[Producto]],Producto[],2,FALSE)</f>
        <v>CHOTUS</v>
      </c>
    </row>
    <row r="397" spans="1:8" ht="20.100000000000001" customHeight="1" x14ac:dyDescent="0.25">
      <c r="A397" s="3" t="s">
        <v>163</v>
      </c>
      <c r="B397" s="3" t="s">
        <v>152</v>
      </c>
      <c r="C397" s="3">
        <v>2022</v>
      </c>
      <c r="D397" s="4">
        <v>4</v>
      </c>
      <c r="E397" s="5">
        <v>-23.75</v>
      </c>
      <c r="F397" s="5">
        <v>-23.75</v>
      </c>
      <c r="G397" s="3" t="str">
        <f>VLOOKUP(Registros[[#This Row],[Cliente]],Cliente_Region[],2,FALSE)</f>
        <v>Peru</v>
      </c>
      <c r="H397" s="3" t="str">
        <f>VLOOKUP(Registros[[#This Row],[Producto]],Producto[],2,FALSE)</f>
        <v>MOC</v>
      </c>
    </row>
    <row r="398" spans="1:8" ht="20.100000000000001" customHeight="1" x14ac:dyDescent="0.25">
      <c r="A398" s="3" t="s">
        <v>164</v>
      </c>
      <c r="B398" s="3" t="s">
        <v>152</v>
      </c>
      <c r="C398" s="3">
        <v>2022</v>
      </c>
      <c r="D398" s="4">
        <v>3</v>
      </c>
      <c r="E398" s="5">
        <v>98.75</v>
      </c>
      <c r="F398" s="5">
        <v>55.85</v>
      </c>
      <c r="G398" s="3" t="str">
        <f>VLOOKUP(Registros[[#This Row],[Cliente]],Cliente_Region[],2,FALSE)</f>
        <v>Peru</v>
      </c>
      <c r="H398" s="3" t="str">
        <f>VLOOKUP(Registros[[#This Row],[Producto]],Producto[],2,FALSE)</f>
        <v>MOC</v>
      </c>
    </row>
    <row r="399" spans="1:8" ht="20.100000000000001" customHeight="1" x14ac:dyDescent="0.25">
      <c r="A399" s="3" t="s">
        <v>166</v>
      </c>
      <c r="B399" s="3" t="s">
        <v>152</v>
      </c>
      <c r="C399" s="3">
        <v>2022</v>
      </c>
      <c r="D399" s="4">
        <v>3</v>
      </c>
      <c r="E399" s="5">
        <v>75</v>
      </c>
      <c r="F399" s="5">
        <v>32.93</v>
      </c>
      <c r="G399" s="3" t="str">
        <f>VLOOKUP(Registros[[#This Row],[Cliente]],Cliente_Region[],2,FALSE)</f>
        <v>Peru</v>
      </c>
      <c r="H399" s="3" t="str">
        <f>VLOOKUP(Registros[[#This Row],[Producto]],Producto[],2,FALSE)</f>
        <v>DONANY</v>
      </c>
    </row>
    <row r="400" spans="1:8" ht="20.100000000000001" customHeight="1" x14ac:dyDescent="0.25">
      <c r="A400" s="3" t="s">
        <v>167</v>
      </c>
      <c r="B400" s="3" t="s">
        <v>152</v>
      </c>
      <c r="C400" s="3">
        <v>2022</v>
      </c>
      <c r="D400" s="4">
        <v>4</v>
      </c>
      <c r="E400" s="5">
        <v>225</v>
      </c>
      <c r="F400" s="5">
        <v>98.79</v>
      </c>
      <c r="G400" s="3" t="str">
        <f>VLOOKUP(Registros[[#This Row],[Cliente]],Cliente_Region[],2,FALSE)</f>
        <v>Peru</v>
      </c>
      <c r="H400" s="3" t="str">
        <f>VLOOKUP(Registros[[#This Row],[Producto]],Producto[],2,FALSE)</f>
        <v>QUOKAR</v>
      </c>
    </row>
    <row r="401" spans="1:8" ht="20.100000000000001" customHeight="1" x14ac:dyDescent="0.25">
      <c r="A401" s="3" t="s">
        <v>168</v>
      </c>
      <c r="B401" s="3" t="s">
        <v>152</v>
      </c>
      <c r="C401" s="3">
        <v>2022</v>
      </c>
      <c r="D401" s="4">
        <v>5</v>
      </c>
      <c r="E401" s="5">
        <v>77</v>
      </c>
      <c r="F401" s="5">
        <v>47.35</v>
      </c>
      <c r="G401" s="3" t="str">
        <f>VLOOKUP(Registros[[#This Row],[Cliente]],Cliente_Region[],2,FALSE)</f>
        <v>Peru</v>
      </c>
      <c r="H401" s="3" t="str">
        <f>VLOOKUP(Registros[[#This Row],[Producto]],Producto[],2,FALSE)</f>
        <v>DAWNE</v>
      </c>
    </row>
    <row r="402" spans="1:8" ht="20.100000000000001" customHeight="1" x14ac:dyDescent="0.25">
      <c r="A402" s="3" t="s">
        <v>3</v>
      </c>
      <c r="B402" s="3" t="s">
        <v>152</v>
      </c>
      <c r="C402" s="3">
        <v>2022</v>
      </c>
      <c r="D402" s="4">
        <v>6</v>
      </c>
      <c r="E402" s="5">
        <v>22</v>
      </c>
      <c r="F402" s="5">
        <v>13.53</v>
      </c>
      <c r="G402" s="3" t="str">
        <f>VLOOKUP(Registros[[#This Row],[Cliente]],Cliente_Region[],2,FALSE)</f>
        <v>Peru</v>
      </c>
      <c r="H402" s="3" t="str">
        <f>VLOOKUP(Registros[[#This Row],[Producto]],Producto[],2,FALSE)</f>
        <v>DAWNE</v>
      </c>
    </row>
    <row r="403" spans="1:8" ht="20.100000000000001" customHeight="1" x14ac:dyDescent="0.25">
      <c r="A403" s="3" t="s">
        <v>169</v>
      </c>
      <c r="B403" s="3" t="s">
        <v>152</v>
      </c>
      <c r="C403" s="3">
        <v>2022</v>
      </c>
      <c r="D403" s="4">
        <v>2</v>
      </c>
      <c r="E403" s="5">
        <v>443.75</v>
      </c>
      <c r="F403" s="5">
        <v>189.78</v>
      </c>
      <c r="G403" s="3" t="str">
        <f>VLOOKUP(Registros[[#This Row],[Cliente]],Cliente_Region[],2,FALSE)</f>
        <v>Peru</v>
      </c>
      <c r="H403" s="3" t="str">
        <f>VLOOKUP(Registros[[#This Row],[Producto]],Producto[],2,FALSE)</f>
        <v>DAWNE</v>
      </c>
    </row>
    <row r="404" spans="1:8" ht="20.100000000000001" customHeight="1" x14ac:dyDescent="0.25">
      <c r="A404" s="3" t="s">
        <v>170</v>
      </c>
      <c r="B404" s="3" t="s">
        <v>152</v>
      </c>
      <c r="C404" s="3">
        <v>2022</v>
      </c>
      <c r="D404" s="4">
        <v>3</v>
      </c>
      <c r="E404" s="5">
        <v>150</v>
      </c>
      <c r="F404" s="5">
        <v>65.34</v>
      </c>
      <c r="G404" s="3" t="str">
        <f>VLOOKUP(Registros[[#This Row],[Cliente]],Cliente_Region[],2,FALSE)</f>
        <v>Peru</v>
      </c>
      <c r="H404" s="3" t="str">
        <f>VLOOKUP(Registros[[#This Row],[Producto]],Producto[],2,FALSE)</f>
        <v>CHOTUS</v>
      </c>
    </row>
    <row r="405" spans="1:8" ht="20.100000000000001" customHeight="1" x14ac:dyDescent="0.25">
      <c r="A405" s="3" t="s">
        <v>51</v>
      </c>
      <c r="B405" s="3" t="s">
        <v>152</v>
      </c>
      <c r="C405" s="3">
        <v>2022</v>
      </c>
      <c r="D405" s="4">
        <v>1</v>
      </c>
      <c r="E405" s="5">
        <v>58</v>
      </c>
      <c r="F405" s="5">
        <v>34.299999999999997</v>
      </c>
      <c r="G405" s="3" t="str">
        <f>VLOOKUP(Registros[[#This Row],[Cliente]],Cliente_Region[],2,FALSE)</f>
        <v>Peru</v>
      </c>
      <c r="H405" s="3" t="str">
        <f>VLOOKUP(Registros[[#This Row],[Producto]],Producto[],2,FALSE)</f>
        <v>LAX</v>
      </c>
    </row>
    <row r="406" spans="1:8" ht="20.100000000000001" customHeight="1" x14ac:dyDescent="0.25">
      <c r="A406" s="3" t="s">
        <v>52</v>
      </c>
      <c r="B406" s="3" t="s">
        <v>152</v>
      </c>
      <c r="C406" s="3">
        <v>2022</v>
      </c>
      <c r="D406" s="4">
        <v>2</v>
      </c>
      <c r="E406" s="5">
        <v>29</v>
      </c>
      <c r="F406" s="5">
        <v>17.149999999999999</v>
      </c>
      <c r="G406" s="3" t="str">
        <f>VLOOKUP(Registros[[#This Row],[Cliente]],Cliente_Region[],2,FALSE)</f>
        <v>Peru</v>
      </c>
      <c r="H406" s="3" t="str">
        <f>VLOOKUP(Registros[[#This Row],[Producto]],Producto[],2,FALSE)</f>
        <v>DAWNE</v>
      </c>
    </row>
    <row r="407" spans="1:8" ht="20.100000000000001" customHeight="1" x14ac:dyDescent="0.25">
      <c r="A407" s="3" t="s">
        <v>52</v>
      </c>
      <c r="B407" s="3" t="s">
        <v>152</v>
      </c>
      <c r="C407" s="3">
        <v>2022</v>
      </c>
      <c r="D407" s="4">
        <v>3</v>
      </c>
      <c r="E407" s="5">
        <v>87</v>
      </c>
      <c r="F407" s="5">
        <v>51.44</v>
      </c>
      <c r="G407" s="3" t="str">
        <f>VLOOKUP(Registros[[#This Row],[Cliente]],Cliente_Region[],2,FALSE)</f>
        <v>Peru</v>
      </c>
      <c r="H407" s="3" t="str">
        <f>VLOOKUP(Registros[[#This Row],[Producto]],Producto[],2,FALSE)</f>
        <v>DAWNE</v>
      </c>
    </row>
    <row r="408" spans="1:8" ht="20.100000000000001" customHeight="1" x14ac:dyDescent="0.25">
      <c r="A408" s="3" t="s">
        <v>52</v>
      </c>
      <c r="B408" s="3" t="s">
        <v>152</v>
      </c>
      <c r="C408" s="3">
        <v>2022</v>
      </c>
      <c r="D408" s="4">
        <v>4</v>
      </c>
      <c r="E408" s="5">
        <v>58</v>
      </c>
      <c r="F408" s="5">
        <v>34.299999999999997</v>
      </c>
      <c r="G408" s="3" t="str">
        <f>VLOOKUP(Registros[[#This Row],[Cliente]],Cliente_Region[],2,FALSE)</f>
        <v>Peru</v>
      </c>
      <c r="H408" s="3" t="str">
        <f>VLOOKUP(Registros[[#This Row],[Producto]],Producto[],2,FALSE)</f>
        <v>DAWNE</v>
      </c>
    </row>
    <row r="409" spans="1:8" ht="20.100000000000001" customHeight="1" x14ac:dyDescent="0.25">
      <c r="A409" s="3" t="s">
        <v>140</v>
      </c>
      <c r="B409" s="3" t="s">
        <v>152</v>
      </c>
      <c r="C409" s="3">
        <v>2022</v>
      </c>
      <c r="D409" s="4">
        <v>1</v>
      </c>
      <c r="E409" s="5">
        <v>29</v>
      </c>
      <c r="F409" s="5">
        <v>13.21</v>
      </c>
      <c r="G409" s="3" t="str">
        <f>VLOOKUP(Registros[[#This Row],[Cliente]],Cliente_Region[],2,FALSE)</f>
        <v>Peru</v>
      </c>
      <c r="H409" s="3" t="str">
        <f>VLOOKUP(Registros[[#This Row],[Producto]],Producto[],2,FALSE)</f>
        <v>DAWNE</v>
      </c>
    </row>
    <row r="410" spans="1:8" ht="20.100000000000001" customHeight="1" x14ac:dyDescent="0.25">
      <c r="A410" s="3" t="s">
        <v>141</v>
      </c>
      <c r="B410" s="3" t="s">
        <v>152</v>
      </c>
      <c r="C410" s="3">
        <v>2022</v>
      </c>
      <c r="D410" s="4">
        <v>3</v>
      </c>
      <c r="E410" s="5">
        <v>45</v>
      </c>
      <c r="F410" s="5">
        <v>25.89</v>
      </c>
      <c r="G410" s="3" t="str">
        <f>VLOOKUP(Registros[[#This Row],[Cliente]],Cliente_Region[],2,FALSE)</f>
        <v>Peru</v>
      </c>
      <c r="H410" s="3" t="str">
        <f>VLOOKUP(Registros[[#This Row],[Producto]],Producto[],2,FALSE)</f>
        <v>QUOKAR</v>
      </c>
    </row>
    <row r="411" spans="1:8" ht="20.100000000000001" customHeight="1" x14ac:dyDescent="0.25">
      <c r="A411" s="3" t="s">
        <v>141</v>
      </c>
      <c r="B411" s="3" t="s">
        <v>152</v>
      </c>
      <c r="C411" s="3">
        <v>2022</v>
      </c>
      <c r="D411" s="4">
        <v>6</v>
      </c>
      <c r="E411" s="5">
        <v>45</v>
      </c>
      <c r="F411" s="5">
        <v>26.58</v>
      </c>
      <c r="G411" s="3" t="str">
        <f>VLOOKUP(Registros[[#This Row],[Cliente]],Cliente_Region[],2,FALSE)</f>
        <v>Peru</v>
      </c>
      <c r="H411" s="3" t="str">
        <f>VLOOKUP(Registros[[#This Row],[Producto]],Producto[],2,FALSE)</f>
        <v>QUOKAR</v>
      </c>
    </row>
    <row r="412" spans="1:8" ht="20.100000000000001" customHeight="1" x14ac:dyDescent="0.25">
      <c r="A412" s="3" t="s">
        <v>171</v>
      </c>
      <c r="B412" s="3" t="s">
        <v>152</v>
      </c>
      <c r="C412" s="3">
        <v>2022</v>
      </c>
      <c r="D412" s="4">
        <v>1</v>
      </c>
      <c r="E412" s="5">
        <v>28.46</v>
      </c>
      <c r="F412" s="5">
        <v>14.26</v>
      </c>
      <c r="G412" s="3" t="str">
        <f>VLOOKUP(Registros[[#This Row],[Cliente]],Cliente_Region[],2,FALSE)</f>
        <v>Peru</v>
      </c>
      <c r="H412" s="3" t="str">
        <f>VLOOKUP(Registros[[#This Row],[Producto]],Producto[],2,FALSE)</f>
        <v>MOC</v>
      </c>
    </row>
    <row r="413" spans="1:8" ht="20.100000000000001" customHeight="1" x14ac:dyDescent="0.25">
      <c r="A413" s="3" t="s">
        <v>112</v>
      </c>
      <c r="B413" s="3" t="s">
        <v>152</v>
      </c>
      <c r="C413" s="3">
        <v>2022</v>
      </c>
      <c r="D413" s="4">
        <v>2</v>
      </c>
      <c r="E413" s="5">
        <v>67.5</v>
      </c>
      <c r="F413" s="5">
        <v>16.28</v>
      </c>
      <c r="G413" s="3" t="str">
        <f>VLOOKUP(Registros[[#This Row],[Cliente]],Cliente_Region[],2,FALSE)</f>
        <v>Peru</v>
      </c>
      <c r="H413" s="3" t="str">
        <f>VLOOKUP(Registros[[#This Row],[Producto]],Producto[],2,FALSE)</f>
        <v>DONANY</v>
      </c>
    </row>
    <row r="414" spans="1:8" ht="20.100000000000001" customHeight="1" x14ac:dyDescent="0.25">
      <c r="A414" s="3" t="s">
        <v>113</v>
      </c>
      <c r="B414" s="3" t="s">
        <v>152</v>
      </c>
      <c r="C414" s="3">
        <v>2022</v>
      </c>
      <c r="D414" s="4">
        <v>3</v>
      </c>
      <c r="E414" s="5">
        <v>135</v>
      </c>
      <c r="F414" s="5">
        <v>32.56</v>
      </c>
      <c r="G414" s="3" t="str">
        <f>VLOOKUP(Registros[[#This Row],[Cliente]],Cliente_Region[],2,FALSE)</f>
        <v>Peru</v>
      </c>
      <c r="H414" s="3" t="str">
        <f>VLOOKUP(Registros[[#This Row],[Producto]],Producto[],2,FALSE)</f>
        <v>CHOTUS</v>
      </c>
    </row>
    <row r="415" spans="1:8" ht="20.100000000000001" customHeight="1" x14ac:dyDescent="0.25">
      <c r="A415" s="3" t="s">
        <v>172</v>
      </c>
      <c r="B415" s="3" t="s">
        <v>152</v>
      </c>
      <c r="C415" s="3">
        <v>2022</v>
      </c>
      <c r="D415" s="4">
        <v>5</v>
      </c>
      <c r="E415" s="5">
        <v>96</v>
      </c>
      <c r="F415" s="5">
        <v>-11.53</v>
      </c>
      <c r="G415" s="3" t="str">
        <f>VLOOKUP(Registros[[#This Row],[Cliente]],Cliente_Region[],2,FALSE)</f>
        <v>Peru</v>
      </c>
      <c r="H415" s="3" t="str">
        <f>VLOOKUP(Registros[[#This Row],[Producto]],Producto[],2,FALSE)</f>
        <v>SALF</v>
      </c>
    </row>
    <row r="416" spans="1:8" ht="20.100000000000001" customHeight="1" x14ac:dyDescent="0.25">
      <c r="A416" s="3" t="s">
        <v>174</v>
      </c>
      <c r="B416" s="3" t="s">
        <v>152</v>
      </c>
      <c r="C416" s="3">
        <v>2022</v>
      </c>
      <c r="D416" s="4">
        <v>5</v>
      </c>
      <c r="E416" s="5">
        <v>96</v>
      </c>
      <c r="F416" s="5">
        <v>-3.01</v>
      </c>
      <c r="G416" s="3" t="str">
        <f>VLOOKUP(Registros[[#This Row],[Cliente]],Cliente_Region[],2,FALSE)</f>
        <v>Peru</v>
      </c>
      <c r="H416" s="3" t="str">
        <f>VLOOKUP(Registros[[#This Row],[Producto]],Producto[],2,FALSE)</f>
        <v>MOC</v>
      </c>
    </row>
    <row r="417" spans="1:8" ht="20.100000000000001" customHeight="1" x14ac:dyDescent="0.25">
      <c r="A417" s="3" t="s">
        <v>175</v>
      </c>
      <c r="B417" s="3" t="s">
        <v>152</v>
      </c>
      <c r="C417" s="3">
        <v>2022</v>
      </c>
      <c r="D417" s="4">
        <v>6</v>
      </c>
      <c r="E417" s="5">
        <v>24.48</v>
      </c>
      <c r="F417" s="5">
        <v>-98.01</v>
      </c>
      <c r="G417" s="3" t="str">
        <f>VLOOKUP(Registros[[#This Row],[Cliente]],Cliente_Region[],2,FALSE)</f>
        <v>Peru</v>
      </c>
      <c r="H417" s="3" t="str">
        <f>VLOOKUP(Registros[[#This Row],[Producto]],Producto[],2,FALSE)</f>
        <v>GAMBO</v>
      </c>
    </row>
    <row r="418" spans="1:8" ht="20.100000000000001" customHeight="1" x14ac:dyDescent="0.25">
      <c r="A418" s="3" t="s">
        <v>176</v>
      </c>
      <c r="B418" s="3" t="s">
        <v>152</v>
      </c>
      <c r="C418" s="3">
        <v>2022</v>
      </c>
      <c r="D418" s="4">
        <v>3</v>
      </c>
      <c r="E418" s="5">
        <v>101</v>
      </c>
      <c r="F418" s="5">
        <v>69.650000000000006</v>
      </c>
      <c r="G418" s="3" t="str">
        <f>VLOOKUP(Registros[[#This Row],[Cliente]],Cliente_Region[],2,FALSE)</f>
        <v>Peru</v>
      </c>
      <c r="H418" s="3" t="str">
        <f>VLOOKUP(Registros[[#This Row],[Producto]],Producto[],2,FALSE)</f>
        <v>CHOTUS</v>
      </c>
    </row>
    <row r="419" spans="1:8" ht="20.100000000000001" customHeight="1" x14ac:dyDescent="0.25">
      <c r="A419" s="3" t="s">
        <v>177</v>
      </c>
      <c r="B419" s="3" t="s">
        <v>152</v>
      </c>
      <c r="C419" s="3">
        <v>2022</v>
      </c>
      <c r="D419" s="4">
        <v>4</v>
      </c>
      <c r="E419" s="5">
        <v>25.25</v>
      </c>
      <c r="F419" s="5">
        <v>17.41</v>
      </c>
      <c r="G419" s="3" t="str">
        <f>VLOOKUP(Registros[[#This Row],[Cliente]],Cliente_Region[],2,FALSE)</f>
        <v>Peru</v>
      </c>
      <c r="H419" s="3" t="str">
        <f>VLOOKUP(Registros[[#This Row],[Producto]],Producto[],2,FALSE)</f>
        <v>SALF</v>
      </c>
    </row>
    <row r="420" spans="1:8" ht="20.100000000000001" customHeight="1" x14ac:dyDescent="0.25">
      <c r="A420" s="3" t="s">
        <v>177</v>
      </c>
      <c r="B420" s="3" t="s">
        <v>152</v>
      </c>
      <c r="C420" s="3">
        <v>2022</v>
      </c>
      <c r="D420" s="4">
        <v>5</v>
      </c>
      <c r="E420" s="5">
        <v>75.75</v>
      </c>
      <c r="F420" s="5">
        <v>52.24</v>
      </c>
      <c r="G420" s="3" t="str">
        <f>VLOOKUP(Registros[[#This Row],[Cliente]],Cliente_Region[],2,FALSE)</f>
        <v>Peru</v>
      </c>
      <c r="H420" s="3" t="str">
        <f>VLOOKUP(Registros[[#This Row],[Producto]],Producto[],2,FALSE)</f>
        <v>SALF</v>
      </c>
    </row>
    <row r="421" spans="1:8" ht="20.100000000000001" customHeight="1" x14ac:dyDescent="0.25">
      <c r="A421" s="3" t="s">
        <v>114</v>
      </c>
      <c r="B421" s="3" t="s">
        <v>152</v>
      </c>
      <c r="C421" s="3">
        <v>2022</v>
      </c>
      <c r="D421" s="4">
        <v>1</v>
      </c>
      <c r="E421" s="5">
        <v>91</v>
      </c>
      <c r="F421" s="5">
        <v>50.84</v>
      </c>
      <c r="G421" s="3" t="str">
        <f>VLOOKUP(Registros[[#This Row],[Cliente]],Cliente_Region[],2,FALSE)</f>
        <v>Peru</v>
      </c>
      <c r="H421" s="3" t="str">
        <f>VLOOKUP(Registros[[#This Row],[Producto]],Producto[],2,FALSE)</f>
        <v>DAWNE</v>
      </c>
    </row>
    <row r="422" spans="1:8" ht="20.100000000000001" customHeight="1" x14ac:dyDescent="0.25">
      <c r="A422" s="3" t="s">
        <v>115</v>
      </c>
      <c r="B422" s="3" t="s">
        <v>152</v>
      </c>
      <c r="C422" s="3">
        <v>2022</v>
      </c>
      <c r="D422" s="4">
        <v>2</v>
      </c>
      <c r="E422" s="5">
        <v>75</v>
      </c>
      <c r="F422" s="5">
        <v>44.88</v>
      </c>
      <c r="G422" s="3" t="str">
        <f>VLOOKUP(Registros[[#This Row],[Cliente]],Cliente_Region[],2,FALSE)</f>
        <v>Peru</v>
      </c>
      <c r="H422" s="3" t="str">
        <f>VLOOKUP(Registros[[#This Row],[Producto]],Producto[],2,FALSE)</f>
        <v>GAMBO</v>
      </c>
    </row>
    <row r="423" spans="1:8" ht="20.100000000000001" customHeight="1" x14ac:dyDescent="0.25">
      <c r="A423" s="3" t="s">
        <v>115</v>
      </c>
      <c r="B423" s="3" t="s">
        <v>152</v>
      </c>
      <c r="C423" s="3">
        <v>2022</v>
      </c>
      <c r="D423" s="4">
        <v>3</v>
      </c>
      <c r="E423" s="5">
        <v>100</v>
      </c>
      <c r="F423" s="5">
        <v>56.79</v>
      </c>
      <c r="G423" s="3" t="str">
        <f>VLOOKUP(Registros[[#This Row],[Cliente]],Cliente_Region[],2,FALSE)</f>
        <v>Peru</v>
      </c>
      <c r="H423" s="3" t="str">
        <f>VLOOKUP(Registros[[#This Row],[Producto]],Producto[],2,FALSE)</f>
        <v>GAMBO</v>
      </c>
    </row>
    <row r="424" spans="1:8" ht="20.100000000000001" customHeight="1" x14ac:dyDescent="0.25">
      <c r="A424" s="3" t="s">
        <v>115</v>
      </c>
      <c r="B424" s="3" t="s">
        <v>152</v>
      </c>
      <c r="C424" s="3">
        <v>2022</v>
      </c>
      <c r="D424" s="4">
        <v>4</v>
      </c>
      <c r="E424" s="5">
        <v>75</v>
      </c>
      <c r="F424" s="5">
        <v>41.83</v>
      </c>
      <c r="G424" s="3" t="str">
        <f>VLOOKUP(Registros[[#This Row],[Cliente]],Cliente_Region[],2,FALSE)</f>
        <v>Peru</v>
      </c>
      <c r="H424" s="3" t="str">
        <f>VLOOKUP(Registros[[#This Row],[Producto]],Producto[],2,FALSE)</f>
        <v>GAMBO</v>
      </c>
    </row>
    <row r="425" spans="1:8" ht="20.100000000000001" customHeight="1" x14ac:dyDescent="0.25">
      <c r="A425" s="3" t="s">
        <v>115</v>
      </c>
      <c r="B425" s="3" t="s">
        <v>152</v>
      </c>
      <c r="C425" s="3">
        <v>2022</v>
      </c>
      <c r="D425" s="4">
        <v>5</v>
      </c>
      <c r="E425" s="5">
        <v>325</v>
      </c>
      <c r="F425" s="5">
        <v>181.28</v>
      </c>
      <c r="G425" s="3" t="str">
        <f>VLOOKUP(Registros[[#This Row],[Cliente]],Cliente_Region[],2,FALSE)</f>
        <v>Peru</v>
      </c>
      <c r="H425" s="3" t="str">
        <f>VLOOKUP(Registros[[#This Row],[Producto]],Producto[],2,FALSE)</f>
        <v>GAMBO</v>
      </c>
    </row>
    <row r="426" spans="1:8" ht="20.100000000000001" customHeight="1" x14ac:dyDescent="0.25">
      <c r="A426" s="3" t="s">
        <v>116</v>
      </c>
      <c r="B426" s="3" t="s">
        <v>152</v>
      </c>
      <c r="C426" s="3">
        <v>2022</v>
      </c>
      <c r="D426" s="4">
        <v>1</v>
      </c>
      <c r="E426" s="5">
        <v>21</v>
      </c>
      <c r="F426" s="5">
        <v>6.08</v>
      </c>
      <c r="G426" s="3" t="str">
        <f>VLOOKUP(Registros[[#This Row],[Cliente]],Cliente_Region[],2,FALSE)</f>
        <v>Peru</v>
      </c>
      <c r="H426" s="3" t="str">
        <f>VLOOKUP(Registros[[#This Row],[Producto]],Producto[],2,FALSE)</f>
        <v>QUOKAR</v>
      </c>
    </row>
    <row r="427" spans="1:8" ht="20.100000000000001" customHeight="1" x14ac:dyDescent="0.25">
      <c r="A427" s="3" t="s">
        <v>117</v>
      </c>
      <c r="B427" s="3" t="s">
        <v>152</v>
      </c>
      <c r="C427" s="3">
        <v>2022</v>
      </c>
      <c r="D427" s="4">
        <v>3</v>
      </c>
      <c r="E427" s="5">
        <v>24.5</v>
      </c>
      <c r="F427" s="5">
        <v>9.58</v>
      </c>
      <c r="G427" s="3" t="str">
        <f>VLOOKUP(Registros[[#This Row],[Cliente]],Cliente_Region[],2,FALSE)</f>
        <v>Peru</v>
      </c>
      <c r="H427" s="3" t="str">
        <f>VLOOKUP(Registros[[#This Row],[Producto]],Producto[],2,FALSE)</f>
        <v>CHOTUS</v>
      </c>
    </row>
    <row r="428" spans="1:8" ht="20.100000000000001" customHeight="1" x14ac:dyDescent="0.25">
      <c r="A428" s="3" t="s">
        <v>117</v>
      </c>
      <c r="B428" s="3" t="s">
        <v>152</v>
      </c>
      <c r="C428" s="3">
        <v>2022</v>
      </c>
      <c r="D428" s="4">
        <v>6</v>
      </c>
      <c r="E428" s="5">
        <v>24.5</v>
      </c>
      <c r="F428" s="5">
        <v>9.58</v>
      </c>
      <c r="G428" s="3" t="str">
        <f>VLOOKUP(Registros[[#This Row],[Cliente]],Cliente_Region[],2,FALSE)</f>
        <v>Peru</v>
      </c>
      <c r="H428" s="3" t="str">
        <f>VLOOKUP(Registros[[#This Row],[Producto]],Producto[],2,FALSE)</f>
        <v>CHOTUS</v>
      </c>
    </row>
    <row r="429" spans="1:8" ht="20.100000000000001" customHeight="1" x14ac:dyDescent="0.25">
      <c r="A429" s="3" t="s">
        <v>178</v>
      </c>
      <c r="B429" s="3" t="s">
        <v>152</v>
      </c>
      <c r="C429" s="3">
        <v>2022</v>
      </c>
      <c r="D429" s="4">
        <v>3</v>
      </c>
      <c r="E429" s="5">
        <v>35.75</v>
      </c>
      <c r="F429" s="5">
        <v>0</v>
      </c>
      <c r="G429" s="3" t="str">
        <f>VLOOKUP(Registros[[#This Row],[Cliente]],Cliente_Region[],2,FALSE)</f>
        <v>Peru</v>
      </c>
      <c r="H429" s="3" t="str">
        <f>VLOOKUP(Registros[[#This Row],[Producto]],Producto[],2,FALSE)</f>
        <v>GAMBO</v>
      </c>
    </row>
    <row r="430" spans="1:8" ht="20.100000000000001" customHeight="1" x14ac:dyDescent="0.25">
      <c r="A430" s="3" t="s">
        <v>65</v>
      </c>
      <c r="B430" s="3" t="s">
        <v>152</v>
      </c>
      <c r="C430" s="3">
        <v>2022</v>
      </c>
      <c r="D430" s="4">
        <v>1</v>
      </c>
      <c r="E430" s="5">
        <v>111.6</v>
      </c>
      <c r="F430" s="5">
        <v>76.260000000000005</v>
      </c>
      <c r="G430" s="3" t="str">
        <f>VLOOKUP(Registros[[#This Row],[Cliente]],Cliente_Region[],2,FALSE)</f>
        <v>Peru</v>
      </c>
      <c r="H430" s="3" t="str">
        <f>VLOOKUP(Registros[[#This Row],[Producto]],Producto[],2,FALSE)</f>
        <v>DAWNE</v>
      </c>
    </row>
    <row r="431" spans="1:8" ht="20.100000000000001" customHeight="1" x14ac:dyDescent="0.25">
      <c r="A431" s="3" t="s">
        <v>66</v>
      </c>
      <c r="B431" s="3" t="s">
        <v>152</v>
      </c>
      <c r="C431" s="3">
        <v>2022</v>
      </c>
      <c r="D431" s="4">
        <v>2</v>
      </c>
      <c r="E431" s="5">
        <v>93</v>
      </c>
      <c r="F431" s="5">
        <v>63.55</v>
      </c>
      <c r="G431" s="3" t="str">
        <f>VLOOKUP(Registros[[#This Row],[Cliente]],Cliente_Region[],2,FALSE)</f>
        <v>Peru</v>
      </c>
      <c r="H431" s="3" t="str">
        <f>VLOOKUP(Registros[[#This Row],[Producto]],Producto[],2,FALSE)</f>
        <v>LAX</v>
      </c>
    </row>
    <row r="432" spans="1:8" ht="20.100000000000001" customHeight="1" x14ac:dyDescent="0.25">
      <c r="A432" s="3" t="s">
        <v>66</v>
      </c>
      <c r="B432" s="3" t="s">
        <v>152</v>
      </c>
      <c r="C432" s="3">
        <v>2022</v>
      </c>
      <c r="D432" s="4">
        <v>3</v>
      </c>
      <c r="E432" s="5">
        <v>74.400000000000006</v>
      </c>
      <c r="F432" s="5">
        <v>50.84</v>
      </c>
      <c r="G432" s="3" t="str">
        <f>VLOOKUP(Registros[[#This Row],[Cliente]],Cliente_Region[],2,FALSE)</f>
        <v>Peru</v>
      </c>
      <c r="H432" s="3" t="str">
        <f>VLOOKUP(Registros[[#This Row],[Producto]],Producto[],2,FALSE)</f>
        <v>LAX</v>
      </c>
    </row>
    <row r="433" spans="1:8" ht="20.100000000000001" customHeight="1" x14ac:dyDescent="0.25">
      <c r="A433" s="3" t="s">
        <v>66</v>
      </c>
      <c r="B433" s="3" t="s">
        <v>152</v>
      </c>
      <c r="C433" s="3">
        <v>2022</v>
      </c>
      <c r="D433" s="4">
        <v>4</v>
      </c>
      <c r="E433" s="5">
        <v>55.8</v>
      </c>
      <c r="F433" s="5">
        <v>38.130000000000003</v>
      </c>
      <c r="G433" s="3" t="str">
        <f>VLOOKUP(Registros[[#This Row],[Cliente]],Cliente_Region[],2,FALSE)</f>
        <v>Peru</v>
      </c>
      <c r="H433" s="3" t="str">
        <f>VLOOKUP(Registros[[#This Row],[Producto]],Producto[],2,FALSE)</f>
        <v>LAX</v>
      </c>
    </row>
    <row r="434" spans="1:8" ht="20.100000000000001" customHeight="1" x14ac:dyDescent="0.25">
      <c r="A434" s="3" t="s">
        <v>66</v>
      </c>
      <c r="B434" s="3" t="s">
        <v>152</v>
      </c>
      <c r="C434" s="3">
        <v>2022</v>
      </c>
      <c r="D434" s="4">
        <v>5</v>
      </c>
      <c r="E434" s="5">
        <v>74.400000000000006</v>
      </c>
      <c r="F434" s="5">
        <v>50.84</v>
      </c>
      <c r="G434" s="3" t="str">
        <f>VLOOKUP(Registros[[#This Row],[Cliente]],Cliente_Region[],2,FALSE)</f>
        <v>Peru</v>
      </c>
      <c r="H434" s="3" t="str">
        <f>VLOOKUP(Registros[[#This Row],[Producto]],Producto[],2,FALSE)</f>
        <v>LAX</v>
      </c>
    </row>
    <row r="435" spans="1:8" ht="20.100000000000001" customHeight="1" x14ac:dyDescent="0.25">
      <c r="A435" s="3" t="s">
        <v>66</v>
      </c>
      <c r="B435" s="3" t="s">
        <v>152</v>
      </c>
      <c r="C435" s="3">
        <v>2022</v>
      </c>
      <c r="D435" s="4">
        <v>6</v>
      </c>
      <c r="E435" s="5">
        <v>148.80000000000001</v>
      </c>
      <c r="F435" s="5">
        <v>91.38</v>
      </c>
      <c r="G435" s="3" t="str">
        <f>VLOOKUP(Registros[[#This Row],[Cliente]],Cliente_Region[],2,FALSE)</f>
        <v>Peru</v>
      </c>
      <c r="H435" s="3" t="str">
        <f>VLOOKUP(Registros[[#This Row],[Producto]],Producto[],2,FALSE)</f>
        <v>LAX</v>
      </c>
    </row>
    <row r="436" spans="1:8" ht="20.100000000000001" customHeight="1" x14ac:dyDescent="0.25">
      <c r="A436" s="3" t="s">
        <v>179</v>
      </c>
      <c r="B436" s="3" t="s">
        <v>152</v>
      </c>
      <c r="C436" s="3">
        <v>2022</v>
      </c>
      <c r="D436" s="4">
        <v>4</v>
      </c>
      <c r="E436" s="5">
        <v>90</v>
      </c>
      <c r="F436" s="5">
        <v>52.66</v>
      </c>
      <c r="G436" s="3" t="str">
        <f>VLOOKUP(Registros[[#This Row],[Cliente]],Cliente_Region[],2,FALSE)</f>
        <v>Peru</v>
      </c>
      <c r="H436" s="3" t="str">
        <f>VLOOKUP(Registros[[#This Row],[Producto]],Producto[],2,FALSE)</f>
        <v>DAWNE</v>
      </c>
    </row>
    <row r="437" spans="1:8" ht="20.100000000000001" customHeight="1" x14ac:dyDescent="0.25">
      <c r="A437" s="3" t="s">
        <v>180</v>
      </c>
      <c r="B437" s="3" t="s">
        <v>152</v>
      </c>
      <c r="C437" s="3">
        <v>2022</v>
      </c>
      <c r="D437" s="4">
        <v>6</v>
      </c>
      <c r="E437" s="5">
        <v>135</v>
      </c>
      <c r="F437" s="5">
        <v>78.989999999999995</v>
      </c>
      <c r="G437" s="3" t="str">
        <f>VLOOKUP(Registros[[#This Row],[Cliente]],Cliente_Region[],2,FALSE)</f>
        <v>Peru</v>
      </c>
      <c r="H437" s="3" t="str">
        <f>VLOOKUP(Registros[[#This Row],[Producto]],Producto[],2,FALSE)</f>
        <v>CHOTUS</v>
      </c>
    </row>
    <row r="438" spans="1:8" ht="20.100000000000001" customHeight="1" x14ac:dyDescent="0.25">
      <c r="A438" s="3" t="s">
        <v>53</v>
      </c>
      <c r="B438" s="3" t="s">
        <v>152</v>
      </c>
      <c r="C438" s="3">
        <v>2022</v>
      </c>
      <c r="D438" s="4">
        <v>2</v>
      </c>
      <c r="E438" s="5">
        <v>30</v>
      </c>
      <c r="F438" s="5">
        <v>10.62</v>
      </c>
      <c r="G438" s="3" t="str">
        <f>VLOOKUP(Registros[[#This Row],[Cliente]],Cliente_Region[],2,FALSE)</f>
        <v>Peru</v>
      </c>
      <c r="H438" s="3" t="str">
        <f>VLOOKUP(Registros[[#This Row],[Producto]],Producto[],2,FALSE)</f>
        <v>DONANY</v>
      </c>
    </row>
    <row r="439" spans="1:8" ht="20.100000000000001" customHeight="1" x14ac:dyDescent="0.25">
      <c r="A439" s="3" t="s">
        <v>181</v>
      </c>
      <c r="B439" s="3" t="s">
        <v>152</v>
      </c>
      <c r="C439" s="3">
        <v>2022</v>
      </c>
      <c r="D439" s="4">
        <v>5</v>
      </c>
      <c r="E439" s="5">
        <v>9</v>
      </c>
      <c r="F439" s="5">
        <v>5.9</v>
      </c>
      <c r="G439" s="3" t="str">
        <f>VLOOKUP(Registros[[#This Row],[Cliente]],Cliente_Region[],2,FALSE)</f>
        <v>Peru</v>
      </c>
      <c r="H439" s="3" t="str">
        <f>VLOOKUP(Registros[[#This Row],[Producto]],Producto[],2,FALSE)</f>
        <v>QUOKAR</v>
      </c>
    </row>
    <row r="440" spans="1:8" ht="20.100000000000001" customHeight="1" x14ac:dyDescent="0.25">
      <c r="A440" s="3" t="s">
        <v>182</v>
      </c>
      <c r="B440" s="3" t="s">
        <v>152</v>
      </c>
      <c r="C440" s="3">
        <v>2022</v>
      </c>
      <c r="D440" s="4">
        <v>6</v>
      </c>
      <c r="E440" s="5">
        <v>18.75</v>
      </c>
      <c r="F440" s="5">
        <v>9.07</v>
      </c>
      <c r="G440" s="3" t="str">
        <f>VLOOKUP(Registros[[#This Row],[Cliente]],Cliente_Region[],2,FALSE)</f>
        <v>Peru</v>
      </c>
      <c r="H440" s="3" t="str">
        <f>VLOOKUP(Registros[[#This Row],[Producto]],Producto[],2,FALSE)</f>
        <v>QUOKAR</v>
      </c>
    </row>
    <row r="441" spans="1:8" ht="20.100000000000001" customHeight="1" x14ac:dyDescent="0.25">
      <c r="A441" s="3" t="s">
        <v>183</v>
      </c>
      <c r="B441" s="3" t="s">
        <v>152</v>
      </c>
      <c r="C441" s="3">
        <v>2022</v>
      </c>
      <c r="D441" s="4">
        <v>1</v>
      </c>
      <c r="E441" s="5">
        <v>870</v>
      </c>
      <c r="F441" s="5">
        <v>618.21</v>
      </c>
      <c r="G441" s="3" t="str">
        <f>VLOOKUP(Registros[[#This Row],[Cliente]],Cliente_Region[],2,FALSE)</f>
        <v>Peru</v>
      </c>
      <c r="H441" s="3" t="str">
        <f>VLOOKUP(Registros[[#This Row],[Producto]],Producto[],2,FALSE)</f>
        <v>MOC</v>
      </c>
    </row>
    <row r="442" spans="1:8" ht="20.100000000000001" customHeight="1" x14ac:dyDescent="0.25">
      <c r="A442" s="3" t="s">
        <v>184</v>
      </c>
      <c r="B442" s="3" t="s">
        <v>152</v>
      </c>
      <c r="C442" s="3">
        <v>2022</v>
      </c>
      <c r="D442" s="4">
        <v>2</v>
      </c>
      <c r="E442" s="5">
        <v>1080</v>
      </c>
      <c r="F442" s="5">
        <v>749.37</v>
      </c>
      <c r="G442" s="3" t="str">
        <f>VLOOKUP(Registros[[#This Row],[Cliente]],Cliente_Region[],2,FALSE)</f>
        <v>Peru</v>
      </c>
      <c r="H442" s="3" t="str">
        <f>VLOOKUP(Registros[[#This Row],[Producto]],Producto[],2,FALSE)</f>
        <v>DONANY</v>
      </c>
    </row>
    <row r="443" spans="1:8" ht="20.100000000000001" customHeight="1" x14ac:dyDescent="0.25">
      <c r="A443" s="3" t="s">
        <v>184</v>
      </c>
      <c r="B443" s="3" t="s">
        <v>152</v>
      </c>
      <c r="C443" s="3">
        <v>2022</v>
      </c>
      <c r="D443" s="4">
        <v>3</v>
      </c>
      <c r="E443" s="5">
        <v>1350</v>
      </c>
      <c r="F443" s="5">
        <v>916.39</v>
      </c>
      <c r="G443" s="3" t="str">
        <f>VLOOKUP(Registros[[#This Row],[Cliente]],Cliente_Region[],2,FALSE)</f>
        <v>Peru</v>
      </c>
      <c r="H443" s="3" t="str">
        <f>VLOOKUP(Registros[[#This Row],[Producto]],Producto[],2,FALSE)</f>
        <v>DONANY</v>
      </c>
    </row>
    <row r="444" spans="1:8" ht="20.100000000000001" customHeight="1" x14ac:dyDescent="0.25">
      <c r="A444" s="3" t="s">
        <v>184</v>
      </c>
      <c r="B444" s="3" t="s">
        <v>152</v>
      </c>
      <c r="C444" s="3">
        <v>2022</v>
      </c>
      <c r="D444" s="4">
        <v>4</v>
      </c>
      <c r="E444" s="5">
        <v>1350</v>
      </c>
      <c r="F444" s="5">
        <v>884.35</v>
      </c>
      <c r="G444" s="3" t="str">
        <f>VLOOKUP(Registros[[#This Row],[Cliente]],Cliente_Region[],2,FALSE)</f>
        <v>Peru</v>
      </c>
      <c r="H444" s="3" t="str">
        <f>VLOOKUP(Registros[[#This Row],[Producto]],Producto[],2,FALSE)</f>
        <v>DONANY</v>
      </c>
    </row>
    <row r="445" spans="1:8" ht="20.100000000000001" customHeight="1" x14ac:dyDescent="0.25">
      <c r="A445" s="3" t="s">
        <v>184</v>
      </c>
      <c r="B445" s="3" t="s">
        <v>152</v>
      </c>
      <c r="C445" s="3">
        <v>2022</v>
      </c>
      <c r="D445" s="4">
        <v>5</v>
      </c>
      <c r="E445" s="5">
        <v>1458.6</v>
      </c>
      <c r="F445" s="5">
        <v>932.51</v>
      </c>
      <c r="G445" s="3" t="str">
        <f>VLOOKUP(Registros[[#This Row],[Cliente]],Cliente_Region[],2,FALSE)</f>
        <v>Peru</v>
      </c>
      <c r="H445" s="3" t="str">
        <f>VLOOKUP(Registros[[#This Row],[Producto]],Producto[],2,FALSE)</f>
        <v>DONANY</v>
      </c>
    </row>
    <row r="446" spans="1:8" ht="20.100000000000001" customHeight="1" x14ac:dyDescent="0.25">
      <c r="A446" s="3" t="s">
        <v>184</v>
      </c>
      <c r="B446" s="3" t="s">
        <v>152</v>
      </c>
      <c r="C446" s="3">
        <v>2022</v>
      </c>
      <c r="D446" s="4">
        <v>6</v>
      </c>
      <c r="E446" s="5">
        <v>1440</v>
      </c>
      <c r="F446" s="5">
        <v>905.76</v>
      </c>
      <c r="G446" s="3" t="str">
        <f>VLOOKUP(Registros[[#This Row],[Cliente]],Cliente_Region[],2,FALSE)</f>
        <v>Peru</v>
      </c>
      <c r="H446" s="3" t="str">
        <f>VLOOKUP(Registros[[#This Row],[Producto]],Producto[],2,FALSE)</f>
        <v>DONANY</v>
      </c>
    </row>
    <row r="447" spans="1:8" ht="20.100000000000001" customHeight="1" x14ac:dyDescent="0.25">
      <c r="A447" s="3" t="s">
        <v>120</v>
      </c>
      <c r="B447" s="3" t="s">
        <v>152</v>
      </c>
      <c r="C447" s="3">
        <v>2022</v>
      </c>
      <c r="D447" s="4">
        <v>1</v>
      </c>
      <c r="E447" s="5">
        <v>163.5</v>
      </c>
      <c r="F447" s="5">
        <v>98.71</v>
      </c>
      <c r="G447" s="3" t="str">
        <f>VLOOKUP(Registros[[#This Row],[Cliente]],Cliente_Region[],2,FALSE)</f>
        <v>Peru</v>
      </c>
      <c r="H447" s="3" t="str">
        <f>VLOOKUP(Registros[[#This Row],[Producto]],Producto[],2,FALSE)</f>
        <v>LAX</v>
      </c>
    </row>
    <row r="448" spans="1:8" ht="20.100000000000001" customHeight="1" x14ac:dyDescent="0.25">
      <c r="A448" s="3" t="s">
        <v>121</v>
      </c>
      <c r="B448" s="3" t="s">
        <v>152</v>
      </c>
      <c r="C448" s="3">
        <v>2022</v>
      </c>
      <c r="D448" s="4">
        <v>3</v>
      </c>
      <c r="E448" s="5">
        <v>102</v>
      </c>
      <c r="F448" s="5">
        <v>53.5</v>
      </c>
      <c r="G448" s="3" t="str">
        <f>VLOOKUP(Registros[[#This Row],[Cliente]],Cliente_Region[],2,FALSE)</f>
        <v>Peru</v>
      </c>
      <c r="H448" s="3" t="str">
        <f>VLOOKUP(Registros[[#This Row],[Producto]],Producto[],2,FALSE)</f>
        <v>LAX</v>
      </c>
    </row>
    <row r="449" spans="1:8" ht="20.100000000000001" customHeight="1" x14ac:dyDescent="0.25">
      <c r="A449" s="3" t="s">
        <v>121</v>
      </c>
      <c r="B449" s="3" t="s">
        <v>152</v>
      </c>
      <c r="C449" s="3">
        <v>2022</v>
      </c>
      <c r="D449" s="4">
        <v>5</v>
      </c>
      <c r="E449" s="5">
        <v>55</v>
      </c>
      <c r="F449" s="5">
        <v>35.590000000000003</v>
      </c>
      <c r="G449" s="3" t="str">
        <f>VLOOKUP(Registros[[#This Row],[Cliente]],Cliente_Region[],2,FALSE)</f>
        <v>Peru</v>
      </c>
      <c r="H449" s="3" t="str">
        <f>VLOOKUP(Registros[[#This Row],[Producto]],Producto[],2,FALSE)</f>
        <v>LAX</v>
      </c>
    </row>
    <row r="450" spans="1:8" ht="20.100000000000001" customHeight="1" x14ac:dyDescent="0.25">
      <c r="A450" s="3" t="s">
        <v>121</v>
      </c>
      <c r="B450" s="3" t="s">
        <v>152</v>
      </c>
      <c r="C450" s="3">
        <v>2022</v>
      </c>
      <c r="D450" s="4">
        <v>6</v>
      </c>
      <c r="E450" s="5">
        <v>110</v>
      </c>
      <c r="F450" s="5">
        <v>72.31</v>
      </c>
      <c r="G450" s="3" t="str">
        <f>VLOOKUP(Registros[[#This Row],[Cliente]],Cliente_Region[],2,FALSE)</f>
        <v>Peru</v>
      </c>
      <c r="H450" s="3" t="str">
        <f>VLOOKUP(Registros[[#This Row],[Producto]],Producto[],2,FALSE)</f>
        <v>LAX</v>
      </c>
    </row>
    <row r="451" spans="1:8" ht="20.100000000000001" customHeight="1" x14ac:dyDescent="0.25">
      <c r="A451" s="3" t="s">
        <v>74</v>
      </c>
      <c r="B451" s="3" t="s">
        <v>152</v>
      </c>
      <c r="C451" s="3">
        <v>2022</v>
      </c>
      <c r="D451" s="4">
        <v>1</v>
      </c>
      <c r="E451" s="5">
        <v>3465</v>
      </c>
      <c r="F451" s="5">
        <v>698.36</v>
      </c>
      <c r="G451" s="3" t="str">
        <f>VLOOKUP(Registros[[#This Row],[Cliente]],Cliente_Region[],2,FALSE)</f>
        <v>Peru</v>
      </c>
      <c r="H451" s="3" t="str">
        <f>VLOOKUP(Registros[[#This Row],[Producto]],Producto[],2,FALSE)</f>
        <v>CHOTUS</v>
      </c>
    </row>
    <row r="452" spans="1:8" ht="20.100000000000001" customHeight="1" x14ac:dyDescent="0.25">
      <c r="A452" s="3" t="s">
        <v>75</v>
      </c>
      <c r="B452" s="3" t="s">
        <v>152</v>
      </c>
      <c r="C452" s="3">
        <v>2022</v>
      </c>
      <c r="D452" s="4">
        <v>2</v>
      </c>
      <c r="E452" s="5">
        <v>2520</v>
      </c>
      <c r="F452" s="5">
        <v>988.62</v>
      </c>
      <c r="G452" s="3" t="str">
        <f>VLOOKUP(Registros[[#This Row],[Cliente]],Cliente_Region[],2,FALSE)</f>
        <v>Peru</v>
      </c>
      <c r="H452" s="3" t="str">
        <f>VLOOKUP(Registros[[#This Row],[Producto]],Producto[],2,FALSE)</f>
        <v>DONANY</v>
      </c>
    </row>
    <row r="453" spans="1:8" ht="20.100000000000001" customHeight="1" x14ac:dyDescent="0.25">
      <c r="A453" s="3" t="s">
        <v>75</v>
      </c>
      <c r="B453" s="3" t="s">
        <v>152</v>
      </c>
      <c r="C453" s="3">
        <v>2022</v>
      </c>
      <c r="D453" s="4">
        <v>3</v>
      </c>
      <c r="E453" s="5">
        <v>3240</v>
      </c>
      <c r="F453" s="5">
        <v>1168.01</v>
      </c>
      <c r="G453" s="3" t="str">
        <f>VLOOKUP(Registros[[#This Row],[Cliente]],Cliente_Region[],2,FALSE)</f>
        <v>Peru</v>
      </c>
      <c r="H453" s="3" t="str">
        <f>VLOOKUP(Registros[[#This Row],[Producto]],Producto[],2,FALSE)</f>
        <v>DONANY</v>
      </c>
    </row>
    <row r="454" spans="1:8" ht="20.100000000000001" customHeight="1" x14ac:dyDescent="0.25">
      <c r="A454" s="3" t="s">
        <v>75</v>
      </c>
      <c r="B454" s="3" t="s">
        <v>152</v>
      </c>
      <c r="C454" s="3">
        <v>2022</v>
      </c>
      <c r="D454" s="4">
        <v>4</v>
      </c>
      <c r="E454" s="5">
        <v>3960</v>
      </c>
      <c r="F454" s="5">
        <v>1514.51</v>
      </c>
      <c r="G454" s="3" t="str">
        <f>VLOOKUP(Registros[[#This Row],[Cliente]],Cliente_Region[],2,FALSE)</f>
        <v>Peru</v>
      </c>
      <c r="H454" s="3" t="str">
        <f>VLOOKUP(Registros[[#This Row],[Producto]],Producto[],2,FALSE)</f>
        <v>DONANY</v>
      </c>
    </row>
    <row r="455" spans="1:8" ht="20.100000000000001" customHeight="1" x14ac:dyDescent="0.25">
      <c r="A455" s="3" t="s">
        <v>75</v>
      </c>
      <c r="B455" s="3" t="s">
        <v>152</v>
      </c>
      <c r="C455" s="3">
        <v>2022</v>
      </c>
      <c r="D455" s="4">
        <v>5</v>
      </c>
      <c r="E455" s="5">
        <v>3960</v>
      </c>
      <c r="F455" s="5">
        <v>1684.34</v>
      </c>
      <c r="G455" s="3" t="str">
        <f>VLOOKUP(Registros[[#This Row],[Cliente]],Cliente_Region[],2,FALSE)</f>
        <v>Peru</v>
      </c>
      <c r="H455" s="3" t="str">
        <f>VLOOKUP(Registros[[#This Row],[Producto]],Producto[],2,FALSE)</f>
        <v>DONANY</v>
      </c>
    </row>
    <row r="456" spans="1:8" ht="20.100000000000001" customHeight="1" x14ac:dyDescent="0.25">
      <c r="A456" s="3" t="s">
        <v>75</v>
      </c>
      <c r="B456" s="3" t="s">
        <v>152</v>
      </c>
      <c r="C456" s="3">
        <v>2022</v>
      </c>
      <c r="D456" s="4">
        <v>6</v>
      </c>
      <c r="E456" s="5">
        <v>4410</v>
      </c>
      <c r="F456" s="5">
        <v>1743</v>
      </c>
      <c r="G456" s="3" t="str">
        <f>VLOOKUP(Registros[[#This Row],[Cliente]],Cliente_Region[],2,FALSE)</f>
        <v>Peru</v>
      </c>
      <c r="H456" s="3" t="str">
        <f>VLOOKUP(Registros[[#This Row],[Producto]],Producto[],2,FALSE)</f>
        <v>DONANY</v>
      </c>
    </row>
    <row r="457" spans="1:8" ht="20.100000000000001" customHeight="1" x14ac:dyDescent="0.25">
      <c r="A457" s="3" t="s">
        <v>171</v>
      </c>
      <c r="B457" s="3" t="s">
        <v>152</v>
      </c>
      <c r="C457" s="3">
        <v>2022</v>
      </c>
      <c r="D457" s="4">
        <v>6</v>
      </c>
      <c r="E457" s="5">
        <v>10</v>
      </c>
      <c r="F457" s="5">
        <v>-2.21</v>
      </c>
      <c r="G457" s="3" t="str">
        <f>VLOOKUP(Registros[[#This Row],[Cliente]],Cliente_Region[],2,FALSE)</f>
        <v>Peru</v>
      </c>
      <c r="H457" s="3" t="str">
        <f>VLOOKUP(Registros[[#This Row],[Producto]],Producto[],2,FALSE)</f>
        <v>MOC</v>
      </c>
    </row>
    <row r="458" spans="1:8" ht="20.100000000000001" customHeight="1" x14ac:dyDescent="0.25">
      <c r="A458" s="3" t="s">
        <v>82</v>
      </c>
      <c r="B458" s="3" t="s">
        <v>152</v>
      </c>
      <c r="C458" s="3">
        <v>2022</v>
      </c>
      <c r="D458" s="4">
        <v>4</v>
      </c>
      <c r="E458" s="5">
        <v>160</v>
      </c>
      <c r="F458" s="5">
        <v>57.43</v>
      </c>
      <c r="G458" s="3" t="str">
        <f>VLOOKUP(Registros[[#This Row],[Cliente]],Cliente_Region[],2,FALSE)</f>
        <v>Peru</v>
      </c>
      <c r="H458" s="3" t="str">
        <f>VLOOKUP(Registros[[#This Row],[Producto]],Producto[],2,FALSE)</f>
        <v>LAX</v>
      </c>
    </row>
    <row r="459" spans="1:8" ht="20.100000000000001" customHeight="1" x14ac:dyDescent="0.25">
      <c r="A459" s="3" t="s">
        <v>130</v>
      </c>
      <c r="B459" s="3" t="s">
        <v>152</v>
      </c>
      <c r="C459" s="3">
        <v>2022</v>
      </c>
      <c r="D459" s="4">
        <v>6</v>
      </c>
      <c r="E459" s="5">
        <v>420</v>
      </c>
      <c r="F459" s="5">
        <v>207.25</v>
      </c>
      <c r="G459" s="3" t="str">
        <f>VLOOKUP(Registros[[#This Row],[Cliente]],Cliente_Region[],2,FALSE)</f>
        <v>Peru</v>
      </c>
      <c r="H459" s="3" t="str">
        <f>VLOOKUP(Registros[[#This Row],[Producto]],Producto[],2,FALSE)</f>
        <v>DAWNE</v>
      </c>
    </row>
    <row r="460" spans="1:8" ht="20.100000000000001" customHeight="1" x14ac:dyDescent="0.25">
      <c r="A460" s="3" t="s">
        <v>186</v>
      </c>
      <c r="B460" s="3" t="s">
        <v>152</v>
      </c>
      <c r="C460" s="3">
        <v>2022</v>
      </c>
      <c r="D460" s="4">
        <v>1</v>
      </c>
      <c r="E460" s="5">
        <v>68</v>
      </c>
      <c r="F460" s="5">
        <v>37</v>
      </c>
      <c r="G460" s="3" t="str">
        <f>VLOOKUP(Registros[[#This Row],[Cliente]],Cliente_Region[],2,FALSE)</f>
        <v>Peru</v>
      </c>
      <c r="H460" s="3" t="str">
        <f>VLOOKUP(Registros[[#This Row],[Producto]],Producto[],2,FALSE)</f>
        <v>SALF</v>
      </c>
    </row>
    <row r="461" spans="1:8" ht="20.100000000000001" customHeight="1" x14ac:dyDescent="0.25">
      <c r="A461" s="3" t="s">
        <v>187</v>
      </c>
      <c r="B461" s="3" t="s">
        <v>152</v>
      </c>
      <c r="C461" s="3">
        <v>2022</v>
      </c>
      <c r="D461" s="4">
        <v>1</v>
      </c>
      <c r="E461" s="5">
        <v>225</v>
      </c>
      <c r="F461" s="5">
        <v>147.5</v>
      </c>
      <c r="G461" s="3" t="str">
        <f>VLOOKUP(Registros[[#This Row],[Cliente]],Cliente_Region[],2,FALSE)</f>
        <v>Peru</v>
      </c>
      <c r="H461" s="3" t="str">
        <f>VLOOKUP(Registros[[#This Row],[Producto]],Producto[],2,FALSE)</f>
        <v>SALF</v>
      </c>
    </row>
    <row r="462" spans="1:8" ht="20.100000000000001" customHeight="1" x14ac:dyDescent="0.25">
      <c r="A462" s="3" t="s">
        <v>188</v>
      </c>
      <c r="B462" s="3" t="s">
        <v>152</v>
      </c>
      <c r="C462" s="3">
        <v>2022</v>
      </c>
      <c r="D462" s="4">
        <v>2</v>
      </c>
      <c r="E462" s="5">
        <v>300</v>
      </c>
      <c r="F462" s="5">
        <v>196.67</v>
      </c>
      <c r="G462" s="3" t="str">
        <f>VLOOKUP(Registros[[#This Row],[Cliente]],Cliente_Region[],2,FALSE)</f>
        <v>Peru</v>
      </c>
      <c r="H462" s="3" t="str">
        <f>VLOOKUP(Registros[[#This Row],[Producto]],Producto[],2,FALSE)</f>
        <v>LAX</v>
      </c>
    </row>
    <row r="463" spans="1:8" ht="20.100000000000001" customHeight="1" x14ac:dyDescent="0.25">
      <c r="A463" s="3" t="s">
        <v>188</v>
      </c>
      <c r="B463" s="3" t="s">
        <v>152</v>
      </c>
      <c r="C463" s="3">
        <v>2022</v>
      </c>
      <c r="D463" s="4">
        <v>3</v>
      </c>
      <c r="E463" s="5">
        <v>300</v>
      </c>
      <c r="F463" s="5">
        <v>196.67</v>
      </c>
      <c r="G463" s="3" t="str">
        <f>VLOOKUP(Registros[[#This Row],[Cliente]],Cliente_Region[],2,FALSE)</f>
        <v>Peru</v>
      </c>
      <c r="H463" s="3" t="str">
        <f>VLOOKUP(Registros[[#This Row],[Producto]],Producto[],2,FALSE)</f>
        <v>LAX</v>
      </c>
    </row>
    <row r="464" spans="1:8" ht="20.100000000000001" customHeight="1" x14ac:dyDescent="0.25">
      <c r="A464" s="3" t="s">
        <v>188</v>
      </c>
      <c r="B464" s="3" t="s">
        <v>152</v>
      </c>
      <c r="C464" s="3">
        <v>2022</v>
      </c>
      <c r="D464" s="4">
        <v>5</v>
      </c>
      <c r="E464" s="5">
        <v>150</v>
      </c>
      <c r="F464" s="5">
        <v>98.34</v>
      </c>
      <c r="G464" s="3" t="str">
        <f>VLOOKUP(Registros[[#This Row],[Cliente]],Cliente_Region[],2,FALSE)</f>
        <v>Peru</v>
      </c>
      <c r="H464" s="3" t="str">
        <f>VLOOKUP(Registros[[#This Row],[Producto]],Producto[],2,FALSE)</f>
        <v>LAX</v>
      </c>
    </row>
    <row r="465" spans="1:8" ht="20.100000000000001" customHeight="1" x14ac:dyDescent="0.25">
      <c r="A465" s="3" t="s">
        <v>189</v>
      </c>
      <c r="B465" s="3" t="s">
        <v>152</v>
      </c>
      <c r="C465" s="3">
        <v>2022</v>
      </c>
      <c r="D465" s="4">
        <v>3</v>
      </c>
      <c r="E465" s="5">
        <v>65</v>
      </c>
      <c r="F465" s="5">
        <v>24.59</v>
      </c>
      <c r="G465" s="3" t="str">
        <f>VLOOKUP(Registros[[#This Row],[Cliente]],Cliente_Region[],2,FALSE)</f>
        <v>Peru</v>
      </c>
      <c r="H465" s="3" t="str">
        <f>VLOOKUP(Registros[[#This Row],[Producto]],Producto[],2,FALSE)</f>
        <v>DAWNE</v>
      </c>
    </row>
    <row r="466" spans="1:8" ht="20.100000000000001" customHeight="1" x14ac:dyDescent="0.25">
      <c r="A466" s="3" t="s">
        <v>190</v>
      </c>
      <c r="B466" s="3" t="s">
        <v>152</v>
      </c>
      <c r="C466" s="3">
        <v>2022</v>
      </c>
      <c r="D466" s="4">
        <v>4</v>
      </c>
      <c r="E466" s="5">
        <v>260</v>
      </c>
      <c r="F466" s="5">
        <v>98.35</v>
      </c>
      <c r="G466" s="3" t="str">
        <f>VLOOKUP(Registros[[#This Row],[Cliente]],Cliente_Region[],2,FALSE)</f>
        <v>Peru</v>
      </c>
      <c r="H466" s="3" t="str">
        <f>VLOOKUP(Registros[[#This Row],[Producto]],Producto[],2,FALSE)</f>
        <v>DAWNE</v>
      </c>
    </row>
    <row r="467" spans="1:8" ht="20.100000000000001" customHeight="1" x14ac:dyDescent="0.25">
      <c r="A467" s="3" t="s">
        <v>190</v>
      </c>
      <c r="B467" s="3" t="s">
        <v>152</v>
      </c>
      <c r="C467" s="3">
        <v>2022</v>
      </c>
      <c r="D467" s="4">
        <v>5</v>
      </c>
      <c r="E467" s="5">
        <v>130</v>
      </c>
      <c r="F467" s="5">
        <v>49.17</v>
      </c>
      <c r="G467" s="3" t="str">
        <f>VLOOKUP(Registros[[#This Row],[Cliente]],Cliente_Region[],2,FALSE)</f>
        <v>Peru</v>
      </c>
      <c r="H467" s="3" t="str">
        <f>VLOOKUP(Registros[[#This Row],[Producto]],Producto[],2,FALSE)</f>
        <v>DAWNE</v>
      </c>
    </row>
    <row r="468" spans="1:8" ht="20.100000000000001" customHeight="1" x14ac:dyDescent="0.25">
      <c r="A468" s="3" t="s">
        <v>151</v>
      </c>
      <c r="B468" s="3" t="s">
        <v>152</v>
      </c>
      <c r="C468" s="3">
        <v>2022</v>
      </c>
      <c r="D468" s="4">
        <v>3</v>
      </c>
      <c r="E468" s="5">
        <v>40.5</v>
      </c>
      <c r="F468" s="5">
        <v>14.88</v>
      </c>
      <c r="G468" s="3" t="str">
        <f>VLOOKUP(Registros[[#This Row],[Cliente]],Cliente_Region[],2,FALSE)</f>
        <v>Peru</v>
      </c>
      <c r="H468" s="3" t="str">
        <f>VLOOKUP(Registros[[#This Row],[Producto]],Producto[],2,FALSE)</f>
        <v>MOC</v>
      </c>
    </row>
    <row r="469" spans="1:8" ht="20.100000000000001" customHeight="1" x14ac:dyDescent="0.25">
      <c r="A469" s="3" t="s">
        <v>191</v>
      </c>
      <c r="B469" s="3" t="s">
        <v>152</v>
      </c>
      <c r="C469" s="3">
        <v>2022</v>
      </c>
      <c r="D469" s="4">
        <v>4</v>
      </c>
      <c r="E469" s="5">
        <v>2376.5</v>
      </c>
      <c r="F469" s="5">
        <v>1675.61</v>
      </c>
      <c r="G469" s="3" t="str">
        <f>VLOOKUP(Registros[[#This Row],[Cliente]],Cliente_Region[],2,FALSE)</f>
        <v>Peru</v>
      </c>
      <c r="H469" s="3" t="str">
        <f>VLOOKUP(Registros[[#This Row],[Producto]],Producto[],2,FALSE)</f>
        <v>SALF</v>
      </c>
    </row>
    <row r="470" spans="1:8" ht="20.100000000000001" customHeight="1" x14ac:dyDescent="0.25">
      <c r="A470" s="3" t="s">
        <v>155</v>
      </c>
      <c r="B470" s="3" t="s">
        <v>193</v>
      </c>
      <c r="C470" s="3">
        <v>2022</v>
      </c>
      <c r="D470" s="4">
        <v>1</v>
      </c>
      <c r="E470" s="5">
        <v>468.95</v>
      </c>
      <c r="F470" s="5">
        <v>311.16000000000003</v>
      </c>
      <c r="G470" s="3" t="str">
        <f>VLOOKUP(Registros[[#This Row],[Cliente]],Cliente_Region[],2,FALSE)</f>
        <v>Mexico</v>
      </c>
      <c r="H470" s="3" t="str">
        <f>VLOOKUP(Registros[[#This Row],[Producto]],Producto[],2,FALSE)</f>
        <v>SALF</v>
      </c>
    </row>
    <row r="471" spans="1:8" ht="20.100000000000001" customHeight="1" x14ac:dyDescent="0.25">
      <c r="A471" s="3" t="s">
        <v>156</v>
      </c>
      <c r="B471" s="3" t="s">
        <v>193</v>
      </c>
      <c r="C471" s="3">
        <v>2022</v>
      </c>
      <c r="D471" s="4">
        <v>2</v>
      </c>
      <c r="E471" s="5">
        <v>295</v>
      </c>
      <c r="F471" s="5">
        <v>193.2</v>
      </c>
      <c r="G471" s="3" t="str">
        <f>VLOOKUP(Registros[[#This Row],[Cliente]],Cliente_Region[],2,FALSE)</f>
        <v>Mexico</v>
      </c>
      <c r="H471" s="3" t="str">
        <f>VLOOKUP(Registros[[#This Row],[Producto]],Producto[],2,FALSE)</f>
        <v>QUOKAR</v>
      </c>
    </row>
    <row r="472" spans="1:8" ht="20.100000000000001" customHeight="1" x14ac:dyDescent="0.25">
      <c r="A472" s="3" t="s">
        <v>156</v>
      </c>
      <c r="B472" s="3" t="s">
        <v>193</v>
      </c>
      <c r="C472" s="3">
        <v>2022</v>
      </c>
      <c r="D472" s="4">
        <v>3</v>
      </c>
      <c r="E472" s="5">
        <v>442.5</v>
      </c>
      <c r="F472" s="5">
        <v>289.8</v>
      </c>
      <c r="G472" s="3" t="str">
        <f>VLOOKUP(Registros[[#This Row],[Cliente]],Cliente_Region[],2,FALSE)</f>
        <v>Mexico</v>
      </c>
      <c r="H472" s="3" t="str">
        <f>VLOOKUP(Registros[[#This Row],[Producto]],Producto[],2,FALSE)</f>
        <v>QUOKAR</v>
      </c>
    </row>
    <row r="473" spans="1:8" ht="20.100000000000001" customHeight="1" x14ac:dyDescent="0.25">
      <c r="A473" s="3" t="s">
        <v>156</v>
      </c>
      <c r="B473" s="3" t="s">
        <v>193</v>
      </c>
      <c r="C473" s="3">
        <v>2022</v>
      </c>
      <c r="D473" s="4">
        <v>4</v>
      </c>
      <c r="E473" s="5">
        <v>122</v>
      </c>
      <c r="F473" s="5">
        <v>81.28</v>
      </c>
      <c r="G473" s="3" t="str">
        <f>VLOOKUP(Registros[[#This Row],[Cliente]],Cliente_Region[],2,FALSE)</f>
        <v>Mexico</v>
      </c>
      <c r="H473" s="3" t="str">
        <f>VLOOKUP(Registros[[#This Row],[Producto]],Producto[],2,FALSE)</f>
        <v>QUOKAR</v>
      </c>
    </row>
    <row r="474" spans="1:8" ht="20.100000000000001" customHeight="1" x14ac:dyDescent="0.25">
      <c r="A474" s="3" t="s">
        <v>156</v>
      </c>
      <c r="B474" s="3" t="s">
        <v>193</v>
      </c>
      <c r="C474" s="3">
        <v>2022</v>
      </c>
      <c r="D474" s="4">
        <v>5</v>
      </c>
      <c r="E474" s="5">
        <v>16.75</v>
      </c>
      <c r="F474" s="5">
        <v>11.66</v>
      </c>
      <c r="G474" s="3" t="str">
        <f>VLOOKUP(Registros[[#This Row],[Cliente]],Cliente_Region[],2,FALSE)</f>
        <v>Mexico</v>
      </c>
      <c r="H474" s="3" t="str">
        <f>VLOOKUP(Registros[[#This Row],[Producto]],Producto[],2,FALSE)</f>
        <v>QUOKAR</v>
      </c>
    </row>
    <row r="475" spans="1:8" ht="20.100000000000001" customHeight="1" x14ac:dyDescent="0.25">
      <c r="A475" s="3" t="s">
        <v>156</v>
      </c>
      <c r="B475" s="3" t="s">
        <v>193</v>
      </c>
      <c r="C475" s="3">
        <v>2022</v>
      </c>
      <c r="D475" s="4">
        <v>6</v>
      </c>
      <c r="E475" s="5">
        <v>67</v>
      </c>
      <c r="F475" s="5">
        <v>46.64</v>
      </c>
      <c r="G475" s="3" t="str">
        <f>VLOOKUP(Registros[[#This Row],[Cliente]],Cliente_Region[],2,FALSE)</f>
        <v>Mexico</v>
      </c>
      <c r="H475" s="3" t="str">
        <f>VLOOKUP(Registros[[#This Row],[Producto]],Producto[],2,FALSE)</f>
        <v>QUOKAR</v>
      </c>
    </row>
    <row r="476" spans="1:8" ht="20.100000000000001" customHeight="1" x14ac:dyDescent="0.25">
      <c r="A476" s="3" t="s">
        <v>24</v>
      </c>
      <c r="B476" s="3" t="s">
        <v>193</v>
      </c>
      <c r="C476" s="3">
        <v>2022</v>
      </c>
      <c r="D476" s="4">
        <v>1</v>
      </c>
      <c r="E476" s="5">
        <v>3457</v>
      </c>
      <c r="F476" s="5">
        <v>2109.13</v>
      </c>
      <c r="G476" s="3" t="str">
        <f>VLOOKUP(Registros[[#This Row],[Cliente]],Cliente_Region[],2,FALSE)</f>
        <v>Mexico</v>
      </c>
      <c r="H476" s="3" t="str">
        <f>VLOOKUP(Registros[[#This Row],[Producto]],Producto[],2,FALSE)</f>
        <v>GAMBO</v>
      </c>
    </row>
    <row r="477" spans="1:8" ht="20.100000000000001" customHeight="1" x14ac:dyDescent="0.25">
      <c r="A477" s="3" t="s">
        <v>25</v>
      </c>
      <c r="B477" s="3" t="s">
        <v>193</v>
      </c>
      <c r="C477" s="3">
        <v>2022</v>
      </c>
      <c r="D477" s="4">
        <v>2</v>
      </c>
      <c r="E477" s="5">
        <v>1621.5</v>
      </c>
      <c r="F477" s="5">
        <v>992.58</v>
      </c>
      <c r="G477" s="3" t="str">
        <f>VLOOKUP(Registros[[#This Row],[Cliente]],Cliente_Region[],2,FALSE)</f>
        <v>Mexico</v>
      </c>
      <c r="H477" s="3" t="str">
        <f>VLOOKUP(Registros[[#This Row],[Producto]],Producto[],2,FALSE)</f>
        <v>MOC</v>
      </c>
    </row>
    <row r="478" spans="1:8" ht="20.100000000000001" customHeight="1" x14ac:dyDescent="0.25">
      <c r="A478" s="3" t="s">
        <v>25</v>
      </c>
      <c r="B478" s="3" t="s">
        <v>193</v>
      </c>
      <c r="C478" s="3">
        <v>2022</v>
      </c>
      <c r="D478" s="4">
        <v>3</v>
      </c>
      <c r="E478" s="5">
        <v>1621.5</v>
      </c>
      <c r="F478" s="5">
        <v>992.59</v>
      </c>
      <c r="G478" s="3" t="str">
        <f>VLOOKUP(Registros[[#This Row],[Cliente]],Cliente_Region[],2,FALSE)</f>
        <v>Mexico</v>
      </c>
      <c r="H478" s="3" t="str">
        <f>VLOOKUP(Registros[[#This Row],[Producto]],Producto[],2,FALSE)</f>
        <v>MOC</v>
      </c>
    </row>
    <row r="479" spans="1:8" ht="20.100000000000001" customHeight="1" x14ac:dyDescent="0.25">
      <c r="A479" s="3" t="s">
        <v>25</v>
      </c>
      <c r="B479" s="3" t="s">
        <v>193</v>
      </c>
      <c r="C479" s="3">
        <v>2022</v>
      </c>
      <c r="D479" s="4">
        <v>4</v>
      </c>
      <c r="E479" s="5">
        <v>1316</v>
      </c>
      <c r="F479" s="5">
        <v>805.57</v>
      </c>
      <c r="G479" s="3" t="str">
        <f>VLOOKUP(Registros[[#This Row],[Cliente]],Cliente_Region[],2,FALSE)</f>
        <v>Mexico</v>
      </c>
      <c r="H479" s="3" t="str">
        <f>VLOOKUP(Registros[[#This Row],[Producto]],Producto[],2,FALSE)</f>
        <v>MOC</v>
      </c>
    </row>
    <row r="480" spans="1:8" ht="20.100000000000001" customHeight="1" x14ac:dyDescent="0.25">
      <c r="A480" s="3" t="s">
        <v>25</v>
      </c>
      <c r="B480" s="3" t="s">
        <v>193</v>
      </c>
      <c r="C480" s="3">
        <v>2022</v>
      </c>
      <c r="D480" s="4">
        <v>5</v>
      </c>
      <c r="E480" s="5">
        <v>1692</v>
      </c>
      <c r="F480" s="5">
        <v>1035.74</v>
      </c>
      <c r="G480" s="3" t="str">
        <f>VLOOKUP(Registros[[#This Row],[Cliente]],Cliente_Region[],2,FALSE)</f>
        <v>Mexico</v>
      </c>
      <c r="H480" s="3" t="str">
        <f>VLOOKUP(Registros[[#This Row],[Producto]],Producto[],2,FALSE)</f>
        <v>MOC</v>
      </c>
    </row>
    <row r="481" spans="1:8" ht="20.100000000000001" customHeight="1" x14ac:dyDescent="0.25">
      <c r="A481" s="3" t="s">
        <v>25</v>
      </c>
      <c r="B481" s="3" t="s">
        <v>193</v>
      </c>
      <c r="C481" s="3">
        <v>2022</v>
      </c>
      <c r="D481" s="4">
        <v>6</v>
      </c>
      <c r="E481" s="5">
        <v>1527.5</v>
      </c>
      <c r="F481" s="5">
        <v>935.05</v>
      </c>
      <c r="G481" s="3" t="str">
        <f>VLOOKUP(Registros[[#This Row],[Cliente]],Cliente_Region[],2,FALSE)</f>
        <v>Mexico</v>
      </c>
      <c r="H481" s="3" t="str">
        <f>VLOOKUP(Registros[[#This Row],[Producto]],Producto[],2,FALSE)</f>
        <v>MOC</v>
      </c>
    </row>
    <row r="482" spans="1:8" ht="20.100000000000001" customHeight="1" x14ac:dyDescent="0.25">
      <c r="A482" s="3" t="s">
        <v>30</v>
      </c>
      <c r="B482" s="3" t="s">
        <v>193</v>
      </c>
      <c r="C482" s="3">
        <v>2022</v>
      </c>
      <c r="D482" s="4">
        <v>1</v>
      </c>
      <c r="E482" s="5">
        <v>67.2</v>
      </c>
      <c r="F482" s="5">
        <v>51.16</v>
      </c>
      <c r="G482" s="3" t="str">
        <f>VLOOKUP(Registros[[#This Row],[Cliente]],Cliente_Region[],2,FALSE)</f>
        <v>Mexico</v>
      </c>
      <c r="H482" s="3" t="str">
        <f>VLOOKUP(Registros[[#This Row],[Producto]],Producto[],2,FALSE)</f>
        <v>CHOTUS</v>
      </c>
    </row>
    <row r="483" spans="1:8" ht="20.100000000000001" customHeight="1" x14ac:dyDescent="0.25">
      <c r="A483" s="3" t="s">
        <v>31</v>
      </c>
      <c r="B483" s="3" t="s">
        <v>193</v>
      </c>
      <c r="C483" s="3">
        <v>2022</v>
      </c>
      <c r="D483" s="4">
        <v>2</v>
      </c>
      <c r="E483" s="5">
        <v>33.5</v>
      </c>
      <c r="F483" s="5">
        <v>25.48</v>
      </c>
      <c r="G483" s="3" t="str">
        <f>VLOOKUP(Registros[[#This Row],[Cliente]],Cliente_Region[],2,FALSE)</f>
        <v>Mexico</v>
      </c>
      <c r="H483" s="3" t="str">
        <f>VLOOKUP(Registros[[#This Row],[Producto]],Producto[],2,FALSE)</f>
        <v>CHOTUS</v>
      </c>
    </row>
    <row r="484" spans="1:8" ht="20.100000000000001" customHeight="1" x14ac:dyDescent="0.25">
      <c r="A484" s="3" t="s">
        <v>31</v>
      </c>
      <c r="B484" s="3" t="s">
        <v>193</v>
      </c>
      <c r="C484" s="3">
        <v>2022</v>
      </c>
      <c r="D484" s="4">
        <v>3</v>
      </c>
      <c r="E484" s="5">
        <v>50.25</v>
      </c>
      <c r="F484" s="5">
        <v>38.22</v>
      </c>
      <c r="G484" s="3" t="str">
        <f>VLOOKUP(Registros[[#This Row],[Cliente]],Cliente_Region[],2,FALSE)</f>
        <v>Mexico</v>
      </c>
      <c r="H484" s="3" t="str">
        <f>VLOOKUP(Registros[[#This Row],[Producto]],Producto[],2,FALSE)</f>
        <v>CHOTUS</v>
      </c>
    </row>
    <row r="485" spans="1:8" ht="20.100000000000001" customHeight="1" x14ac:dyDescent="0.25">
      <c r="A485" s="3" t="s">
        <v>31</v>
      </c>
      <c r="B485" s="3" t="s">
        <v>193</v>
      </c>
      <c r="C485" s="3">
        <v>2022</v>
      </c>
      <c r="D485" s="4">
        <v>6</v>
      </c>
      <c r="E485" s="5">
        <v>55.17</v>
      </c>
      <c r="F485" s="5">
        <v>43.14</v>
      </c>
      <c r="G485" s="3" t="str">
        <f>VLOOKUP(Registros[[#This Row],[Cliente]],Cliente_Region[],2,FALSE)</f>
        <v>Mexico</v>
      </c>
      <c r="H485" s="3" t="str">
        <f>VLOOKUP(Registros[[#This Row],[Producto]],Producto[],2,FALSE)</f>
        <v>CHOTUS</v>
      </c>
    </row>
    <row r="486" spans="1:8" ht="20.100000000000001" customHeight="1" x14ac:dyDescent="0.25">
      <c r="A486" s="3" t="s">
        <v>34</v>
      </c>
      <c r="B486" s="3" t="s">
        <v>193</v>
      </c>
      <c r="C486" s="3">
        <v>2022</v>
      </c>
      <c r="D486" s="4">
        <v>6</v>
      </c>
      <c r="E486" s="5">
        <v>110.34</v>
      </c>
      <c r="F486" s="5">
        <v>87.07</v>
      </c>
      <c r="G486" s="3" t="str">
        <f>VLOOKUP(Registros[[#This Row],[Cliente]],Cliente_Region[],2,FALSE)</f>
        <v>Mexico</v>
      </c>
      <c r="H486" s="3" t="str">
        <f>VLOOKUP(Registros[[#This Row],[Producto]],Producto[],2,FALSE)</f>
        <v>DONANY</v>
      </c>
    </row>
    <row r="487" spans="1:8" ht="20.100000000000001" customHeight="1" x14ac:dyDescent="0.25">
      <c r="A487" s="3" t="s">
        <v>36</v>
      </c>
      <c r="B487" s="3" t="s">
        <v>193</v>
      </c>
      <c r="C487" s="3">
        <v>2022</v>
      </c>
      <c r="D487" s="4">
        <v>2</v>
      </c>
      <c r="E487" s="5">
        <v>37.65</v>
      </c>
      <c r="F487" s="5">
        <v>25.25</v>
      </c>
      <c r="G487" s="3" t="str">
        <f>VLOOKUP(Registros[[#This Row],[Cliente]],Cliente_Region[],2,FALSE)</f>
        <v>Mexico</v>
      </c>
      <c r="H487" s="3" t="str">
        <f>VLOOKUP(Registros[[#This Row],[Producto]],Producto[],2,FALSE)</f>
        <v>QUOKAR</v>
      </c>
    </row>
    <row r="488" spans="1:8" ht="20.100000000000001" customHeight="1" x14ac:dyDescent="0.25">
      <c r="A488" s="3" t="s">
        <v>37</v>
      </c>
      <c r="B488" s="3" t="s">
        <v>193</v>
      </c>
      <c r="C488" s="3">
        <v>2022</v>
      </c>
      <c r="D488" s="4">
        <v>6</v>
      </c>
      <c r="E488" s="5">
        <v>12.55</v>
      </c>
      <c r="F488" s="5">
        <v>8.42</v>
      </c>
      <c r="G488" s="3" t="str">
        <f>VLOOKUP(Registros[[#This Row],[Cliente]],Cliente_Region[],2,FALSE)</f>
        <v>Mexico</v>
      </c>
      <c r="H488" s="3" t="str">
        <f>VLOOKUP(Registros[[#This Row],[Producto]],Producto[],2,FALSE)</f>
        <v>DONANY</v>
      </c>
    </row>
    <row r="489" spans="1:8" ht="20.100000000000001" customHeight="1" x14ac:dyDescent="0.25">
      <c r="A489" s="3" t="s">
        <v>157</v>
      </c>
      <c r="B489" s="3" t="s">
        <v>193</v>
      </c>
      <c r="C489" s="3">
        <v>2022</v>
      </c>
      <c r="D489" s="4">
        <v>1</v>
      </c>
      <c r="E489" s="5">
        <v>2793</v>
      </c>
      <c r="F489" s="5">
        <v>1128.76</v>
      </c>
      <c r="G489" s="3" t="str">
        <f>VLOOKUP(Registros[[#This Row],[Cliente]],Cliente_Region[],2,FALSE)</f>
        <v>Mexico</v>
      </c>
      <c r="H489" s="3" t="str">
        <f>VLOOKUP(Registros[[#This Row],[Producto]],Producto[],2,FALSE)</f>
        <v>GAMBO</v>
      </c>
    </row>
    <row r="490" spans="1:8" ht="20.100000000000001" customHeight="1" x14ac:dyDescent="0.25">
      <c r="A490" s="3" t="s">
        <v>158</v>
      </c>
      <c r="B490" s="3" t="s">
        <v>193</v>
      </c>
      <c r="C490" s="3">
        <v>2022</v>
      </c>
      <c r="D490" s="4">
        <v>2</v>
      </c>
      <c r="E490" s="5">
        <v>1197</v>
      </c>
      <c r="F490" s="5">
        <v>485.1</v>
      </c>
      <c r="G490" s="3" t="str">
        <f>VLOOKUP(Registros[[#This Row],[Cliente]],Cliente_Region[],2,FALSE)</f>
        <v>Mexico</v>
      </c>
      <c r="H490" s="3" t="str">
        <f>VLOOKUP(Registros[[#This Row],[Producto]],Producto[],2,FALSE)</f>
        <v>DONANY</v>
      </c>
    </row>
    <row r="491" spans="1:8" ht="20.100000000000001" customHeight="1" x14ac:dyDescent="0.25">
      <c r="A491" s="3" t="s">
        <v>158</v>
      </c>
      <c r="B491" s="3" t="s">
        <v>193</v>
      </c>
      <c r="C491" s="3">
        <v>2022</v>
      </c>
      <c r="D491" s="4">
        <v>3</v>
      </c>
      <c r="E491" s="5">
        <v>2024.45</v>
      </c>
      <c r="F491" s="5">
        <v>810.8</v>
      </c>
      <c r="G491" s="3" t="str">
        <f>VLOOKUP(Registros[[#This Row],[Cliente]],Cliente_Region[],2,FALSE)</f>
        <v>Mexico</v>
      </c>
      <c r="H491" s="3" t="str">
        <f>VLOOKUP(Registros[[#This Row],[Producto]],Producto[],2,FALSE)</f>
        <v>DONANY</v>
      </c>
    </row>
    <row r="492" spans="1:8" ht="20.100000000000001" customHeight="1" x14ac:dyDescent="0.25">
      <c r="A492" s="3" t="s">
        <v>158</v>
      </c>
      <c r="B492" s="3" t="s">
        <v>193</v>
      </c>
      <c r="C492" s="3">
        <v>2022</v>
      </c>
      <c r="D492" s="4">
        <v>4</v>
      </c>
      <c r="E492" s="5">
        <v>1551.05</v>
      </c>
      <c r="F492" s="5">
        <v>698.6</v>
      </c>
      <c r="G492" s="3" t="str">
        <f>VLOOKUP(Registros[[#This Row],[Cliente]],Cliente_Region[],2,FALSE)</f>
        <v>Mexico</v>
      </c>
      <c r="H492" s="3" t="str">
        <f>VLOOKUP(Registros[[#This Row],[Producto]],Producto[],2,FALSE)</f>
        <v>DONANY</v>
      </c>
    </row>
    <row r="493" spans="1:8" ht="20.100000000000001" customHeight="1" x14ac:dyDescent="0.25">
      <c r="A493" s="3" t="s">
        <v>158</v>
      </c>
      <c r="B493" s="3" t="s">
        <v>193</v>
      </c>
      <c r="C493" s="3">
        <v>2022</v>
      </c>
      <c r="D493" s="4">
        <v>5</v>
      </c>
      <c r="E493" s="5">
        <v>2361.3000000000002</v>
      </c>
      <c r="F493" s="5">
        <v>1001.85</v>
      </c>
      <c r="G493" s="3" t="str">
        <f>VLOOKUP(Registros[[#This Row],[Cliente]],Cliente_Region[],2,FALSE)</f>
        <v>Mexico</v>
      </c>
      <c r="H493" s="3" t="str">
        <f>VLOOKUP(Registros[[#This Row],[Producto]],Producto[],2,FALSE)</f>
        <v>DONANY</v>
      </c>
    </row>
    <row r="494" spans="1:8" ht="20.100000000000001" customHeight="1" x14ac:dyDescent="0.25">
      <c r="A494" s="3" t="s">
        <v>158</v>
      </c>
      <c r="B494" s="3" t="s">
        <v>193</v>
      </c>
      <c r="C494" s="3">
        <v>2022</v>
      </c>
      <c r="D494" s="4">
        <v>6</v>
      </c>
      <c r="E494" s="5">
        <v>2152.9499999999998</v>
      </c>
      <c r="F494" s="5">
        <v>959.7</v>
      </c>
      <c r="G494" s="3" t="str">
        <f>VLOOKUP(Registros[[#This Row],[Cliente]],Cliente_Region[],2,FALSE)</f>
        <v>Mexico</v>
      </c>
      <c r="H494" s="3" t="str">
        <f>VLOOKUP(Registros[[#This Row],[Producto]],Producto[],2,FALSE)</f>
        <v>DONANY</v>
      </c>
    </row>
    <row r="495" spans="1:8" ht="20.100000000000001" customHeight="1" x14ac:dyDescent="0.25">
      <c r="A495" s="3" t="s">
        <v>42</v>
      </c>
      <c r="B495" s="3" t="s">
        <v>193</v>
      </c>
      <c r="C495" s="3">
        <v>2022</v>
      </c>
      <c r="D495" s="4">
        <v>1</v>
      </c>
      <c r="E495" s="5">
        <v>24.5</v>
      </c>
      <c r="F495" s="5">
        <v>13.35</v>
      </c>
      <c r="G495" s="3" t="str">
        <f>VLOOKUP(Registros[[#This Row],[Cliente]],Cliente_Region[],2,FALSE)</f>
        <v>Mexico</v>
      </c>
      <c r="H495" s="3" t="str">
        <f>VLOOKUP(Registros[[#This Row],[Producto]],Producto[],2,FALSE)</f>
        <v>GAMBO</v>
      </c>
    </row>
    <row r="496" spans="1:8" ht="20.100000000000001" customHeight="1" x14ac:dyDescent="0.25">
      <c r="A496" s="3" t="s">
        <v>43</v>
      </c>
      <c r="B496" s="3" t="s">
        <v>193</v>
      </c>
      <c r="C496" s="3">
        <v>2022</v>
      </c>
      <c r="D496" s="4">
        <v>2</v>
      </c>
      <c r="E496" s="5">
        <v>24.5</v>
      </c>
      <c r="F496" s="5">
        <v>13.35</v>
      </c>
      <c r="G496" s="3" t="str">
        <f>VLOOKUP(Registros[[#This Row],[Cliente]],Cliente_Region[],2,FALSE)</f>
        <v>Mexico</v>
      </c>
      <c r="H496" s="3" t="str">
        <f>VLOOKUP(Registros[[#This Row],[Producto]],Producto[],2,FALSE)</f>
        <v>MOC</v>
      </c>
    </row>
    <row r="497" spans="1:8" ht="20.100000000000001" customHeight="1" x14ac:dyDescent="0.25">
      <c r="A497" s="3" t="s">
        <v>43</v>
      </c>
      <c r="B497" s="3" t="s">
        <v>193</v>
      </c>
      <c r="C497" s="3">
        <v>2022</v>
      </c>
      <c r="D497" s="4">
        <v>3</v>
      </c>
      <c r="E497" s="5">
        <v>98</v>
      </c>
      <c r="F497" s="5">
        <v>53.4</v>
      </c>
      <c r="G497" s="3" t="str">
        <f>VLOOKUP(Registros[[#This Row],[Cliente]],Cliente_Region[],2,FALSE)</f>
        <v>Mexico</v>
      </c>
      <c r="H497" s="3" t="str">
        <f>VLOOKUP(Registros[[#This Row],[Producto]],Producto[],2,FALSE)</f>
        <v>MOC</v>
      </c>
    </row>
    <row r="498" spans="1:8" ht="20.100000000000001" customHeight="1" x14ac:dyDescent="0.25">
      <c r="A498" s="3" t="s">
        <v>43</v>
      </c>
      <c r="B498" s="3" t="s">
        <v>193</v>
      </c>
      <c r="C498" s="3">
        <v>2022</v>
      </c>
      <c r="D498" s="4">
        <v>4</v>
      </c>
      <c r="E498" s="5">
        <v>49</v>
      </c>
      <c r="F498" s="5">
        <v>26.7</v>
      </c>
      <c r="G498" s="3" t="str">
        <f>VLOOKUP(Registros[[#This Row],[Cliente]],Cliente_Region[],2,FALSE)</f>
        <v>Mexico</v>
      </c>
      <c r="H498" s="3" t="str">
        <f>VLOOKUP(Registros[[#This Row],[Producto]],Producto[],2,FALSE)</f>
        <v>MOC</v>
      </c>
    </row>
    <row r="499" spans="1:8" ht="20.100000000000001" customHeight="1" x14ac:dyDescent="0.25">
      <c r="A499" s="3" t="s">
        <v>43</v>
      </c>
      <c r="B499" s="3" t="s">
        <v>193</v>
      </c>
      <c r="C499" s="3">
        <v>2022</v>
      </c>
      <c r="D499" s="4">
        <v>5</v>
      </c>
      <c r="E499" s="5">
        <v>147</v>
      </c>
      <c r="F499" s="5">
        <v>80.099999999999994</v>
      </c>
      <c r="G499" s="3" t="str">
        <f>VLOOKUP(Registros[[#This Row],[Cliente]],Cliente_Region[],2,FALSE)</f>
        <v>Mexico</v>
      </c>
      <c r="H499" s="3" t="str">
        <f>VLOOKUP(Registros[[#This Row],[Producto]],Producto[],2,FALSE)</f>
        <v>MOC</v>
      </c>
    </row>
    <row r="500" spans="1:8" ht="20.100000000000001" customHeight="1" x14ac:dyDescent="0.25">
      <c r="A500" s="3" t="s">
        <v>43</v>
      </c>
      <c r="B500" s="3" t="s">
        <v>193</v>
      </c>
      <c r="C500" s="3">
        <v>2022</v>
      </c>
      <c r="D500" s="4">
        <v>6</v>
      </c>
      <c r="E500" s="5">
        <v>73.5</v>
      </c>
      <c r="F500" s="5">
        <v>40.049999999999997</v>
      </c>
      <c r="G500" s="3" t="str">
        <f>VLOOKUP(Registros[[#This Row],[Cliente]],Cliente_Region[],2,FALSE)</f>
        <v>Mexico</v>
      </c>
      <c r="H500" s="3" t="str">
        <f>VLOOKUP(Registros[[#This Row],[Producto]],Producto[],2,FALSE)</f>
        <v>MOC</v>
      </c>
    </row>
    <row r="501" spans="1:8" ht="20.100000000000001" customHeight="1" x14ac:dyDescent="0.25">
      <c r="A501" s="3" t="s">
        <v>194</v>
      </c>
      <c r="B501" s="3" t="s">
        <v>193</v>
      </c>
      <c r="C501" s="3">
        <v>2022</v>
      </c>
      <c r="D501" s="4">
        <v>3</v>
      </c>
      <c r="E501" s="5">
        <v>135</v>
      </c>
      <c r="F501" s="5">
        <v>135</v>
      </c>
      <c r="G501" s="3" t="str">
        <f>VLOOKUP(Registros[[#This Row],[Cliente]],Cliente_Region[],2,FALSE)</f>
        <v>Mexico</v>
      </c>
      <c r="H501" s="3" t="str">
        <f>VLOOKUP(Registros[[#This Row],[Producto]],Producto[],2,FALSE)</f>
        <v>LAX</v>
      </c>
    </row>
    <row r="502" spans="1:8" ht="20.100000000000001" customHeight="1" x14ac:dyDescent="0.25">
      <c r="A502" s="3" t="s">
        <v>48</v>
      </c>
      <c r="B502" s="3" t="s">
        <v>193</v>
      </c>
      <c r="C502" s="3">
        <v>2022</v>
      </c>
      <c r="D502" s="4">
        <v>1</v>
      </c>
      <c r="E502" s="5">
        <v>7421.61</v>
      </c>
      <c r="F502" s="5">
        <v>4726.74</v>
      </c>
      <c r="G502" s="3" t="str">
        <f>VLOOKUP(Registros[[#This Row],[Cliente]],Cliente_Region[],2,FALSE)</f>
        <v>Mexico</v>
      </c>
      <c r="H502" s="3" t="str">
        <f>VLOOKUP(Registros[[#This Row],[Producto]],Producto[],2,FALSE)</f>
        <v>GAMBO</v>
      </c>
    </row>
    <row r="503" spans="1:8" ht="20.100000000000001" customHeight="1" x14ac:dyDescent="0.25">
      <c r="A503" s="3" t="s">
        <v>49</v>
      </c>
      <c r="B503" s="3" t="s">
        <v>193</v>
      </c>
      <c r="C503" s="3">
        <v>2022</v>
      </c>
      <c r="D503" s="4">
        <v>2</v>
      </c>
      <c r="E503" s="5">
        <v>4115.13</v>
      </c>
      <c r="F503" s="5">
        <v>2620.9</v>
      </c>
      <c r="G503" s="3" t="str">
        <f>VLOOKUP(Registros[[#This Row],[Cliente]],Cliente_Region[],2,FALSE)</f>
        <v>Mexico</v>
      </c>
      <c r="H503" s="3" t="str">
        <f>VLOOKUP(Registros[[#This Row],[Producto]],Producto[],2,FALSE)</f>
        <v>CHOTUS</v>
      </c>
    </row>
    <row r="504" spans="1:8" ht="20.100000000000001" customHeight="1" x14ac:dyDescent="0.25">
      <c r="A504" s="3" t="s">
        <v>49</v>
      </c>
      <c r="B504" s="3" t="s">
        <v>193</v>
      </c>
      <c r="C504" s="3">
        <v>2022</v>
      </c>
      <c r="D504" s="4">
        <v>3</v>
      </c>
      <c r="E504" s="5">
        <v>6055.89</v>
      </c>
      <c r="F504" s="5">
        <v>3856.95</v>
      </c>
      <c r="G504" s="3" t="str">
        <f>VLOOKUP(Registros[[#This Row],[Cliente]],Cliente_Region[],2,FALSE)</f>
        <v>Mexico</v>
      </c>
      <c r="H504" s="3" t="str">
        <f>VLOOKUP(Registros[[#This Row],[Producto]],Producto[],2,FALSE)</f>
        <v>CHOTUS</v>
      </c>
    </row>
    <row r="505" spans="1:8" ht="20.100000000000001" customHeight="1" x14ac:dyDescent="0.25">
      <c r="A505" s="3" t="s">
        <v>49</v>
      </c>
      <c r="B505" s="3" t="s">
        <v>193</v>
      </c>
      <c r="C505" s="3">
        <v>2022</v>
      </c>
      <c r="D505" s="4">
        <v>4</v>
      </c>
      <c r="E505" s="5">
        <v>4079.19</v>
      </c>
      <c r="F505" s="5">
        <v>2598.0100000000002</v>
      </c>
      <c r="G505" s="3" t="str">
        <f>VLOOKUP(Registros[[#This Row],[Cliente]],Cliente_Region[],2,FALSE)</f>
        <v>Mexico</v>
      </c>
      <c r="H505" s="3" t="str">
        <f>VLOOKUP(Registros[[#This Row],[Producto]],Producto[],2,FALSE)</f>
        <v>CHOTUS</v>
      </c>
    </row>
    <row r="506" spans="1:8" ht="20.100000000000001" customHeight="1" x14ac:dyDescent="0.25">
      <c r="A506" s="3" t="s">
        <v>49</v>
      </c>
      <c r="B506" s="3" t="s">
        <v>193</v>
      </c>
      <c r="C506" s="3">
        <v>2022</v>
      </c>
      <c r="D506" s="4">
        <v>5</v>
      </c>
      <c r="E506" s="5">
        <v>6001.98</v>
      </c>
      <c r="F506" s="5">
        <v>3822.62</v>
      </c>
      <c r="G506" s="3" t="str">
        <f>VLOOKUP(Registros[[#This Row],[Cliente]],Cliente_Region[],2,FALSE)</f>
        <v>Mexico</v>
      </c>
      <c r="H506" s="3" t="str">
        <f>VLOOKUP(Registros[[#This Row],[Producto]],Producto[],2,FALSE)</f>
        <v>CHOTUS</v>
      </c>
    </row>
    <row r="507" spans="1:8" ht="20.100000000000001" customHeight="1" x14ac:dyDescent="0.25">
      <c r="A507" s="3" t="s">
        <v>49</v>
      </c>
      <c r="B507" s="3" t="s">
        <v>193</v>
      </c>
      <c r="C507" s="3">
        <v>2022</v>
      </c>
      <c r="D507" s="4">
        <v>6</v>
      </c>
      <c r="E507" s="5">
        <v>5391</v>
      </c>
      <c r="F507" s="5">
        <v>3433.48</v>
      </c>
      <c r="G507" s="3" t="str">
        <f>VLOOKUP(Registros[[#This Row],[Cliente]],Cliente_Region[],2,FALSE)</f>
        <v>Mexico</v>
      </c>
      <c r="H507" s="3" t="str">
        <f>VLOOKUP(Registros[[#This Row],[Producto]],Producto[],2,FALSE)</f>
        <v>CHOTUS</v>
      </c>
    </row>
    <row r="508" spans="1:8" ht="20.100000000000001" customHeight="1" x14ac:dyDescent="0.25">
      <c r="A508" s="3" t="s">
        <v>195</v>
      </c>
      <c r="B508" s="3" t="s">
        <v>193</v>
      </c>
      <c r="C508" s="3">
        <v>2022</v>
      </c>
      <c r="D508" s="4">
        <v>3</v>
      </c>
      <c r="E508" s="5">
        <v>269.55</v>
      </c>
      <c r="F508" s="5">
        <v>97.19</v>
      </c>
      <c r="G508" s="3" t="str">
        <f>VLOOKUP(Registros[[#This Row],[Cliente]],Cliente_Region[],2,FALSE)</f>
        <v>Mexico</v>
      </c>
      <c r="H508" s="3" t="str">
        <f>VLOOKUP(Registros[[#This Row],[Producto]],Producto[],2,FALSE)</f>
        <v>DONANY</v>
      </c>
    </row>
    <row r="509" spans="1:8" ht="20.100000000000001" customHeight="1" x14ac:dyDescent="0.25">
      <c r="A509" s="3" t="s">
        <v>138</v>
      </c>
      <c r="B509" s="3" t="s">
        <v>193</v>
      </c>
      <c r="C509" s="3">
        <v>2022</v>
      </c>
      <c r="D509" s="4">
        <v>5</v>
      </c>
      <c r="E509" s="5">
        <v>117.5</v>
      </c>
      <c r="F509" s="5">
        <v>74.17</v>
      </c>
      <c r="G509" s="3" t="str">
        <f>VLOOKUP(Registros[[#This Row],[Cliente]],Cliente_Region[],2,FALSE)</f>
        <v>Mexico</v>
      </c>
      <c r="H509" s="3" t="str">
        <f>VLOOKUP(Registros[[#This Row],[Producto]],Producto[],2,FALSE)</f>
        <v>SALF</v>
      </c>
    </row>
    <row r="510" spans="1:8" ht="20.100000000000001" customHeight="1" x14ac:dyDescent="0.25">
      <c r="A510" s="3" t="s">
        <v>140</v>
      </c>
      <c r="B510" s="3" t="s">
        <v>193</v>
      </c>
      <c r="C510" s="3">
        <v>2022</v>
      </c>
      <c r="D510" s="4">
        <v>1</v>
      </c>
      <c r="E510" s="5">
        <v>70</v>
      </c>
      <c r="F510" s="5">
        <v>38.42</v>
      </c>
      <c r="G510" s="3" t="str">
        <f>VLOOKUP(Registros[[#This Row],[Cliente]],Cliente_Region[],2,FALSE)</f>
        <v>Mexico</v>
      </c>
      <c r="H510" s="3" t="str">
        <f>VLOOKUP(Registros[[#This Row],[Producto]],Producto[],2,FALSE)</f>
        <v>DAWNE</v>
      </c>
    </row>
    <row r="511" spans="1:8" ht="20.100000000000001" customHeight="1" x14ac:dyDescent="0.25">
      <c r="A511" s="3" t="s">
        <v>141</v>
      </c>
      <c r="B511" s="3" t="s">
        <v>193</v>
      </c>
      <c r="C511" s="3">
        <v>2022</v>
      </c>
      <c r="D511" s="4">
        <v>2</v>
      </c>
      <c r="E511" s="5">
        <v>105</v>
      </c>
      <c r="F511" s="5">
        <v>57.63</v>
      </c>
      <c r="G511" s="3" t="str">
        <f>VLOOKUP(Registros[[#This Row],[Cliente]],Cliente_Region[],2,FALSE)</f>
        <v>Mexico</v>
      </c>
      <c r="H511" s="3" t="str">
        <f>VLOOKUP(Registros[[#This Row],[Producto]],Producto[],2,FALSE)</f>
        <v>QUOKAR</v>
      </c>
    </row>
    <row r="512" spans="1:8" ht="20.100000000000001" customHeight="1" x14ac:dyDescent="0.25">
      <c r="A512" s="3" t="s">
        <v>141</v>
      </c>
      <c r="B512" s="3" t="s">
        <v>193</v>
      </c>
      <c r="C512" s="3">
        <v>2022</v>
      </c>
      <c r="D512" s="4">
        <v>3</v>
      </c>
      <c r="E512" s="5">
        <v>105</v>
      </c>
      <c r="F512" s="5">
        <v>48.01</v>
      </c>
      <c r="G512" s="3" t="str">
        <f>VLOOKUP(Registros[[#This Row],[Cliente]],Cliente_Region[],2,FALSE)</f>
        <v>Mexico</v>
      </c>
      <c r="H512" s="3" t="str">
        <f>VLOOKUP(Registros[[#This Row],[Producto]],Producto[],2,FALSE)</f>
        <v>QUOKAR</v>
      </c>
    </row>
    <row r="513" spans="1:8" ht="20.100000000000001" customHeight="1" x14ac:dyDescent="0.25">
      <c r="A513" s="3" t="s">
        <v>141</v>
      </c>
      <c r="B513" s="3" t="s">
        <v>193</v>
      </c>
      <c r="C513" s="3">
        <v>2022</v>
      </c>
      <c r="D513" s="4">
        <v>4</v>
      </c>
      <c r="E513" s="5">
        <v>35</v>
      </c>
      <c r="F513" s="5">
        <v>16.23</v>
      </c>
      <c r="G513" s="3" t="str">
        <f>VLOOKUP(Registros[[#This Row],[Cliente]],Cliente_Region[],2,FALSE)</f>
        <v>Mexico</v>
      </c>
      <c r="H513" s="3" t="str">
        <f>VLOOKUP(Registros[[#This Row],[Producto]],Producto[],2,FALSE)</f>
        <v>QUOKAR</v>
      </c>
    </row>
    <row r="514" spans="1:8" ht="20.100000000000001" customHeight="1" x14ac:dyDescent="0.25">
      <c r="A514" s="3" t="s">
        <v>141</v>
      </c>
      <c r="B514" s="3" t="s">
        <v>193</v>
      </c>
      <c r="C514" s="3">
        <v>2022</v>
      </c>
      <c r="D514" s="4">
        <v>5</v>
      </c>
      <c r="E514" s="5">
        <v>70</v>
      </c>
      <c r="F514" s="5">
        <v>32.46</v>
      </c>
      <c r="G514" s="3" t="str">
        <f>VLOOKUP(Registros[[#This Row],[Cliente]],Cliente_Region[],2,FALSE)</f>
        <v>Mexico</v>
      </c>
      <c r="H514" s="3" t="str">
        <f>VLOOKUP(Registros[[#This Row],[Producto]],Producto[],2,FALSE)</f>
        <v>QUOKAR</v>
      </c>
    </row>
    <row r="515" spans="1:8" ht="20.100000000000001" customHeight="1" x14ac:dyDescent="0.25">
      <c r="A515" s="3" t="s">
        <v>141</v>
      </c>
      <c r="B515" s="3" t="s">
        <v>193</v>
      </c>
      <c r="C515" s="3">
        <v>2022</v>
      </c>
      <c r="D515" s="4">
        <v>6</v>
      </c>
      <c r="E515" s="5">
        <v>70</v>
      </c>
      <c r="F515" s="5">
        <v>33.159999999999997</v>
      </c>
      <c r="G515" s="3" t="str">
        <f>VLOOKUP(Registros[[#This Row],[Cliente]],Cliente_Region[],2,FALSE)</f>
        <v>Mexico</v>
      </c>
      <c r="H515" s="3" t="str">
        <f>VLOOKUP(Registros[[#This Row],[Producto]],Producto[],2,FALSE)</f>
        <v>QUOKAR</v>
      </c>
    </row>
    <row r="516" spans="1:8" ht="20.100000000000001" customHeight="1" x14ac:dyDescent="0.25">
      <c r="A516" s="3" t="s">
        <v>196</v>
      </c>
      <c r="B516" s="3" t="s">
        <v>193</v>
      </c>
      <c r="C516" s="3">
        <v>2022</v>
      </c>
      <c r="D516" s="4">
        <v>1</v>
      </c>
      <c r="E516" s="5">
        <v>65.5</v>
      </c>
      <c r="F516" s="5">
        <v>16.72</v>
      </c>
      <c r="G516" s="3" t="str">
        <f>VLOOKUP(Registros[[#This Row],[Cliente]],Cliente_Region[],2,FALSE)</f>
        <v>Mexico</v>
      </c>
      <c r="H516" s="3" t="str">
        <f>VLOOKUP(Registros[[#This Row],[Producto]],Producto[],2,FALSE)</f>
        <v>CHOTUS</v>
      </c>
    </row>
    <row r="517" spans="1:8" ht="20.100000000000001" customHeight="1" x14ac:dyDescent="0.25">
      <c r="A517" s="3" t="s">
        <v>197</v>
      </c>
      <c r="B517" s="3" t="s">
        <v>193</v>
      </c>
      <c r="C517" s="3">
        <v>2022</v>
      </c>
      <c r="D517" s="4">
        <v>2</v>
      </c>
      <c r="E517" s="5">
        <v>131</v>
      </c>
      <c r="F517" s="5">
        <v>33.43</v>
      </c>
      <c r="G517" s="3" t="str">
        <f>VLOOKUP(Registros[[#This Row],[Cliente]],Cliente_Region[],2,FALSE)</f>
        <v>Mexico</v>
      </c>
      <c r="H517" s="3" t="str">
        <f>VLOOKUP(Registros[[#This Row],[Producto]],Producto[],2,FALSE)</f>
        <v>LAX</v>
      </c>
    </row>
    <row r="518" spans="1:8" ht="20.100000000000001" customHeight="1" x14ac:dyDescent="0.25">
      <c r="A518" s="3" t="s">
        <v>197</v>
      </c>
      <c r="B518" s="3" t="s">
        <v>193</v>
      </c>
      <c r="C518" s="3">
        <v>2022</v>
      </c>
      <c r="D518" s="4">
        <v>6</v>
      </c>
      <c r="E518" s="5">
        <v>65.5</v>
      </c>
      <c r="F518" s="5">
        <v>23.23</v>
      </c>
      <c r="G518" s="3" t="str">
        <f>VLOOKUP(Registros[[#This Row],[Cliente]],Cliente_Region[],2,FALSE)</f>
        <v>Mexico</v>
      </c>
      <c r="H518" s="3" t="str">
        <f>VLOOKUP(Registros[[#This Row],[Producto]],Producto[],2,FALSE)</f>
        <v>LAX</v>
      </c>
    </row>
    <row r="519" spans="1:8" ht="20.100000000000001" customHeight="1" x14ac:dyDescent="0.25">
      <c r="A519" s="3" t="s">
        <v>172</v>
      </c>
      <c r="B519" s="3" t="s">
        <v>193</v>
      </c>
      <c r="C519" s="3">
        <v>2022</v>
      </c>
      <c r="D519" s="4">
        <v>1</v>
      </c>
      <c r="E519" s="5">
        <v>424</v>
      </c>
      <c r="F519" s="5">
        <v>208.94</v>
      </c>
      <c r="G519" s="3" t="str">
        <f>VLOOKUP(Registros[[#This Row],[Cliente]],Cliente_Region[],2,FALSE)</f>
        <v>Mexico</v>
      </c>
      <c r="H519" s="3" t="str">
        <f>VLOOKUP(Registros[[#This Row],[Producto]],Producto[],2,FALSE)</f>
        <v>SALF</v>
      </c>
    </row>
    <row r="520" spans="1:8" ht="20.100000000000001" customHeight="1" x14ac:dyDescent="0.25">
      <c r="A520" s="3" t="s">
        <v>173</v>
      </c>
      <c r="B520" s="3" t="s">
        <v>193</v>
      </c>
      <c r="C520" s="3">
        <v>2022</v>
      </c>
      <c r="D520" s="4">
        <v>6</v>
      </c>
      <c r="E520" s="5">
        <v>212</v>
      </c>
      <c r="F520" s="5">
        <v>104.47</v>
      </c>
      <c r="G520" s="3" t="str">
        <f>VLOOKUP(Registros[[#This Row],[Cliente]],Cliente_Region[],2,FALSE)</f>
        <v>Mexico</v>
      </c>
      <c r="H520" s="3" t="str">
        <f>VLOOKUP(Registros[[#This Row],[Producto]],Producto[],2,FALSE)</f>
        <v>DAWNE</v>
      </c>
    </row>
    <row r="521" spans="1:8" ht="20.100000000000001" customHeight="1" x14ac:dyDescent="0.25">
      <c r="A521" s="3" t="s">
        <v>26</v>
      </c>
      <c r="B521" s="3" t="s">
        <v>193</v>
      </c>
      <c r="C521" s="3">
        <v>2022</v>
      </c>
      <c r="D521" s="4">
        <v>1</v>
      </c>
      <c r="E521" s="5">
        <v>2213.25</v>
      </c>
      <c r="F521" s="5">
        <v>1147.71</v>
      </c>
      <c r="G521" s="3" t="str">
        <f>VLOOKUP(Registros[[#This Row],[Cliente]],Cliente_Region[],2,FALSE)</f>
        <v>Mexico</v>
      </c>
      <c r="H521" s="3" t="str">
        <f>VLOOKUP(Registros[[#This Row],[Producto]],Producto[],2,FALSE)</f>
        <v>CHOTUS</v>
      </c>
    </row>
    <row r="522" spans="1:8" ht="20.100000000000001" customHeight="1" x14ac:dyDescent="0.25">
      <c r="A522" s="3" t="s">
        <v>187</v>
      </c>
      <c r="B522" s="3" t="s">
        <v>193</v>
      </c>
      <c r="C522" s="3">
        <v>2022</v>
      </c>
      <c r="D522" s="4">
        <v>2</v>
      </c>
      <c r="E522" s="5">
        <v>1163.25</v>
      </c>
      <c r="F522" s="5">
        <v>546.48</v>
      </c>
      <c r="G522" s="3" t="str">
        <f>VLOOKUP(Registros[[#This Row],[Cliente]],Cliente_Region[],2,FALSE)</f>
        <v>Mexico</v>
      </c>
      <c r="H522" s="3" t="str">
        <f>VLOOKUP(Registros[[#This Row],[Producto]],Producto[],2,FALSE)</f>
        <v>SALF</v>
      </c>
    </row>
    <row r="523" spans="1:8" ht="20.100000000000001" customHeight="1" x14ac:dyDescent="0.25">
      <c r="A523" s="3" t="s">
        <v>187</v>
      </c>
      <c r="B523" s="3" t="s">
        <v>193</v>
      </c>
      <c r="C523" s="3">
        <v>2022</v>
      </c>
      <c r="D523" s="4">
        <v>3</v>
      </c>
      <c r="E523" s="5">
        <v>1360.5</v>
      </c>
      <c r="F523" s="5">
        <v>706.35</v>
      </c>
      <c r="G523" s="3" t="str">
        <f>VLOOKUP(Registros[[#This Row],[Cliente]],Cliente_Region[],2,FALSE)</f>
        <v>Mexico</v>
      </c>
      <c r="H523" s="3" t="str">
        <f>VLOOKUP(Registros[[#This Row],[Producto]],Producto[],2,FALSE)</f>
        <v>SALF</v>
      </c>
    </row>
    <row r="524" spans="1:8" ht="20.100000000000001" customHeight="1" x14ac:dyDescent="0.25">
      <c r="A524" s="3" t="s">
        <v>187</v>
      </c>
      <c r="B524" s="3" t="s">
        <v>193</v>
      </c>
      <c r="C524" s="3">
        <v>2022</v>
      </c>
      <c r="D524" s="4">
        <v>4</v>
      </c>
      <c r="E524" s="5">
        <v>1890</v>
      </c>
      <c r="F524" s="5">
        <v>1105.02</v>
      </c>
      <c r="G524" s="3" t="str">
        <f>VLOOKUP(Registros[[#This Row],[Cliente]],Cliente_Region[],2,FALSE)</f>
        <v>Mexico</v>
      </c>
      <c r="H524" s="3" t="str">
        <f>VLOOKUP(Registros[[#This Row],[Producto]],Producto[],2,FALSE)</f>
        <v>SALF</v>
      </c>
    </row>
    <row r="525" spans="1:8" ht="20.100000000000001" customHeight="1" x14ac:dyDescent="0.25">
      <c r="A525" s="3" t="s">
        <v>187</v>
      </c>
      <c r="B525" s="3" t="s">
        <v>193</v>
      </c>
      <c r="C525" s="3">
        <v>2022</v>
      </c>
      <c r="D525" s="4">
        <v>5</v>
      </c>
      <c r="E525" s="5">
        <v>945</v>
      </c>
      <c r="F525" s="5">
        <v>552.51</v>
      </c>
      <c r="G525" s="3" t="str">
        <f>VLOOKUP(Registros[[#This Row],[Cliente]],Cliente_Region[],2,FALSE)</f>
        <v>Mexico</v>
      </c>
      <c r="H525" s="3" t="str">
        <f>VLOOKUP(Registros[[#This Row],[Producto]],Producto[],2,FALSE)</f>
        <v>SALF</v>
      </c>
    </row>
    <row r="526" spans="1:8" ht="20.100000000000001" customHeight="1" x14ac:dyDescent="0.25">
      <c r="A526" s="3" t="s">
        <v>187</v>
      </c>
      <c r="B526" s="3" t="s">
        <v>193</v>
      </c>
      <c r="C526" s="3">
        <v>2022</v>
      </c>
      <c r="D526" s="4">
        <v>6</v>
      </c>
      <c r="E526" s="5">
        <v>1485</v>
      </c>
      <c r="F526" s="5">
        <v>868.23</v>
      </c>
      <c r="G526" s="3" t="str">
        <f>VLOOKUP(Registros[[#This Row],[Cliente]],Cliente_Region[],2,FALSE)</f>
        <v>Mexico</v>
      </c>
      <c r="H526" s="3" t="str">
        <f>VLOOKUP(Registros[[#This Row],[Producto]],Producto[],2,FALSE)</f>
        <v>SALF</v>
      </c>
    </row>
    <row r="527" spans="1:8" ht="20.100000000000001" customHeight="1" x14ac:dyDescent="0.25">
      <c r="A527" s="3" t="s">
        <v>114</v>
      </c>
      <c r="B527" s="3" t="s">
        <v>193</v>
      </c>
      <c r="C527" s="3">
        <v>2022</v>
      </c>
      <c r="D527" s="4">
        <v>1</v>
      </c>
      <c r="E527" s="5">
        <v>45.75</v>
      </c>
      <c r="F527" s="5">
        <v>15.63</v>
      </c>
      <c r="G527" s="3" t="str">
        <f>VLOOKUP(Registros[[#This Row],[Cliente]],Cliente_Region[],2,FALSE)</f>
        <v>Mexico</v>
      </c>
      <c r="H527" s="3" t="str">
        <f>VLOOKUP(Registros[[#This Row],[Producto]],Producto[],2,FALSE)</f>
        <v>DAWNE</v>
      </c>
    </row>
    <row r="528" spans="1:8" ht="20.100000000000001" customHeight="1" x14ac:dyDescent="0.25">
      <c r="A528" s="3" t="s">
        <v>115</v>
      </c>
      <c r="B528" s="3" t="s">
        <v>193</v>
      </c>
      <c r="C528" s="3">
        <v>2022</v>
      </c>
      <c r="D528" s="4">
        <v>3</v>
      </c>
      <c r="E528" s="5">
        <v>15.25</v>
      </c>
      <c r="F528" s="5">
        <v>4.1900000000000004</v>
      </c>
      <c r="G528" s="3" t="str">
        <f>VLOOKUP(Registros[[#This Row],[Cliente]],Cliente_Region[],2,FALSE)</f>
        <v>Mexico</v>
      </c>
      <c r="H528" s="3" t="str">
        <f>VLOOKUP(Registros[[#This Row],[Producto]],Producto[],2,FALSE)</f>
        <v>GAMBO</v>
      </c>
    </row>
    <row r="529" spans="1:8" ht="20.100000000000001" customHeight="1" x14ac:dyDescent="0.25">
      <c r="A529" s="3" t="s">
        <v>115</v>
      </c>
      <c r="B529" s="3" t="s">
        <v>193</v>
      </c>
      <c r="C529" s="3">
        <v>2022</v>
      </c>
      <c r="D529" s="4">
        <v>4</v>
      </c>
      <c r="E529" s="5">
        <v>15.25</v>
      </c>
      <c r="F529" s="5">
        <v>4.1900000000000004</v>
      </c>
      <c r="G529" s="3" t="str">
        <f>VLOOKUP(Registros[[#This Row],[Cliente]],Cliente_Region[],2,FALSE)</f>
        <v>Mexico</v>
      </c>
      <c r="H529" s="3" t="str">
        <f>VLOOKUP(Registros[[#This Row],[Producto]],Producto[],2,FALSE)</f>
        <v>GAMBO</v>
      </c>
    </row>
    <row r="530" spans="1:8" ht="19.899999999999999" customHeight="1" x14ac:dyDescent="0.25">
      <c r="A530" s="3" t="s">
        <v>115</v>
      </c>
      <c r="B530" s="3" t="s">
        <v>193</v>
      </c>
      <c r="C530" s="3">
        <v>2022</v>
      </c>
      <c r="D530" s="4">
        <v>5</v>
      </c>
      <c r="E530" s="5">
        <v>15.25</v>
      </c>
      <c r="F530" s="5">
        <v>4.1900000000000004</v>
      </c>
      <c r="G530" s="3" t="str">
        <f>VLOOKUP(Registros[[#This Row],[Cliente]],Cliente_Region[],2,FALSE)</f>
        <v>Mexico</v>
      </c>
      <c r="H530" s="3" t="str">
        <f>VLOOKUP(Registros[[#This Row],[Producto]],Producto[],2,FALSE)</f>
        <v>GAMBO</v>
      </c>
    </row>
    <row r="531" spans="1:8" ht="20.100000000000001" customHeight="1" x14ac:dyDescent="0.25">
      <c r="A531" s="3" t="s">
        <v>115</v>
      </c>
      <c r="B531" s="3" t="s">
        <v>193</v>
      </c>
      <c r="C531" s="3">
        <v>2022</v>
      </c>
      <c r="D531" s="4">
        <v>6</v>
      </c>
      <c r="E531" s="5">
        <v>45.75</v>
      </c>
      <c r="F531" s="5">
        <v>12.58</v>
      </c>
      <c r="G531" s="3" t="str">
        <f>VLOOKUP(Registros[[#This Row],[Cliente]],Cliente_Region[],2,FALSE)</f>
        <v>Mexico</v>
      </c>
      <c r="H531" s="3" t="str">
        <f>VLOOKUP(Registros[[#This Row],[Producto]],Producto[],2,FALSE)</f>
        <v>GAMBO</v>
      </c>
    </row>
    <row r="532" spans="1:8" ht="20.100000000000001" customHeight="1" x14ac:dyDescent="0.25">
      <c r="A532" s="3" t="s">
        <v>65</v>
      </c>
      <c r="B532" s="3" t="s">
        <v>193</v>
      </c>
      <c r="C532" s="3">
        <v>2022</v>
      </c>
      <c r="D532" s="4">
        <v>1</v>
      </c>
      <c r="E532" s="5">
        <v>54.2</v>
      </c>
      <c r="F532" s="5">
        <v>36.53</v>
      </c>
      <c r="G532" s="3" t="str">
        <f>VLOOKUP(Registros[[#This Row],[Cliente]],Cliente_Region[],2,FALSE)</f>
        <v>Mexico</v>
      </c>
      <c r="H532" s="3" t="str">
        <f>VLOOKUP(Registros[[#This Row],[Producto]],Producto[],2,FALSE)</f>
        <v>DAWNE</v>
      </c>
    </row>
    <row r="533" spans="1:8" ht="20.100000000000001" customHeight="1" x14ac:dyDescent="0.25">
      <c r="A533" s="3" t="s">
        <v>66</v>
      </c>
      <c r="B533" s="3" t="s">
        <v>193</v>
      </c>
      <c r="C533" s="3">
        <v>2022</v>
      </c>
      <c r="D533" s="4">
        <v>3</v>
      </c>
      <c r="E533" s="5">
        <v>93</v>
      </c>
      <c r="F533" s="5">
        <v>63.55</v>
      </c>
      <c r="G533" s="3" t="str">
        <f>VLOOKUP(Registros[[#This Row],[Cliente]],Cliente_Region[],2,FALSE)</f>
        <v>Mexico</v>
      </c>
      <c r="H533" s="3" t="str">
        <f>VLOOKUP(Registros[[#This Row],[Producto]],Producto[],2,FALSE)</f>
        <v>LAX</v>
      </c>
    </row>
    <row r="534" spans="1:8" ht="20.100000000000001" customHeight="1" x14ac:dyDescent="0.25">
      <c r="A534" s="3" t="s">
        <v>66</v>
      </c>
      <c r="B534" s="3" t="s">
        <v>193</v>
      </c>
      <c r="C534" s="3">
        <v>2022</v>
      </c>
      <c r="D534" s="4">
        <v>4</v>
      </c>
      <c r="E534" s="5">
        <v>37.200000000000003</v>
      </c>
      <c r="F534" s="5">
        <v>25.42</v>
      </c>
      <c r="G534" s="3" t="str">
        <f>VLOOKUP(Registros[[#This Row],[Cliente]],Cliente_Region[],2,FALSE)</f>
        <v>Mexico</v>
      </c>
      <c r="H534" s="3" t="str">
        <f>VLOOKUP(Registros[[#This Row],[Producto]],Producto[],2,FALSE)</f>
        <v>LAX</v>
      </c>
    </row>
    <row r="535" spans="1:8" ht="20.100000000000001" customHeight="1" x14ac:dyDescent="0.25">
      <c r="A535" s="3" t="s">
        <v>66</v>
      </c>
      <c r="B535" s="3" t="s">
        <v>193</v>
      </c>
      <c r="C535" s="3">
        <v>2022</v>
      </c>
      <c r="D535" s="4">
        <v>5</v>
      </c>
      <c r="E535" s="5">
        <v>18.600000000000001</v>
      </c>
      <c r="F535" s="5">
        <v>12.71</v>
      </c>
      <c r="G535" s="3" t="str">
        <f>VLOOKUP(Registros[[#This Row],[Cliente]],Cliente_Region[],2,FALSE)</f>
        <v>Mexico</v>
      </c>
      <c r="H535" s="3" t="str">
        <f>VLOOKUP(Registros[[#This Row],[Producto]],Producto[],2,FALSE)</f>
        <v>LAX</v>
      </c>
    </row>
    <row r="536" spans="1:8" ht="20.100000000000001" customHeight="1" x14ac:dyDescent="0.25">
      <c r="A536" s="3" t="s">
        <v>66</v>
      </c>
      <c r="B536" s="3" t="s">
        <v>193</v>
      </c>
      <c r="C536" s="3">
        <v>2022</v>
      </c>
      <c r="D536" s="4">
        <v>6</v>
      </c>
      <c r="E536" s="5">
        <v>74.400000000000006</v>
      </c>
      <c r="F536" s="5">
        <v>50.84</v>
      </c>
      <c r="G536" s="3" t="str">
        <f>VLOOKUP(Registros[[#This Row],[Cliente]],Cliente_Region[],2,FALSE)</f>
        <v>Mexico</v>
      </c>
      <c r="H536" s="3" t="str">
        <f>VLOOKUP(Registros[[#This Row],[Producto]],Producto[],2,FALSE)</f>
        <v>LAX</v>
      </c>
    </row>
    <row r="537" spans="1:8" ht="20.100000000000001" customHeight="1" x14ac:dyDescent="0.25">
      <c r="A537" s="3" t="s">
        <v>183</v>
      </c>
      <c r="B537" s="3" t="s">
        <v>193</v>
      </c>
      <c r="C537" s="3">
        <v>2022</v>
      </c>
      <c r="D537" s="4">
        <v>1</v>
      </c>
      <c r="E537" s="5">
        <v>213</v>
      </c>
      <c r="F537" s="5">
        <v>147.82</v>
      </c>
      <c r="G537" s="3" t="str">
        <f>VLOOKUP(Registros[[#This Row],[Cliente]],Cliente_Region[],2,FALSE)</f>
        <v>Mexico</v>
      </c>
      <c r="H537" s="3" t="str">
        <f>VLOOKUP(Registros[[#This Row],[Producto]],Producto[],2,FALSE)</f>
        <v>MOC</v>
      </c>
    </row>
    <row r="538" spans="1:8" ht="20.100000000000001" customHeight="1" x14ac:dyDescent="0.25">
      <c r="A538" s="3" t="s">
        <v>184</v>
      </c>
      <c r="B538" s="3" t="s">
        <v>193</v>
      </c>
      <c r="C538" s="3">
        <v>2022</v>
      </c>
      <c r="D538" s="4">
        <v>2</v>
      </c>
      <c r="E538" s="5">
        <v>162</v>
      </c>
      <c r="F538" s="5">
        <v>112.82</v>
      </c>
      <c r="G538" s="3" t="str">
        <f>VLOOKUP(Registros[[#This Row],[Cliente]],Cliente_Region[],2,FALSE)</f>
        <v>Mexico</v>
      </c>
      <c r="H538" s="3" t="str">
        <f>VLOOKUP(Registros[[#This Row],[Producto]],Producto[],2,FALSE)</f>
        <v>DONANY</v>
      </c>
    </row>
    <row r="539" spans="1:8" ht="20.100000000000001" customHeight="1" x14ac:dyDescent="0.25">
      <c r="A539" s="3" t="s">
        <v>184</v>
      </c>
      <c r="B539" s="3" t="s">
        <v>193</v>
      </c>
      <c r="C539" s="3">
        <v>2022</v>
      </c>
      <c r="D539" s="4">
        <v>3</v>
      </c>
      <c r="E539" s="5">
        <v>72</v>
      </c>
      <c r="F539" s="5">
        <v>49.14</v>
      </c>
      <c r="G539" s="3" t="str">
        <f>VLOOKUP(Registros[[#This Row],[Cliente]],Cliente_Region[],2,FALSE)</f>
        <v>Mexico</v>
      </c>
      <c r="H539" s="3" t="str">
        <f>VLOOKUP(Registros[[#This Row],[Producto]],Producto[],2,FALSE)</f>
        <v>DONANY</v>
      </c>
    </row>
    <row r="540" spans="1:8" ht="20.100000000000001" customHeight="1" x14ac:dyDescent="0.25">
      <c r="A540" s="3" t="s">
        <v>55</v>
      </c>
      <c r="B540" s="3" t="s">
        <v>193</v>
      </c>
      <c r="C540" s="3">
        <v>2022</v>
      </c>
      <c r="D540" s="4">
        <v>5</v>
      </c>
      <c r="E540" s="5">
        <v>50.75</v>
      </c>
      <c r="F540" s="5">
        <v>27.9</v>
      </c>
      <c r="G540" s="3" t="str">
        <f>VLOOKUP(Registros[[#This Row],[Cliente]],Cliente_Region[],2,FALSE)</f>
        <v>Mexico</v>
      </c>
      <c r="H540" s="3" t="str">
        <f>VLOOKUP(Registros[[#This Row],[Producto]],Producto[],2,FALSE)</f>
        <v>CHOTUS</v>
      </c>
    </row>
    <row r="541" spans="1:8" ht="20.100000000000001" customHeight="1" x14ac:dyDescent="0.25">
      <c r="A541" s="3" t="s">
        <v>120</v>
      </c>
      <c r="B541" s="3" t="s">
        <v>193</v>
      </c>
      <c r="C541" s="3">
        <v>2022</v>
      </c>
      <c r="D541" s="4">
        <v>2</v>
      </c>
      <c r="E541" s="5">
        <v>51</v>
      </c>
      <c r="F541" s="5">
        <v>32.479999999999997</v>
      </c>
      <c r="G541" s="3" t="str">
        <f>VLOOKUP(Registros[[#This Row],[Cliente]],Cliente_Region[],2,FALSE)</f>
        <v>Mexico</v>
      </c>
      <c r="H541" s="3" t="str">
        <f>VLOOKUP(Registros[[#This Row],[Producto]],Producto[],2,FALSE)</f>
        <v>LAX</v>
      </c>
    </row>
    <row r="542" spans="1:8" ht="20.100000000000001" customHeight="1" x14ac:dyDescent="0.25">
      <c r="A542" s="3" t="s">
        <v>121</v>
      </c>
      <c r="B542" s="3" t="s">
        <v>193</v>
      </c>
      <c r="C542" s="3">
        <v>2022</v>
      </c>
      <c r="D542" s="4">
        <v>3</v>
      </c>
      <c r="E542" s="5">
        <v>25.5</v>
      </c>
      <c r="F542" s="5">
        <v>13.31</v>
      </c>
      <c r="G542" s="3" t="str">
        <f>VLOOKUP(Registros[[#This Row],[Cliente]],Cliente_Region[],2,FALSE)</f>
        <v>Mexico</v>
      </c>
      <c r="H542" s="3" t="str">
        <f>VLOOKUP(Registros[[#This Row],[Producto]],Producto[],2,FALSE)</f>
        <v>LAX</v>
      </c>
    </row>
    <row r="543" spans="1:8" ht="20.100000000000001" customHeight="1" x14ac:dyDescent="0.25">
      <c r="A543" s="3" t="s">
        <v>121</v>
      </c>
      <c r="B543" s="3" t="s">
        <v>193</v>
      </c>
      <c r="C543" s="3">
        <v>2022</v>
      </c>
      <c r="D543" s="4">
        <v>4</v>
      </c>
      <c r="E543" s="5">
        <v>178.5</v>
      </c>
      <c r="F543" s="5">
        <v>109.64</v>
      </c>
      <c r="G543" s="3" t="str">
        <f>VLOOKUP(Registros[[#This Row],[Cliente]],Cliente_Region[],2,FALSE)</f>
        <v>Mexico</v>
      </c>
      <c r="H543" s="3" t="str">
        <f>VLOOKUP(Registros[[#This Row],[Producto]],Producto[],2,FALSE)</f>
        <v>LAX</v>
      </c>
    </row>
    <row r="544" spans="1:8" ht="20.100000000000001" customHeight="1" x14ac:dyDescent="0.25">
      <c r="A544" s="3" t="s">
        <v>121</v>
      </c>
      <c r="B544" s="3" t="s">
        <v>193</v>
      </c>
      <c r="C544" s="3">
        <v>2022</v>
      </c>
      <c r="D544" s="4">
        <v>5</v>
      </c>
      <c r="E544" s="5">
        <v>192.5</v>
      </c>
      <c r="F544" s="5">
        <v>123.67</v>
      </c>
      <c r="G544" s="3" t="str">
        <f>VLOOKUP(Registros[[#This Row],[Cliente]],Cliente_Region[],2,FALSE)</f>
        <v>Mexico</v>
      </c>
      <c r="H544" s="3" t="str">
        <f>VLOOKUP(Registros[[#This Row],[Producto]],Producto[],2,FALSE)</f>
        <v>LAX</v>
      </c>
    </row>
    <row r="545" spans="1:8" ht="20.100000000000001" customHeight="1" x14ac:dyDescent="0.25">
      <c r="A545" s="3" t="s">
        <v>121</v>
      </c>
      <c r="B545" s="3" t="s">
        <v>193</v>
      </c>
      <c r="C545" s="3">
        <v>2022</v>
      </c>
      <c r="D545" s="4">
        <v>6</v>
      </c>
      <c r="E545" s="5">
        <v>27.5</v>
      </c>
      <c r="F545" s="5">
        <v>17.91</v>
      </c>
      <c r="G545" s="3" t="str">
        <f>VLOOKUP(Registros[[#This Row],[Cliente]],Cliente_Region[],2,FALSE)</f>
        <v>Mexico</v>
      </c>
      <c r="H545" s="3" t="str">
        <f>VLOOKUP(Registros[[#This Row],[Producto]],Producto[],2,FALSE)</f>
        <v>LAX</v>
      </c>
    </row>
    <row r="546" spans="1:8" ht="20.100000000000001" customHeight="1" x14ac:dyDescent="0.25">
      <c r="A546" s="3" t="s">
        <v>122</v>
      </c>
      <c r="B546" s="3" t="s">
        <v>193</v>
      </c>
      <c r="C546" s="3">
        <v>2022</v>
      </c>
      <c r="D546" s="4">
        <v>1</v>
      </c>
      <c r="E546" s="5">
        <v>292.39999999999998</v>
      </c>
      <c r="F546" s="5">
        <v>206.52</v>
      </c>
      <c r="G546" s="3" t="str">
        <f>VLOOKUP(Registros[[#This Row],[Cliente]],Cliente_Region[],2,FALSE)</f>
        <v>Mexico</v>
      </c>
      <c r="H546" s="3" t="str">
        <f>VLOOKUP(Registros[[#This Row],[Producto]],Producto[],2,FALSE)</f>
        <v>SALF</v>
      </c>
    </row>
    <row r="547" spans="1:8" ht="20.100000000000001" customHeight="1" x14ac:dyDescent="0.25">
      <c r="A547" s="3" t="s">
        <v>123</v>
      </c>
      <c r="B547" s="3" t="s">
        <v>193</v>
      </c>
      <c r="C547" s="3">
        <v>2022</v>
      </c>
      <c r="D547" s="4">
        <v>2</v>
      </c>
      <c r="E547" s="5">
        <v>465</v>
      </c>
      <c r="F547" s="5">
        <v>329.41</v>
      </c>
      <c r="G547" s="3" t="str">
        <f>VLOOKUP(Registros[[#This Row],[Cliente]],Cliente_Region[],2,FALSE)</f>
        <v>Mexico</v>
      </c>
      <c r="H547" s="3" t="str">
        <f>VLOOKUP(Registros[[#This Row],[Producto]],Producto[],2,FALSE)</f>
        <v>GAMBO</v>
      </c>
    </row>
    <row r="548" spans="1:8" ht="20.100000000000001" customHeight="1" x14ac:dyDescent="0.25">
      <c r="A548" s="3" t="s">
        <v>123</v>
      </c>
      <c r="B548" s="3" t="s">
        <v>193</v>
      </c>
      <c r="C548" s="3">
        <v>2022</v>
      </c>
      <c r="D548" s="4">
        <v>3</v>
      </c>
      <c r="E548" s="5">
        <v>511.5</v>
      </c>
      <c r="F548" s="5">
        <v>362.34</v>
      </c>
      <c r="G548" s="3" t="str">
        <f>VLOOKUP(Registros[[#This Row],[Cliente]],Cliente_Region[],2,FALSE)</f>
        <v>Mexico</v>
      </c>
      <c r="H548" s="3" t="str">
        <f>VLOOKUP(Registros[[#This Row],[Producto]],Producto[],2,FALSE)</f>
        <v>GAMBO</v>
      </c>
    </row>
    <row r="549" spans="1:8" ht="20.100000000000001" customHeight="1" x14ac:dyDescent="0.25">
      <c r="A549" s="3" t="s">
        <v>123</v>
      </c>
      <c r="B549" s="3" t="s">
        <v>193</v>
      </c>
      <c r="C549" s="3">
        <v>2022</v>
      </c>
      <c r="D549" s="4">
        <v>4</v>
      </c>
      <c r="E549" s="5">
        <v>403</v>
      </c>
      <c r="F549" s="5">
        <v>285.49</v>
      </c>
      <c r="G549" s="3" t="str">
        <f>VLOOKUP(Registros[[#This Row],[Cliente]],Cliente_Region[],2,FALSE)</f>
        <v>Mexico</v>
      </c>
      <c r="H549" s="3" t="str">
        <f>VLOOKUP(Registros[[#This Row],[Producto]],Producto[],2,FALSE)</f>
        <v>GAMBO</v>
      </c>
    </row>
    <row r="550" spans="1:8" ht="20.100000000000001" customHeight="1" x14ac:dyDescent="0.25">
      <c r="A550" s="3" t="s">
        <v>123</v>
      </c>
      <c r="B550" s="3" t="s">
        <v>193</v>
      </c>
      <c r="C550" s="3">
        <v>2022</v>
      </c>
      <c r="D550" s="4">
        <v>5</v>
      </c>
      <c r="E550" s="5">
        <v>496</v>
      </c>
      <c r="F550" s="5">
        <v>351.36</v>
      </c>
      <c r="G550" s="3" t="str">
        <f>VLOOKUP(Registros[[#This Row],[Cliente]],Cliente_Region[],2,FALSE)</f>
        <v>Mexico</v>
      </c>
      <c r="H550" s="3" t="str">
        <f>VLOOKUP(Registros[[#This Row],[Producto]],Producto[],2,FALSE)</f>
        <v>GAMBO</v>
      </c>
    </row>
    <row r="551" spans="1:8" ht="20.100000000000001" customHeight="1" x14ac:dyDescent="0.25">
      <c r="A551" s="3" t="s">
        <v>123</v>
      </c>
      <c r="B551" s="3" t="s">
        <v>193</v>
      </c>
      <c r="C551" s="3">
        <v>2022</v>
      </c>
      <c r="D551" s="4">
        <v>6</v>
      </c>
      <c r="E551" s="5">
        <v>666.5</v>
      </c>
      <c r="F551" s="5">
        <v>472.15</v>
      </c>
      <c r="G551" s="3" t="str">
        <f>VLOOKUP(Registros[[#This Row],[Cliente]],Cliente_Region[],2,FALSE)</f>
        <v>Mexico</v>
      </c>
      <c r="H551" s="3" t="str">
        <f>VLOOKUP(Registros[[#This Row],[Producto]],Producto[],2,FALSE)</f>
        <v>GAMBO</v>
      </c>
    </row>
    <row r="552" spans="1:8" ht="20.100000000000001" customHeight="1" x14ac:dyDescent="0.25">
      <c r="A552" s="3" t="s">
        <v>60</v>
      </c>
      <c r="B552" s="3" t="s">
        <v>193</v>
      </c>
      <c r="C552" s="3">
        <v>2022</v>
      </c>
      <c r="D552" s="4">
        <v>3</v>
      </c>
      <c r="E552" s="5">
        <v>77.5</v>
      </c>
      <c r="F552" s="5">
        <v>50.38</v>
      </c>
      <c r="G552" s="3" t="str">
        <f>VLOOKUP(Registros[[#This Row],[Cliente]],Cliente_Region[],2,FALSE)</f>
        <v>Mexico</v>
      </c>
      <c r="H552" s="3" t="str">
        <f>VLOOKUP(Registros[[#This Row],[Producto]],Producto[],2,FALSE)</f>
        <v>DAWNE</v>
      </c>
    </row>
    <row r="553" spans="1:8" ht="20.100000000000001" customHeight="1" x14ac:dyDescent="0.25">
      <c r="A553" s="3" t="s">
        <v>74</v>
      </c>
      <c r="B553" s="3" t="s">
        <v>193</v>
      </c>
      <c r="C553" s="3">
        <v>2022</v>
      </c>
      <c r="D553" s="4">
        <v>1</v>
      </c>
      <c r="E553" s="5">
        <v>4435.5</v>
      </c>
      <c r="F553" s="5">
        <v>1124.05</v>
      </c>
      <c r="G553" s="3" t="str">
        <f>VLOOKUP(Registros[[#This Row],[Cliente]],Cliente_Region[],2,FALSE)</f>
        <v>Mexico</v>
      </c>
      <c r="H553" s="3" t="str">
        <f>VLOOKUP(Registros[[#This Row],[Producto]],Producto[],2,FALSE)</f>
        <v>CHOTUS</v>
      </c>
    </row>
    <row r="554" spans="1:8" ht="20.100000000000001" customHeight="1" x14ac:dyDescent="0.25">
      <c r="A554" s="3" t="s">
        <v>75</v>
      </c>
      <c r="B554" s="3" t="s">
        <v>193</v>
      </c>
      <c r="C554" s="3">
        <v>2022</v>
      </c>
      <c r="D554" s="4">
        <v>2</v>
      </c>
      <c r="E554" s="5">
        <v>3150</v>
      </c>
      <c r="F554" s="5">
        <v>1183.46</v>
      </c>
      <c r="G554" s="3" t="str">
        <f>VLOOKUP(Registros[[#This Row],[Cliente]],Cliente_Region[],2,FALSE)</f>
        <v>Mexico</v>
      </c>
      <c r="H554" s="3" t="str">
        <f>VLOOKUP(Registros[[#This Row],[Producto]],Producto[],2,FALSE)</f>
        <v>DONANY</v>
      </c>
    </row>
    <row r="555" spans="1:8" ht="20.100000000000001" customHeight="1" x14ac:dyDescent="0.25">
      <c r="A555" s="3" t="s">
        <v>75</v>
      </c>
      <c r="B555" s="3" t="s">
        <v>193</v>
      </c>
      <c r="C555" s="3">
        <v>2022</v>
      </c>
      <c r="D555" s="4">
        <v>3</v>
      </c>
      <c r="E555" s="5">
        <v>4374</v>
      </c>
      <c r="F555" s="5">
        <v>1555.2</v>
      </c>
      <c r="G555" s="3" t="str">
        <f>VLOOKUP(Registros[[#This Row],[Cliente]],Cliente_Region[],2,FALSE)</f>
        <v>Mexico</v>
      </c>
      <c r="H555" s="3" t="str">
        <f>VLOOKUP(Registros[[#This Row],[Producto]],Producto[],2,FALSE)</f>
        <v>DONANY</v>
      </c>
    </row>
    <row r="556" spans="1:8" ht="20.100000000000001" customHeight="1" x14ac:dyDescent="0.25">
      <c r="A556" s="3" t="s">
        <v>75</v>
      </c>
      <c r="B556" s="3" t="s">
        <v>193</v>
      </c>
      <c r="C556" s="3">
        <v>2022</v>
      </c>
      <c r="D556" s="4">
        <v>4</v>
      </c>
      <c r="E556" s="5">
        <v>3645</v>
      </c>
      <c r="F556" s="5">
        <v>1482.41</v>
      </c>
      <c r="G556" s="3" t="str">
        <f>VLOOKUP(Registros[[#This Row],[Cliente]],Cliente_Region[],2,FALSE)</f>
        <v>Mexico</v>
      </c>
      <c r="H556" s="3" t="str">
        <f>VLOOKUP(Registros[[#This Row],[Producto]],Producto[],2,FALSE)</f>
        <v>DONANY</v>
      </c>
    </row>
    <row r="557" spans="1:8" ht="20.100000000000001" customHeight="1" x14ac:dyDescent="0.25">
      <c r="A557" s="3" t="s">
        <v>75</v>
      </c>
      <c r="B557" s="3" t="s">
        <v>193</v>
      </c>
      <c r="C557" s="3">
        <v>2022</v>
      </c>
      <c r="D557" s="4">
        <v>5</v>
      </c>
      <c r="E557" s="5">
        <v>5400</v>
      </c>
      <c r="F557" s="5">
        <v>2208.5700000000002</v>
      </c>
      <c r="G557" s="3" t="str">
        <f>VLOOKUP(Registros[[#This Row],[Cliente]],Cliente_Region[],2,FALSE)</f>
        <v>Mexico</v>
      </c>
      <c r="H557" s="3" t="str">
        <f>VLOOKUP(Registros[[#This Row],[Producto]],Producto[],2,FALSE)</f>
        <v>DONANY</v>
      </c>
    </row>
    <row r="558" spans="1:8" ht="20.100000000000001" customHeight="1" x14ac:dyDescent="0.25">
      <c r="A558" s="3" t="s">
        <v>75</v>
      </c>
      <c r="B558" s="3" t="s">
        <v>193</v>
      </c>
      <c r="C558" s="3">
        <v>2022</v>
      </c>
      <c r="D558" s="4">
        <v>6</v>
      </c>
      <c r="E558" s="5">
        <v>5085</v>
      </c>
      <c r="F558" s="5">
        <v>1980.5</v>
      </c>
      <c r="G558" s="3" t="str">
        <f>VLOOKUP(Registros[[#This Row],[Cliente]],Cliente_Region[],2,FALSE)</f>
        <v>Mexico</v>
      </c>
      <c r="H558" s="3" t="str">
        <f>VLOOKUP(Registros[[#This Row],[Producto]],Producto[],2,FALSE)</f>
        <v>DONANY</v>
      </c>
    </row>
    <row r="559" spans="1:8" ht="20.100000000000001" customHeight="1" x14ac:dyDescent="0.25">
      <c r="A559" s="3" t="s">
        <v>198</v>
      </c>
      <c r="B559" s="3" t="s">
        <v>193</v>
      </c>
      <c r="C559" s="3">
        <v>2022</v>
      </c>
      <c r="D559" s="4">
        <v>1</v>
      </c>
      <c r="E559" s="5">
        <v>450</v>
      </c>
      <c r="F559" s="5">
        <v>160</v>
      </c>
      <c r="G559" s="3" t="str">
        <f>VLOOKUP(Registros[[#This Row],[Cliente]],Cliente_Region[],2,FALSE)</f>
        <v>Mexico</v>
      </c>
      <c r="H559" s="3" t="str">
        <f>VLOOKUP(Registros[[#This Row],[Producto]],Producto[],2,FALSE)</f>
        <v>MOC</v>
      </c>
    </row>
    <row r="560" spans="1:8" ht="20.100000000000001" customHeight="1" x14ac:dyDescent="0.25">
      <c r="A560" s="3" t="s">
        <v>82</v>
      </c>
      <c r="B560" s="3" t="s">
        <v>193</v>
      </c>
      <c r="C560" s="3">
        <v>2022</v>
      </c>
      <c r="D560" s="4">
        <v>5</v>
      </c>
      <c r="E560" s="5">
        <v>2632.5</v>
      </c>
      <c r="F560" s="5">
        <v>1278.28</v>
      </c>
      <c r="G560" s="3" t="str">
        <f>VLOOKUP(Registros[[#This Row],[Cliente]],Cliente_Region[],2,FALSE)</f>
        <v>Mexico</v>
      </c>
      <c r="H560" s="3" t="str">
        <f>VLOOKUP(Registros[[#This Row],[Producto]],Producto[],2,FALSE)</f>
        <v>LAX</v>
      </c>
    </row>
    <row r="561" spans="1:8" ht="20.100000000000001" customHeight="1" x14ac:dyDescent="0.25">
      <c r="A561" s="3" t="s">
        <v>186</v>
      </c>
      <c r="B561" s="3" t="s">
        <v>193</v>
      </c>
      <c r="C561" s="3">
        <v>2022</v>
      </c>
      <c r="D561" s="4">
        <v>4</v>
      </c>
      <c r="E561" s="5">
        <v>17</v>
      </c>
      <c r="F561" s="5">
        <v>9.25</v>
      </c>
      <c r="G561" s="3" t="str">
        <f>VLOOKUP(Registros[[#This Row],[Cliente]],Cliente_Region[],2,FALSE)</f>
        <v>Mexico</v>
      </c>
      <c r="H561" s="3" t="str">
        <f>VLOOKUP(Registros[[#This Row],[Producto]],Producto[],2,FALSE)</f>
        <v>SALF</v>
      </c>
    </row>
    <row r="562" spans="1:8" ht="20.100000000000001" customHeight="1" x14ac:dyDescent="0.25">
      <c r="A562" s="3" t="s">
        <v>155</v>
      </c>
      <c r="B562" s="3" t="s">
        <v>199</v>
      </c>
      <c r="C562" s="3">
        <v>2022</v>
      </c>
      <c r="D562" s="4">
        <v>3</v>
      </c>
      <c r="E562" s="5">
        <v>29.5</v>
      </c>
      <c r="F562" s="5">
        <v>19.32</v>
      </c>
      <c r="G562" s="3" t="str">
        <f>VLOOKUP(Registros[[#This Row],[Cliente]],Cliente_Region[],2,FALSE)</f>
        <v>Peru</v>
      </c>
      <c r="H562" s="3" t="str">
        <f>VLOOKUP(Registros[[#This Row],[Producto]],Producto[],2,FALSE)</f>
        <v>SALF</v>
      </c>
    </row>
    <row r="563" spans="1:8" ht="20.100000000000001" customHeight="1" x14ac:dyDescent="0.25">
      <c r="A563" s="3" t="s">
        <v>156</v>
      </c>
      <c r="B563" s="3" t="s">
        <v>199</v>
      </c>
      <c r="C563" s="3">
        <v>2022</v>
      </c>
      <c r="D563" s="4">
        <v>4</v>
      </c>
      <c r="E563" s="5">
        <v>29.5</v>
      </c>
      <c r="F563" s="5">
        <v>19.32</v>
      </c>
      <c r="G563" s="3" t="str">
        <f>VLOOKUP(Registros[[#This Row],[Cliente]],Cliente_Region[],2,FALSE)</f>
        <v>Peru</v>
      </c>
      <c r="H563" s="3" t="str">
        <f>VLOOKUP(Registros[[#This Row],[Producto]],Producto[],2,FALSE)</f>
        <v>QUOKAR</v>
      </c>
    </row>
    <row r="564" spans="1:8" ht="20.100000000000001" customHeight="1" x14ac:dyDescent="0.25">
      <c r="A564" s="3" t="s">
        <v>156</v>
      </c>
      <c r="B564" s="3" t="s">
        <v>199</v>
      </c>
      <c r="C564" s="3">
        <v>2022</v>
      </c>
      <c r="D564" s="4">
        <v>6</v>
      </c>
      <c r="E564" s="5">
        <v>29.5</v>
      </c>
      <c r="F564" s="5">
        <v>19.32</v>
      </c>
      <c r="G564" s="3" t="str">
        <f>VLOOKUP(Registros[[#This Row],[Cliente]],Cliente_Region[],2,FALSE)</f>
        <v>Peru</v>
      </c>
      <c r="H564" s="3" t="str">
        <f>VLOOKUP(Registros[[#This Row],[Producto]],Producto[],2,FALSE)</f>
        <v>QUOKAR</v>
      </c>
    </row>
    <row r="565" spans="1:8" ht="20.100000000000001" customHeight="1" x14ac:dyDescent="0.25">
      <c r="A565" s="3" t="s">
        <v>24</v>
      </c>
      <c r="B565" s="3" t="s">
        <v>199</v>
      </c>
      <c r="C565" s="3">
        <v>2022</v>
      </c>
      <c r="D565" s="4">
        <v>1</v>
      </c>
      <c r="E565" s="5">
        <v>936</v>
      </c>
      <c r="F565" s="5">
        <v>580.53</v>
      </c>
      <c r="G565" s="3" t="str">
        <f>VLOOKUP(Registros[[#This Row],[Cliente]],Cliente_Region[],2,FALSE)</f>
        <v>Peru</v>
      </c>
      <c r="H565" s="3" t="str">
        <f>VLOOKUP(Registros[[#This Row],[Producto]],Producto[],2,FALSE)</f>
        <v>GAMBO</v>
      </c>
    </row>
    <row r="566" spans="1:8" ht="20.100000000000001" customHeight="1" x14ac:dyDescent="0.25">
      <c r="A566" s="3" t="s">
        <v>25</v>
      </c>
      <c r="B566" s="3" t="s">
        <v>199</v>
      </c>
      <c r="C566" s="3">
        <v>2022</v>
      </c>
      <c r="D566" s="4">
        <v>2</v>
      </c>
      <c r="E566" s="5">
        <v>648</v>
      </c>
      <c r="F566" s="5">
        <v>401.91</v>
      </c>
      <c r="G566" s="3" t="str">
        <f>VLOOKUP(Registros[[#This Row],[Cliente]],Cliente_Region[],2,FALSE)</f>
        <v>Peru</v>
      </c>
      <c r="H566" s="3" t="str">
        <f>VLOOKUP(Registros[[#This Row],[Producto]],Producto[],2,FALSE)</f>
        <v>MOC</v>
      </c>
    </row>
    <row r="567" spans="1:8" ht="20.100000000000001" customHeight="1" x14ac:dyDescent="0.25">
      <c r="A567" s="3" t="s">
        <v>25</v>
      </c>
      <c r="B567" s="3" t="s">
        <v>199</v>
      </c>
      <c r="C567" s="3">
        <v>2022</v>
      </c>
      <c r="D567" s="4">
        <v>3</v>
      </c>
      <c r="E567" s="5">
        <v>1104</v>
      </c>
      <c r="F567" s="5">
        <v>684.73</v>
      </c>
      <c r="G567" s="3" t="str">
        <f>VLOOKUP(Registros[[#This Row],[Cliente]],Cliente_Region[],2,FALSE)</f>
        <v>Peru</v>
      </c>
      <c r="H567" s="3" t="str">
        <f>VLOOKUP(Registros[[#This Row],[Producto]],Producto[],2,FALSE)</f>
        <v>MOC</v>
      </c>
    </row>
    <row r="568" spans="1:8" ht="20.100000000000001" customHeight="1" x14ac:dyDescent="0.25">
      <c r="A568" s="3" t="s">
        <v>25</v>
      </c>
      <c r="B568" s="3" t="s">
        <v>199</v>
      </c>
      <c r="C568" s="3">
        <v>2022</v>
      </c>
      <c r="D568" s="4">
        <v>4</v>
      </c>
      <c r="E568" s="5">
        <v>744</v>
      </c>
      <c r="F568" s="5">
        <v>461.45</v>
      </c>
      <c r="G568" s="3" t="str">
        <f>VLOOKUP(Registros[[#This Row],[Cliente]],Cliente_Region[],2,FALSE)</f>
        <v>Peru</v>
      </c>
      <c r="H568" s="3" t="str">
        <f>VLOOKUP(Registros[[#This Row],[Producto]],Producto[],2,FALSE)</f>
        <v>MOC</v>
      </c>
    </row>
    <row r="569" spans="1:8" ht="20.100000000000001" customHeight="1" x14ac:dyDescent="0.25">
      <c r="A569" s="3" t="s">
        <v>25</v>
      </c>
      <c r="B569" s="3" t="s">
        <v>199</v>
      </c>
      <c r="C569" s="3">
        <v>2022</v>
      </c>
      <c r="D569" s="4">
        <v>5</v>
      </c>
      <c r="E569" s="5">
        <v>1224</v>
      </c>
      <c r="F569" s="5">
        <v>759.15</v>
      </c>
      <c r="G569" s="3" t="str">
        <f>VLOOKUP(Registros[[#This Row],[Cliente]],Cliente_Region[],2,FALSE)</f>
        <v>Peru</v>
      </c>
      <c r="H569" s="3" t="str">
        <f>VLOOKUP(Registros[[#This Row],[Producto]],Producto[],2,FALSE)</f>
        <v>MOC</v>
      </c>
    </row>
    <row r="570" spans="1:8" ht="20.100000000000001" customHeight="1" x14ac:dyDescent="0.25">
      <c r="A570" s="3" t="s">
        <v>25</v>
      </c>
      <c r="B570" s="3" t="s">
        <v>199</v>
      </c>
      <c r="C570" s="3">
        <v>2022</v>
      </c>
      <c r="D570" s="4">
        <v>6</v>
      </c>
      <c r="E570" s="5">
        <v>1176</v>
      </c>
      <c r="F570" s="5">
        <v>729.4</v>
      </c>
      <c r="G570" s="3" t="str">
        <f>VLOOKUP(Registros[[#This Row],[Cliente]],Cliente_Region[],2,FALSE)</f>
        <v>Peru</v>
      </c>
      <c r="H570" s="3" t="str">
        <f>VLOOKUP(Registros[[#This Row],[Producto]],Producto[],2,FALSE)</f>
        <v>MOC</v>
      </c>
    </row>
    <row r="571" spans="1:8" ht="20.100000000000001" customHeight="1" x14ac:dyDescent="0.25">
      <c r="A571" s="3" t="s">
        <v>30</v>
      </c>
      <c r="B571" s="3" t="s">
        <v>199</v>
      </c>
      <c r="C571" s="3">
        <v>2022</v>
      </c>
      <c r="D571" s="4">
        <v>1</v>
      </c>
      <c r="E571" s="5">
        <v>16.75</v>
      </c>
      <c r="F571" s="5">
        <v>12.74</v>
      </c>
      <c r="G571" s="3" t="str">
        <f>VLOOKUP(Registros[[#This Row],[Cliente]],Cliente_Region[],2,FALSE)</f>
        <v>Peru</v>
      </c>
      <c r="H571" s="3" t="str">
        <f>VLOOKUP(Registros[[#This Row],[Producto]],Producto[],2,FALSE)</f>
        <v>CHOTUS</v>
      </c>
    </row>
    <row r="572" spans="1:8" ht="20.100000000000001" customHeight="1" x14ac:dyDescent="0.25">
      <c r="A572" s="3" t="s">
        <v>31</v>
      </c>
      <c r="B572" s="3" t="s">
        <v>199</v>
      </c>
      <c r="C572" s="3">
        <v>2022</v>
      </c>
      <c r="D572" s="4">
        <v>3</v>
      </c>
      <c r="E572" s="5">
        <v>16.75</v>
      </c>
      <c r="F572" s="5">
        <v>12.74</v>
      </c>
      <c r="G572" s="3" t="str">
        <f>VLOOKUP(Registros[[#This Row],[Cliente]],Cliente_Region[],2,FALSE)</f>
        <v>Peru</v>
      </c>
      <c r="H572" s="3" t="str">
        <f>VLOOKUP(Registros[[#This Row],[Producto]],Producto[],2,FALSE)</f>
        <v>CHOTUS</v>
      </c>
    </row>
    <row r="573" spans="1:8" ht="20.100000000000001" customHeight="1" x14ac:dyDescent="0.25">
      <c r="A573" s="3" t="s">
        <v>157</v>
      </c>
      <c r="B573" s="3" t="s">
        <v>199</v>
      </c>
      <c r="C573" s="3">
        <v>2022</v>
      </c>
      <c r="D573" s="4">
        <v>1</v>
      </c>
      <c r="E573" s="5">
        <v>1591</v>
      </c>
      <c r="F573" s="5">
        <v>666.25</v>
      </c>
      <c r="G573" s="3" t="str">
        <f>VLOOKUP(Registros[[#This Row],[Cliente]],Cliente_Region[],2,FALSE)</f>
        <v>Peru</v>
      </c>
      <c r="H573" s="3" t="str">
        <f>VLOOKUP(Registros[[#This Row],[Producto]],Producto[],2,FALSE)</f>
        <v>GAMBO</v>
      </c>
    </row>
    <row r="574" spans="1:8" ht="20.100000000000001" customHeight="1" x14ac:dyDescent="0.25">
      <c r="A574" s="3" t="s">
        <v>158</v>
      </c>
      <c r="B574" s="3" t="s">
        <v>199</v>
      </c>
      <c r="C574" s="3">
        <v>2022</v>
      </c>
      <c r="D574" s="4">
        <v>2</v>
      </c>
      <c r="E574" s="5">
        <v>1376</v>
      </c>
      <c r="F574" s="5">
        <v>578.75</v>
      </c>
      <c r="G574" s="3" t="str">
        <f>VLOOKUP(Registros[[#This Row],[Cliente]],Cliente_Region[],2,FALSE)</f>
        <v>Peru</v>
      </c>
      <c r="H574" s="3" t="str">
        <f>VLOOKUP(Registros[[#This Row],[Producto]],Producto[],2,FALSE)</f>
        <v>DONANY</v>
      </c>
    </row>
    <row r="575" spans="1:8" ht="20.100000000000001" customHeight="1" x14ac:dyDescent="0.25">
      <c r="A575" s="3" t="s">
        <v>158</v>
      </c>
      <c r="B575" s="3" t="s">
        <v>199</v>
      </c>
      <c r="C575" s="3">
        <v>2022</v>
      </c>
      <c r="D575" s="4">
        <v>3</v>
      </c>
      <c r="E575" s="5">
        <v>1675.25</v>
      </c>
      <c r="F575" s="5">
        <v>676.4</v>
      </c>
      <c r="G575" s="3" t="str">
        <f>VLOOKUP(Registros[[#This Row],[Cliente]],Cliente_Region[],2,FALSE)</f>
        <v>Peru</v>
      </c>
      <c r="H575" s="3" t="str">
        <f>VLOOKUP(Registros[[#This Row],[Producto]],Producto[],2,FALSE)</f>
        <v>DONANY</v>
      </c>
    </row>
    <row r="576" spans="1:8" ht="20.100000000000001" customHeight="1" x14ac:dyDescent="0.25">
      <c r="A576" s="3" t="s">
        <v>158</v>
      </c>
      <c r="B576" s="3" t="s">
        <v>199</v>
      </c>
      <c r="C576" s="3">
        <v>2022</v>
      </c>
      <c r="D576" s="4">
        <v>4</v>
      </c>
      <c r="E576" s="5">
        <v>1458.45</v>
      </c>
      <c r="F576" s="5">
        <v>636.6</v>
      </c>
      <c r="G576" s="3" t="str">
        <f>VLOOKUP(Registros[[#This Row],[Cliente]],Cliente_Region[],2,FALSE)</f>
        <v>Peru</v>
      </c>
      <c r="H576" s="3" t="str">
        <f>VLOOKUP(Registros[[#This Row],[Producto]],Producto[],2,FALSE)</f>
        <v>DONANY</v>
      </c>
    </row>
    <row r="577" spans="1:8" ht="20.100000000000001" customHeight="1" x14ac:dyDescent="0.25">
      <c r="A577" s="3" t="s">
        <v>158</v>
      </c>
      <c r="B577" s="3" t="s">
        <v>199</v>
      </c>
      <c r="C577" s="3">
        <v>2022</v>
      </c>
      <c r="D577" s="4">
        <v>5</v>
      </c>
      <c r="E577" s="5">
        <v>2083.5</v>
      </c>
      <c r="F577" s="5">
        <v>870.3</v>
      </c>
      <c r="G577" s="3" t="str">
        <f>VLOOKUP(Registros[[#This Row],[Cliente]],Cliente_Region[],2,FALSE)</f>
        <v>Peru</v>
      </c>
      <c r="H577" s="3" t="str">
        <f>VLOOKUP(Registros[[#This Row],[Producto]],Producto[],2,FALSE)</f>
        <v>DONANY</v>
      </c>
    </row>
    <row r="578" spans="1:8" ht="20.100000000000001" customHeight="1" x14ac:dyDescent="0.25">
      <c r="A578" s="3" t="s">
        <v>158</v>
      </c>
      <c r="B578" s="3" t="s">
        <v>199</v>
      </c>
      <c r="C578" s="3">
        <v>2022</v>
      </c>
      <c r="D578" s="4">
        <v>6</v>
      </c>
      <c r="E578" s="5">
        <v>2523.35</v>
      </c>
      <c r="F578" s="5">
        <v>1120.25</v>
      </c>
      <c r="G578" s="3" t="str">
        <f>VLOOKUP(Registros[[#This Row],[Cliente]],Cliente_Region[],2,FALSE)</f>
        <v>Peru</v>
      </c>
      <c r="H578" s="3" t="str">
        <f>VLOOKUP(Registros[[#This Row],[Producto]],Producto[],2,FALSE)</f>
        <v>DONANY</v>
      </c>
    </row>
    <row r="579" spans="1:8" ht="20.100000000000001" customHeight="1" x14ac:dyDescent="0.25">
      <c r="A579" s="3" t="s">
        <v>48</v>
      </c>
      <c r="B579" s="3" t="s">
        <v>199</v>
      </c>
      <c r="C579" s="3">
        <v>2022</v>
      </c>
      <c r="D579" s="4">
        <v>1</v>
      </c>
      <c r="E579" s="5">
        <v>1473.54</v>
      </c>
      <c r="F579" s="5">
        <v>938.49</v>
      </c>
      <c r="G579" s="3" t="str">
        <f>VLOOKUP(Registros[[#This Row],[Cliente]],Cliente_Region[],2,FALSE)</f>
        <v>Peru</v>
      </c>
      <c r="H579" s="3" t="str">
        <f>VLOOKUP(Registros[[#This Row],[Producto]],Producto[],2,FALSE)</f>
        <v>GAMBO</v>
      </c>
    </row>
    <row r="580" spans="1:8" ht="20.100000000000001" customHeight="1" x14ac:dyDescent="0.25">
      <c r="A580" s="3" t="s">
        <v>49</v>
      </c>
      <c r="B580" s="3" t="s">
        <v>199</v>
      </c>
      <c r="C580" s="3">
        <v>2022</v>
      </c>
      <c r="D580" s="4">
        <v>2</v>
      </c>
      <c r="E580" s="5">
        <v>1473.54</v>
      </c>
      <c r="F580" s="5">
        <v>938.49</v>
      </c>
      <c r="G580" s="3" t="str">
        <f>VLOOKUP(Registros[[#This Row],[Cliente]],Cliente_Region[],2,FALSE)</f>
        <v>Peru</v>
      </c>
      <c r="H580" s="3" t="str">
        <f>VLOOKUP(Registros[[#This Row],[Producto]],Producto[],2,FALSE)</f>
        <v>CHOTUS</v>
      </c>
    </row>
    <row r="581" spans="1:8" ht="20.100000000000001" customHeight="1" x14ac:dyDescent="0.25">
      <c r="A581" s="3" t="s">
        <v>49</v>
      </c>
      <c r="B581" s="3" t="s">
        <v>199</v>
      </c>
      <c r="C581" s="3">
        <v>2022</v>
      </c>
      <c r="D581" s="4">
        <v>3</v>
      </c>
      <c r="E581" s="5">
        <v>754.74</v>
      </c>
      <c r="F581" s="5">
        <v>480.69</v>
      </c>
      <c r="G581" s="3" t="str">
        <f>VLOOKUP(Registros[[#This Row],[Cliente]],Cliente_Region[],2,FALSE)</f>
        <v>Peru</v>
      </c>
      <c r="H581" s="3" t="str">
        <f>VLOOKUP(Registros[[#This Row],[Producto]],Producto[],2,FALSE)</f>
        <v>CHOTUS</v>
      </c>
    </row>
    <row r="582" spans="1:8" ht="20.100000000000001" customHeight="1" x14ac:dyDescent="0.25">
      <c r="A582" s="3" t="s">
        <v>49</v>
      </c>
      <c r="B582" s="3" t="s">
        <v>199</v>
      </c>
      <c r="C582" s="3">
        <v>2022</v>
      </c>
      <c r="D582" s="4">
        <v>4</v>
      </c>
      <c r="E582" s="5">
        <v>1114.1400000000001</v>
      </c>
      <c r="F582" s="5">
        <v>709.59</v>
      </c>
      <c r="G582" s="3" t="str">
        <f>VLOOKUP(Registros[[#This Row],[Cliente]],Cliente_Region[],2,FALSE)</f>
        <v>Peru</v>
      </c>
      <c r="H582" s="3" t="str">
        <f>VLOOKUP(Registros[[#This Row],[Producto]],Producto[],2,FALSE)</f>
        <v>CHOTUS</v>
      </c>
    </row>
    <row r="583" spans="1:8" ht="20.100000000000001" customHeight="1" x14ac:dyDescent="0.25">
      <c r="A583" s="3" t="s">
        <v>49</v>
      </c>
      <c r="B583" s="3" t="s">
        <v>199</v>
      </c>
      <c r="C583" s="3">
        <v>2022</v>
      </c>
      <c r="D583" s="4">
        <v>5</v>
      </c>
      <c r="E583" s="5">
        <v>1221.96</v>
      </c>
      <c r="F583" s="5">
        <v>778.26</v>
      </c>
      <c r="G583" s="3" t="str">
        <f>VLOOKUP(Registros[[#This Row],[Cliente]],Cliente_Region[],2,FALSE)</f>
        <v>Peru</v>
      </c>
      <c r="H583" s="3" t="str">
        <f>VLOOKUP(Registros[[#This Row],[Producto]],Producto[],2,FALSE)</f>
        <v>CHOTUS</v>
      </c>
    </row>
    <row r="584" spans="1:8" ht="20.100000000000001" customHeight="1" x14ac:dyDescent="0.25">
      <c r="A584" s="3" t="s">
        <v>49</v>
      </c>
      <c r="B584" s="3" t="s">
        <v>199</v>
      </c>
      <c r="C584" s="3">
        <v>2022</v>
      </c>
      <c r="D584" s="4">
        <v>6</v>
      </c>
      <c r="E584" s="5">
        <v>1114.1400000000001</v>
      </c>
      <c r="F584" s="5">
        <v>709.59</v>
      </c>
      <c r="G584" s="3" t="str">
        <f>VLOOKUP(Registros[[#This Row],[Cliente]],Cliente_Region[],2,FALSE)</f>
        <v>Peru</v>
      </c>
      <c r="H584" s="3" t="str">
        <f>VLOOKUP(Registros[[#This Row],[Producto]],Producto[],2,FALSE)</f>
        <v>CHOTUS</v>
      </c>
    </row>
    <row r="585" spans="1:8" ht="20.100000000000001" customHeight="1" x14ac:dyDescent="0.25">
      <c r="A585" s="3" t="s">
        <v>168</v>
      </c>
      <c r="B585" s="3" t="s">
        <v>199</v>
      </c>
      <c r="C585" s="3">
        <v>2022</v>
      </c>
      <c r="D585" s="4">
        <v>1</v>
      </c>
      <c r="E585" s="5">
        <v>10</v>
      </c>
      <c r="F585" s="5">
        <v>5.76</v>
      </c>
      <c r="G585" s="3" t="str">
        <f>VLOOKUP(Registros[[#This Row],[Cliente]],Cliente_Region[],2,FALSE)</f>
        <v>Peru</v>
      </c>
      <c r="H585" s="3" t="str">
        <f>VLOOKUP(Registros[[#This Row],[Producto]],Producto[],2,FALSE)</f>
        <v>DAWNE</v>
      </c>
    </row>
    <row r="586" spans="1:8" ht="20.100000000000001" customHeight="1" x14ac:dyDescent="0.25">
      <c r="A586" s="3" t="s">
        <v>3</v>
      </c>
      <c r="B586" s="3" t="s">
        <v>199</v>
      </c>
      <c r="C586" s="3">
        <v>2022</v>
      </c>
      <c r="D586" s="4">
        <v>5</v>
      </c>
      <c r="E586" s="5">
        <v>10</v>
      </c>
      <c r="F586" s="5">
        <v>5.76</v>
      </c>
      <c r="G586" s="3" t="str">
        <f>VLOOKUP(Registros[[#This Row],[Cliente]],Cliente_Region[],2,FALSE)</f>
        <v>Peru</v>
      </c>
      <c r="H586" s="3" t="str">
        <f>VLOOKUP(Registros[[#This Row],[Producto]],Producto[],2,FALSE)</f>
        <v>DAWNE</v>
      </c>
    </row>
    <row r="587" spans="1:8" ht="20.100000000000001" customHeight="1" x14ac:dyDescent="0.25">
      <c r="A587" s="3" t="s">
        <v>3</v>
      </c>
      <c r="B587" s="3" t="s">
        <v>199</v>
      </c>
      <c r="C587" s="3">
        <v>2022</v>
      </c>
      <c r="D587" s="4">
        <v>6</v>
      </c>
      <c r="E587" s="5">
        <v>60</v>
      </c>
      <c r="F587" s="5">
        <v>34.590000000000003</v>
      </c>
      <c r="G587" s="3" t="str">
        <f>VLOOKUP(Registros[[#This Row],[Cliente]],Cliente_Region[],2,FALSE)</f>
        <v>Peru</v>
      </c>
      <c r="H587" s="3" t="str">
        <f>VLOOKUP(Registros[[#This Row],[Producto]],Producto[],2,FALSE)</f>
        <v>DAWNE</v>
      </c>
    </row>
    <row r="588" spans="1:8" ht="20.100000000000001" customHeight="1" x14ac:dyDescent="0.25">
      <c r="A588" s="3" t="s">
        <v>140</v>
      </c>
      <c r="B588" s="3" t="s">
        <v>199</v>
      </c>
      <c r="C588" s="3">
        <v>2022</v>
      </c>
      <c r="D588" s="4">
        <v>3</v>
      </c>
      <c r="E588" s="5">
        <v>182.5</v>
      </c>
      <c r="F588" s="5">
        <v>103.57</v>
      </c>
      <c r="G588" s="3" t="str">
        <f>VLOOKUP(Registros[[#This Row],[Cliente]],Cliente_Region[],2,FALSE)</f>
        <v>Peru</v>
      </c>
      <c r="H588" s="3" t="str">
        <f>VLOOKUP(Registros[[#This Row],[Producto]],Producto[],2,FALSE)</f>
        <v>DAWNE</v>
      </c>
    </row>
    <row r="589" spans="1:8" ht="20.100000000000001" customHeight="1" x14ac:dyDescent="0.25">
      <c r="A589" s="3" t="s">
        <v>26</v>
      </c>
      <c r="B589" s="3" t="s">
        <v>199</v>
      </c>
      <c r="C589" s="3">
        <v>2022</v>
      </c>
      <c r="D589" s="4">
        <v>1</v>
      </c>
      <c r="E589" s="5">
        <v>211.5</v>
      </c>
      <c r="F589" s="5">
        <v>99.35</v>
      </c>
      <c r="G589" s="3" t="str">
        <f>VLOOKUP(Registros[[#This Row],[Cliente]],Cliente_Region[],2,FALSE)</f>
        <v>Peru</v>
      </c>
      <c r="H589" s="3" t="str">
        <f>VLOOKUP(Registros[[#This Row],[Producto]],Producto[],2,FALSE)</f>
        <v>CHOTUS</v>
      </c>
    </row>
    <row r="590" spans="1:8" ht="20.100000000000001" customHeight="1" x14ac:dyDescent="0.25">
      <c r="A590" s="3" t="s">
        <v>187</v>
      </c>
      <c r="B590" s="3" t="s">
        <v>199</v>
      </c>
      <c r="C590" s="3">
        <v>2022</v>
      </c>
      <c r="D590" s="4">
        <v>2</v>
      </c>
      <c r="E590" s="5">
        <v>141</v>
      </c>
      <c r="F590" s="5">
        <v>43.16</v>
      </c>
      <c r="G590" s="3" t="str">
        <f>VLOOKUP(Registros[[#This Row],[Cliente]],Cliente_Region[],2,FALSE)</f>
        <v>Peru</v>
      </c>
      <c r="H590" s="3" t="str">
        <f>VLOOKUP(Registros[[#This Row],[Producto]],Producto[],2,FALSE)</f>
        <v>SALF</v>
      </c>
    </row>
    <row r="591" spans="1:8" ht="20.100000000000001" customHeight="1" x14ac:dyDescent="0.25">
      <c r="A591" s="3" t="s">
        <v>187</v>
      </c>
      <c r="B591" s="3" t="s">
        <v>199</v>
      </c>
      <c r="C591" s="3">
        <v>2022</v>
      </c>
      <c r="D591" s="4">
        <v>3</v>
      </c>
      <c r="E591" s="5">
        <v>141</v>
      </c>
      <c r="F591" s="5">
        <v>66.239999999999995</v>
      </c>
      <c r="G591" s="3" t="str">
        <f>VLOOKUP(Registros[[#This Row],[Cliente]],Cliente_Region[],2,FALSE)</f>
        <v>Peru</v>
      </c>
      <c r="H591" s="3" t="str">
        <f>VLOOKUP(Registros[[#This Row],[Producto]],Producto[],2,FALSE)</f>
        <v>SALF</v>
      </c>
    </row>
    <row r="592" spans="1:8" ht="20.100000000000001" customHeight="1" x14ac:dyDescent="0.25">
      <c r="A592" s="3" t="s">
        <v>187</v>
      </c>
      <c r="B592" s="3" t="s">
        <v>199</v>
      </c>
      <c r="C592" s="3">
        <v>2022</v>
      </c>
      <c r="D592" s="4">
        <v>4</v>
      </c>
      <c r="E592" s="5">
        <v>405</v>
      </c>
      <c r="F592" s="5">
        <v>236.79</v>
      </c>
      <c r="G592" s="3" t="str">
        <f>VLOOKUP(Registros[[#This Row],[Cliente]],Cliente_Region[],2,FALSE)</f>
        <v>Peru</v>
      </c>
      <c r="H592" s="3" t="str">
        <f>VLOOKUP(Registros[[#This Row],[Producto]],Producto[],2,FALSE)</f>
        <v>SALF</v>
      </c>
    </row>
    <row r="593" spans="1:8" ht="20.100000000000001" customHeight="1" x14ac:dyDescent="0.25">
      <c r="A593" s="3" t="s">
        <v>187</v>
      </c>
      <c r="B593" s="3" t="s">
        <v>199</v>
      </c>
      <c r="C593" s="3">
        <v>2022</v>
      </c>
      <c r="D593" s="4">
        <v>5</v>
      </c>
      <c r="E593" s="5">
        <v>675</v>
      </c>
      <c r="F593" s="5">
        <v>394.65</v>
      </c>
      <c r="G593" s="3" t="str">
        <f>VLOOKUP(Registros[[#This Row],[Cliente]],Cliente_Region[],2,FALSE)</f>
        <v>Peru</v>
      </c>
      <c r="H593" s="3" t="str">
        <f>VLOOKUP(Registros[[#This Row],[Producto]],Producto[],2,FALSE)</f>
        <v>SALF</v>
      </c>
    </row>
    <row r="594" spans="1:8" ht="20.100000000000001" customHeight="1" x14ac:dyDescent="0.25">
      <c r="A594" s="3" t="s">
        <v>187</v>
      </c>
      <c r="B594" s="3" t="s">
        <v>199</v>
      </c>
      <c r="C594" s="3">
        <v>2022</v>
      </c>
      <c r="D594" s="4">
        <v>6</v>
      </c>
      <c r="E594" s="5">
        <v>180</v>
      </c>
      <c r="F594" s="5">
        <v>105.24</v>
      </c>
      <c r="G594" s="3" t="str">
        <f>VLOOKUP(Registros[[#This Row],[Cliente]],Cliente_Region[],2,FALSE)</f>
        <v>Peru</v>
      </c>
      <c r="H594" s="3" t="str">
        <f>VLOOKUP(Registros[[#This Row],[Producto]],Producto[],2,FALSE)</f>
        <v>SALF</v>
      </c>
    </row>
    <row r="595" spans="1:8" ht="20.100000000000001" customHeight="1" x14ac:dyDescent="0.25">
      <c r="A595" s="3" t="s">
        <v>176</v>
      </c>
      <c r="B595" s="3" t="s">
        <v>199</v>
      </c>
      <c r="C595" s="3">
        <v>2022</v>
      </c>
      <c r="D595" s="4">
        <v>1</v>
      </c>
      <c r="E595" s="5">
        <v>45.9</v>
      </c>
      <c r="F595" s="5">
        <v>22.39</v>
      </c>
      <c r="G595" s="3" t="str">
        <f>VLOOKUP(Registros[[#This Row],[Cliente]],Cliente_Region[],2,FALSE)</f>
        <v>Peru</v>
      </c>
      <c r="H595" s="3" t="str">
        <f>VLOOKUP(Registros[[#This Row],[Producto]],Producto[],2,FALSE)</f>
        <v>CHOTUS</v>
      </c>
    </row>
    <row r="596" spans="1:8" ht="20.100000000000001" customHeight="1" x14ac:dyDescent="0.25">
      <c r="A596" s="3" t="s">
        <v>177</v>
      </c>
      <c r="B596" s="3" t="s">
        <v>199</v>
      </c>
      <c r="C596" s="3">
        <v>2022</v>
      </c>
      <c r="D596" s="4">
        <v>3</v>
      </c>
      <c r="E596" s="5">
        <v>45.9</v>
      </c>
      <c r="F596" s="5">
        <v>22.39</v>
      </c>
      <c r="G596" s="3" t="str">
        <f>VLOOKUP(Registros[[#This Row],[Cliente]],Cliente_Region[],2,FALSE)</f>
        <v>Peru</v>
      </c>
      <c r="H596" s="3" t="str">
        <f>VLOOKUP(Registros[[#This Row],[Producto]],Producto[],2,FALSE)</f>
        <v>SALF</v>
      </c>
    </row>
    <row r="597" spans="1:8" ht="20.100000000000001" customHeight="1" x14ac:dyDescent="0.25">
      <c r="A597" s="3" t="s">
        <v>177</v>
      </c>
      <c r="B597" s="3" t="s">
        <v>199</v>
      </c>
      <c r="C597" s="3">
        <v>2022</v>
      </c>
      <c r="D597" s="4">
        <v>6</v>
      </c>
      <c r="E597" s="5">
        <v>30.6</v>
      </c>
      <c r="F597" s="5">
        <v>14.18</v>
      </c>
      <c r="G597" s="3" t="str">
        <f>VLOOKUP(Registros[[#This Row],[Cliente]],Cliente_Region[],2,FALSE)</f>
        <v>Peru</v>
      </c>
      <c r="H597" s="3" t="str">
        <f>VLOOKUP(Registros[[#This Row],[Producto]],Producto[],2,FALSE)</f>
        <v>SALF</v>
      </c>
    </row>
    <row r="598" spans="1:8" ht="20.100000000000001" customHeight="1" x14ac:dyDescent="0.25">
      <c r="A598" s="3" t="s">
        <v>114</v>
      </c>
      <c r="B598" s="3" t="s">
        <v>199</v>
      </c>
      <c r="C598" s="3">
        <v>2022</v>
      </c>
      <c r="D598" s="4">
        <v>2</v>
      </c>
      <c r="E598" s="5">
        <v>49</v>
      </c>
      <c r="F598" s="5">
        <v>28.92</v>
      </c>
      <c r="G598" s="3" t="str">
        <f>VLOOKUP(Registros[[#This Row],[Cliente]],Cliente_Region[],2,FALSE)</f>
        <v>Peru</v>
      </c>
      <c r="H598" s="3" t="str">
        <f>VLOOKUP(Registros[[#This Row],[Producto]],Producto[],2,FALSE)</f>
        <v>DAWNE</v>
      </c>
    </row>
    <row r="599" spans="1:8" ht="20.100000000000001" customHeight="1" x14ac:dyDescent="0.25">
      <c r="A599" s="3" t="s">
        <v>200</v>
      </c>
      <c r="B599" s="3" t="s">
        <v>199</v>
      </c>
      <c r="C599" s="3">
        <v>2022</v>
      </c>
      <c r="D599" s="4">
        <v>1</v>
      </c>
      <c r="E599" s="5">
        <v>30.75</v>
      </c>
      <c r="F599" s="5">
        <v>3.64</v>
      </c>
      <c r="G599" s="3" t="str">
        <f>VLOOKUP(Registros[[#This Row],[Cliente]],Cliente_Region[],2,FALSE)</f>
        <v>Peru</v>
      </c>
      <c r="H599" s="3" t="str">
        <f>VLOOKUP(Registros[[#This Row],[Producto]],Producto[],2,FALSE)</f>
        <v>QUOKAR</v>
      </c>
    </row>
    <row r="600" spans="1:8" ht="20.100000000000001" customHeight="1" x14ac:dyDescent="0.25">
      <c r="A600" s="3" t="s">
        <v>120</v>
      </c>
      <c r="B600" s="3" t="s">
        <v>199</v>
      </c>
      <c r="C600" s="3">
        <v>2022</v>
      </c>
      <c r="D600" s="4">
        <v>1</v>
      </c>
      <c r="E600" s="5">
        <v>357</v>
      </c>
      <c r="F600" s="5">
        <v>199.68</v>
      </c>
      <c r="G600" s="3" t="str">
        <f>VLOOKUP(Registros[[#This Row],[Cliente]],Cliente_Region[],2,FALSE)</f>
        <v>Peru</v>
      </c>
      <c r="H600" s="3" t="str">
        <f>VLOOKUP(Registros[[#This Row],[Producto]],Producto[],2,FALSE)</f>
        <v>LAX</v>
      </c>
    </row>
    <row r="601" spans="1:8" ht="20.100000000000001" customHeight="1" x14ac:dyDescent="0.25">
      <c r="A601" s="3" t="s">
        <v>121</v>
      </c>
      <c r="B601" s="3" t="s">
        <v>199</v>
      </c>
      <c r="C601" s="3">
        <v>2022</v>
      </c>
      <c r="D601" s="4">
        <v>2</v>
      </c>
      <c r="E601" s="5">
        <v>306</v>
      </c>
      <c r="F601" s="5">
        <v>194.91</v>
      </c>
      <c r="G601" s="3" t="str">
        <f>VLOOKUP(Registros[[#This Row],[Cliente]],Cliente_Region[],2,FALSE)</f>
        <v>Peru</v>
      </c>
      <c r="H601" s="3" t="str">
        <f>VLOOKUP(Registros[[#This Row],[Producto]],Producto[],2,FALSE)</f>
        <v>LAX</v>
      </c>
    </row>
    <row r="602" spans="1:8" ht="20.100000000000001" customHeight="1" x14ac:dyDescent="0.25">
      <c r="A602" s="3" t="s">
        <v>121</v>
      </c>
      <c r="B602" s="3" t="s">
        <v>199</v>
      </c>
      <c r="C602" s="3">
        <v>2022</v>
      </c>
      <c r="D602" s="4">
        <v>3</v>
      </c>
      <c r="E602" s="5">
        <v>357</v>
      </c>
      <c r="F602" s="5">
        <v>213.68</v>
      </c>
      <c r="G602" s="3" t="str">
        <f>VLOOKUP(Registros[[#This Row],[Cliente]],Cliente_Region[],2,FALSE)</f>
        <v>Peru</v>
      </c>
      <c r="H602" s="3" t="str">
        <f>VLOOKUP(Registros[[#This Row],[Producto]],Producto[],2,FALSE)</f>
        <v>LAX</v>
      </c>
    </row>
    <row r="603" spans="1:8" ht="20.100000000000001" customHeight="1" x14ac:dyDescent="0.25">
      <c r="A603" s="3" t="s">
        <v>121</v>
      </c>
      <c r="B603" s="3" t="s">
        <v>199</v>
      </c>
      <c r="C603" s="3">
        <v>2022</v>
      </c>
      <c r="D603" s="4">
        <v>4</v>
      </c>
      <c r="E603" s="5">
        <v>306</v>
      </c>
      <c r="F603" s="5">
        <v>187.96</v>
      </c>
      <c r="G603" s="3" t="str">
        <f>VLOOKUP(Registros[[#This Row],[Cliente]],Cliente_Region[],2,FALSE)</f>
        <v>Peru</v>
      </c>
      <c r="H603" s="3" t="str">
        <f>VLOOKUP(Registros[[#This Row],[Producto]],Producto[],2,FALSE)</f>
        <v>LAX</v>
      </c>
    </row>
    <row r="604" spans="1:8" ht="20.100000000000001" customHeight="1" x14ac:dyDescent="0.25">
      <c r="A604" s="3" t="s">
        <v>121</v>
      </c>
      <c r="B604" s="3" t="s">
        <v>199</v>
      </c>
      <c r="C604" s="3">
        <v>2022</v>
      </c>
      <c r="D604" s="4">
        <v>5</v>
      </c>
      <c r="E604" s="5">
        <v>385</v>
      </c>
      <c r="F604" s="5">
        <v>247.82</v>
      </c>
      <c r="G604" s="3" t="str">
        <f>VLOOKUP(Registros[[#This Row],[Cliente]],Cliente_Region[],2,FALSE)</f>
        <v>Peru</v>
      </c>
      <c r="H604" s="3" t="str">
        <f>VLOOKUP(Registros[[#This Row],[Producto]],Producto[],2,FALSE)</f>
        <v>LAX</v>
      </c>
    </row>
    <row r="605" spans="1:8" ht="20.100000000000001" customHeight="1" x14ac:dyDescent="0.25">
      <c r="A605" s="3" t="s">
        <v>121</v>
      </c>
      <c r="B605" s="3" t="s">
        <v>199</v>
      </c>
      <c r="C605" s="3">
        <v>2022</v>
      </c>
      <c r="D605" s="4">
        <v>6</v>
      </c>
      <c r="E605" s="5">
        <v>440</v>
      </c>
      <c r="F605" s="5">
        <v>290.55</v>
      </c>
      <c r="G605" s="3" t="str">
        <f>VLOOKUP(Registros[[#This Row],[Cliente]],Cliente_Region[],2,FALSE)</f>
        <v>Peru</v>
      </c>
      <c r="H605" s="3" t="str">
        <f>VLOOKUP(Registros[[#This Row],[Producto]],Producto[],2,FALSE)</f>
        <v>LAX</v>
      </c>
    </row>
    <row r="606" spans="1:8" ht="20.100000000000001" customHeight="1" x14ac:dyDescent="0.25">
      <c r="A606" s="3" t="s">
        <v>74</v>
      </c>
      <c r="B606" s="3" t="s">
        <v>199</v>
      </c>
      <c r="C606" s="3">
        <v>2022</v>
      </c>
      <c r="D606" s="4">
        <v>1</v>
      </c>
      <c r="E606" s="5">
        <v>1552.5</v>
      </c>
      <c r="F606" s="5">
        <v>277.3</v>
      </c>
      <c r="G606" s="3" t="str">
        <f>VLOOKUP(Registros[[#This Row],[Cliente]],Cliente_Region[],2,FALSE)</f>
        <v>Peru</v>
      </c>
      <c r="H606" s="3" t="str">
        <f>VLOOKUP(Registros[[#This Row],[Producto]],Producto[],2,FALSE)</f>
        <v>CHOTUS</v>
      </c>
    </row>
    <row r="607" spans="1:8" ht="20.100000000000001" customHeight="1" x14ac:dyDescent="0.25">
      <c r="A607" s="3" t="s">
        <v>75</v>
      </c>
      <c r="B607" s="3" t="s">
        <v>199</v>
      </c>
      <c r="C607" s="3">
        <v>2022</v>
      </c>
      <c r="D607" s="4">
        <v>2</v>
      </c>
      <c r="E607" s="5">
        <v>1107</v>
      </c>
      <c r="F607" s="5">
        <v>393.6</v>
      </c>
      <c r="G607" s="3" t="str">
        <f>VLOOKUP(Registros[[#This Row],[Cliente]],Cliente_Region[],2,FALSE)</f>
        <v>Peru</v>
      </c>
      <c r="H607" s="3" t="str">
        <f>VLOOKUP(Registros[[#This Row],[Producto]],Producto[],2,FALSE)</f>
        <v>DONANY</v>
      </c>
    </row>
    <row r="608" spans="1:8" ht="20.100000000000001" customHeight="1" x14ac:dyDescent="0.25">
      <c r="A608" s="3" t="s">
        <v>75</v>
      </c>
      <c r="B608" s="3" t="s">
        <v>199</v>
      </c>
      <c r="C608" s="3">
        <v>2022</v>
      </c>
      <c r="D608" s="4">
        <v>3</v>
      </c>
      <c r="E608" s="5">
        <v>1413</v>
      </c>
      <c r="F608" s="5">
        <v>502.4</v>
      </c>
      <c r="G608" s="3" t="str">
        <f>VLOOKUP(Registros[[#This Row],[Cliente]],Cliente_Region[],2,FALSE)</f>
        <v>Peru</v>
      </c>
      <c r="H608" s="3" t="str">
        <f>VLOOKUP(Registros[[#This Row],[Producto]],Producto[],2,FALSE)</f>
        <v>DONANY</v>
      </c>
    </row>
    <row r="609" spans="1:8" ht="20.100000000000001" customHeight="1" x14ac:dyDescent="0.25">
      <c r="A609" s="3" t="s">
        <v>75</v>
      </c>
      <c r="B609" s="3" t="s">
        <v>199</v>
      </c>
      <c r="C609" s="3">
        <v>2022</v>
      </c>
      <c r="D609" s="4">
        <v>4</v>
      </c>
      <c r="E609" s="5">
        <v>1368</v>
      </c>
      <c r="F609" s="5">
        <v>523.1</v>
      </c>
      <c r="G609" s="3" t="str">
        <f>VLOOKUP(Registros[[#This Row],[Cliente]],Cliente_Region[],2,FALSE)</f>
        <v>Peru</v>
      </c>
      <c r="H609" s="3" t="str">
        <f>VLOOKUP(Registros[[#This Row],[Producto]],Producto[],2,FALSE)</f>
        <v>DONANY</v>
      </c>
    </row>
    <row r="610" spans="1:8" ht="20.100000000000001" customHeight="1" x14ac:dyDescent="0.25">
      <c r="A610" s="3" t="s">
        <v>75</v>
      </c>
      <c r="B610" s="3" t="s">
        <v>199</v>
      </c>
      <c r="C610" s="3">
        <v>2022</v>
      </c>
      <c r="D610" s="4">
        <v>5</v>
      </c>
      <c r="E610" s="5">
        <v>2241</v>
      </c>
      <c r="F610" s="5">
        <v>866.8</v>
      </c>
      <c r="G610" s="3" t="str">
        <f>VLOOKUP(Registros[[#This Row],[Cliente]],Cliente_Region[],2,FALSE)</f>
        <v>Peru</v>
      </c>
      <c r="H610" s="3" t="str">
        <f>VLOOKUP(Registros[[#This Row],[Producto]],Producto[],2,FALSE)</f>
        <v>DONANY</v>
      </c>
    </row>
    <row r="611" spans="1:8" ht="20.100000000000001" customHeight="1" x14ac:dyDescent="0.25">
      <c r="A611" s="3" t="s">
        <v>75</v>
      </c>
      <c r="B611" s="3" t="s">
        <v>199</v>
      </c>
      <c r="C611" s="3">
        <v>2022</v>
      </c>
      <c r="D611" s="4">
        <v>6</v>
      </c>
      <c r="E611" s="5">
        <v>1683</v>
      </c>
      <c r="F611" s="5">
        <v>659.9</v>
      </c>
      <c r="G611" s="3" t="str">
        <f>VLOOKUP(Registros[[#This Row],[Cliente]],Cliente_Region[],2,FALSE)</f>
        <v>Peru</v>
      </c>
      <c r="H611" s="3" t="str">
        <f>VLOOKUP(Registros[[#This Row],[Producto]],Producto[],2,FALSE)</f>
        <v>DONANY</v>
      </c>
    </row>
    <row r="612" spans="1:8" ht="20.100000000000001" customHeight="1" x14ac:dyDescent="0.25">
      <c r="A612" s="3" t="s">
        <v>198</v>
      </c>
      <c r="B612" s="3" t="s">
        <v>199</v>
      </c>
      <c r="C612" s="3">
        <v>2022</v>
      </c>
      <c r="D612" s="4">
        <v>2</v>
      </c>
      <c r="E612" s="5">
        <v>243</v>
      </c>
      <c r="F612" s="5">
        <v>86.4</v>
      </c>
      <c r="G612" s="3" t="str">
        <f>VLOOKUP(Registros[[#This Row],[Cliente]],Cliente_Region[],2,FALSE)</f>
        <v>Peru</v>
      </c>
      <c r="H612" s="3" t="str">
        <f>VLOOKUP(Registros[[#This Row],[Producto]],Producto[],2,FALSE)</f>
        <v>MOC</v>
      </c>
    </row>
    <row r="613" spans="1:8" ht="20.100000000000001" customHeight="1" x14ac:dyDescent="0.25">
      <c r="A613" s="3" t="s">
        <v>126</v>
      </c>
      <c r="B613" s="3" t="s">
        <v>199</v>
      </c>
      <c r="C613" s="3">
        <v>2022</v>
      </c>
      <c r="D613" s="4">
        <v>1</v>
      </c>
      <c r="E613" s="5">
        <v>637.86</v>
      </c>
      <c r="F613" s="5">
        <v>334.17</v>
      </c>
      <c r="G613" s="3" t="str">
        <f>VLOOKUP(Registros[[#This Row],[Cliente]],Cliente_Region[],2,FALSE)</f>
        <v>Peru</v>
      </c>
      <c r="H613" s="3" t="str">
        <f>VLOOKUP(Registros[[#This Row],[Producto]],Producto[],2,FALSE)</f>
        <v>DAWNE</v>
      </c>
    </row>
    <row r="614" spans="1:8" ht="20.100000000000001" customHeight="1" x14ac:dyDescent="0.25">
      <c r="A614" s="3" t="s">
        <v>127</v>
      </c>
      <c r="B614" s="3" t="s">
        <v>199</v>
      </c>
      <c r="C614" s="3">
        <v>2022</v>
      </c>
      <c r="D614" s="4">
        <v>2</v>
      </c>
      <c r="E614" s="5">
        <v>356.25</v>
      </c>
      <c r="F614" s="5">
        <v>186.55</v>
      </c>
      <c r="G614" s="3" t="str">
        <f>VLOOKUP(Registros[[#This Row],[Cliente]],Cliente_Region[],2,FALSE)</f>
        <v>Peru</v>
      </c>
      <c r="H614" s="3" t="str">
        <f>VLOOKUP(Registros[[#This Row],[Producto]],Producto[],2,FALSE)</f>
        <v>SALF</v>
      </c>
    </row>
    <row r="615" spans="1:8" ht="20.100000000000001" customHeight="1" x14ac:dyDescent="0.25">
      <c r="A615" s="3" t="s">
        <v>127</v>
      </c>
      <c r="B615" s="3" t="s">
        <v>199</v>
      </c>
      <c r="C615" s="3">
        <v>2022</v>
      </c>
      <c r="D615" s="4">
        <v>3</v>
      </c>
      <c r="E615" s="5">
        <v>881.25</v>
      </c>
      <c r="F615" s="5">
        <v>461.44</v>
      </c>
      <c r="G615" s="3" t="str">
        <f>VLOOKUP(Registros[[#This Row],[Cliente]],Cliente_Region[],2,FALSE)</f>
        <v>Peru</v>
      </c>
      <c r="H615" s="3" t="str">
        <f>VLOOKUP(Registros[[#This Row],[Producto]],Producto[],2,FALSE)</f>
        <v>SALF</v>
      </c>
    </row>
    <row r="616" spans="1:8" ht="20.100000000000001" customHeight="1" x14ac:dyDescent="0.25">
      <c r="A616" s="3" t="s">
        <v>127</v>
      </c>
      <c r="B616" s="3" t="s">
        <v>199</v>
      </c>
      <c r="C616" s="3">
        <v>2022</v>
      </c>
      <c r="D616" s="4">
        <v>4</v>
      </c>
      <c r="E616" s="5">
        <v>993.75</v>
      </c>
      <c r="F616" s="5">
        <v>520.35</v>
      </c>
      <c r="G616" s="3" t="str">
        <f>VLOOKUP(Registros[[#This Row],[Cliente]],Cliente_Region[],2,FALSE)</f>
        <v>Peru</v>
      </c>
      <c r="H616" s="3" t="str">
        <f>VLOOKUP(Registros[[#This Row],[Producto]],Producto[],2,FALSE)</f>
        <v>SALF</v>
      </c>
    </row>
    <row r="617" spans="1:8" ht="20.100000000000001" customHeight="1" x14ac:dyDescent="0.25">
      <c r="A617" s="3" t="s">
        <v>127</v>
      </c>
      <c r="B617" s="3" t="s">
        <v>199</v>
      </c>
      <c r="C617" s="3">
        <v>2022</v>
      </c>
      <c r="D617" s="4">
        <v>5</v>
      </c>
      <c r="E617" s="5">
        <v>562.5</v>
      </c>
      <c r="F617" s="5">
        <v>294.52999999999997</v>
      </c>
      <c r="G617" s="3" t="str">
        <f>VLOOKUP(Registros[[#This Row],[Cliente]],Cliente_Region[],2,FALSE)</f>
        <v>Peru</v>
      </c>
      <c r="H617" s="3" t="str">
        <f>VLOOKUP(Registros[[#This Row],[Producto]],Producto[],2,FALSE)</f>
        <v>SALF</v>
      </c>
    </row>
    <row r="618" spans="1:8" ht="20.100000000000001" customHeight="1" x14ac:dyDescent="0.25">
      <c r="A618" s="3" t="s">
        <v>127</v>
      </c>
      <c r="B618" s="3" t="s">
        <v>199</v>
      </c>
      <c r="C618" s="3">
        <v>2022</v>
      </c>
      <c r="D618" s="4">
        <v>6</v>
      </c>
      <c r="E618" s="5">
        <v>1106.25</v>
      </c>
      <c r="F618" s="5">
        <v>579.27</v>
      </c>
      <c r="G618" s="3" t="str">
        <f>VLOOKUP(Registros[[#This Row],[Cliente]],Cliente_Region[],2,FALSE)</f>
        <v>Peru</v>
      </c>
      <c r="H618" s="3" t="str">
        <f>VLOOKUP(Registros[[#This Row],[Producto]],Producto[],2,FALSE)</f>
        <v>SALF</v>
      </c>
    </row>
    <row r="619" spans="1:8" ht="20.100000000000001" customHeight="1" x14ac:dyDescent="0.25">
      <c r="A619" s="3" t="s">
        <v>120</v>
      </c>
      <c r="B619" s="3" t="s">
        <v>201</v>
      </c>
      <c r="C619" s="3">
        <v>2022</v>
      </c>
      <c r="D619" s="4">
        <v>1</v>
      </c>
      <c r="E619" s="5">
        <v>2820</v>
      </c>
      <c r="F619" s="5">
        <v>1709.14</v>
      </c>
      <c r="G619" s="3" t="str">
        <f>VLOOKUP(Registros[[#This Row],[Cliente]],Cliente_Region[],2,FALSE)</f>
        <v>Argentina</v>
      </c>
      <c r="H619" s="3" t="str">
        <f>VLOOKUP(Registros[[#This Row],[Producto]],Producto[],2,FALSE)</f>
        <v>LAX</v>
      </c>
    </row>
    <row r="620" spans="1:8" ht="20.100000000000001" customHeight="1" x14ac:dyDescent="0.25">
      <c r="A620" s="3" t="s">
        <v>121</v>
      </c>
      <c r="B620" s="3" t="s">
        <v>201</v>
      </c>
      <c r="C620" s="3">
        <v>2022</v>
      </c>
      <c r="D620" s="4">
        <v>3</v>
      </c>
      <c r="E620" s="5">
        <v>13220</v>
      </c>
      <c r="F620" s="5">
        <v>6711.79</v>
      </c>
      <c r="G620" s="3" t="str">
        <f>VLOOKUP(Registros[[#This Row],[Cliente]],Cliente_Region[],2,FALSE)</f>
        <v>Argentina</v>
      </c>
      <c r="H620" s="3" t="str">
        <f>VLOOKUP(Registros[[#This Row],[Producto]],Producto[],2,FALSE)</f>
        <v>LAX</v>
      </c>
    </row>
    <row r="621" spans="1:8" ht="20.100000000000001" customHeight="1" x14ac:dyDescent="0.25">
      <c r="A621" s="3" t="s">
        <v>95</v>
      </c>
      <c r="B621" s="3" t="s">
        <v>202</v>
      </c>
      <c r="C621" s="3">
        <v>2022</v>
      </c>
      <c r="D621" s="4">
        <v>3</v>
      </c>
      <c r="E621" s="5">
        <v>1080</v>
      </c>
      <c r="F621" s="5">
        <v>324</v>
      </c>
      <c r="G621" s="3" t="str">
        <f>VLOOKUP(Registros[[#This Row],[Cliente]],Cliente_Region[],2,FALSE)</f>
        <v>Chile</v>
      </c>
      <c r="H621" s="3" t="str">
        <f>VLOOKUP(Registros[[#This Row],[Producto]],Producto[],2,FALSE)</f>
        <v>CHOTUS</v>
      </c>
    </row>
    <row r="622" spans="1:8" ht="20.100000000000001" customHeight="1" x14ac:dyDescent="0.25">
      <c r="A622" s="3" t="s">
        <v>96</v>
      </c>
      <c r="B622" s="3" t="s">
        <v>202</v>
      </c>
      <c r="C622" s="3">
        <v>2022</v>
      </c>
      <c r="D622" s="4">
        <v>4</v>
      </c>
      <c r="E622" s="5">
        <v>2000</v>
      </c>
      <c r="F622" s="5">
        <v>228.02</v>
      </c>
      <c r="G622" s="3" t="str">
        <f>VLOOKUP(Registros[[#This Row],[Cliente]],Cliente_Region[],2,FALSE)</f>
        <v>Chile</v>
      </c>
      <c r="H622" s="3" t="str">
        <f>VLOOKUP(Registros[[#This Row],[Producto]],Producto[],2,FALSE)</f>
        <v>DONANY</v>
      </c>
    </row>
    <row r="623" spans="1:8" ht="20.100000000000001" customHeight="1" x14ac:dyDescent="0.25">
      <c r="A623" s="3" t="s">
        <v>120</v>
      </c>
      <c r="B623" s="3" t="s">
        <v>202</v>
      </c>
      <c r="C623" s="3">
        <v>2022</v>
      </c>
      <c r="D623" s="4">
        <v>3</v>
      </c>
      <c r="E623" s="5">
        <v>6240</v>
      </c>
      <c r="F623" s="5">
        <v>3334.9</v>
      </c>
      <c r="G623" s="3" t="str">
        <f>VLOOKUP(Registros[[#This Row],[Cliente]],Cliente_Region[],2,FALSE)</f>
        <v>Chile</v>
      </c>
      <c r="H623" s="3" t="str">
        <f>VLOOKUP(Registros[[#This Row],[Producto]],Producto[],2,FALSE)</f>
        <v>LAX</v>
      </c>
    </row>
    <row r="624" spans="1:8" ht="20.100000000000001" customHeight="1" x14ac:dyDescent="0.25">
      <c r="A624" s="3" t="s">
        <v>13</v>
      </c>
      <c r="B624" s="3" t="s">
        <v>203</v>
      </c>
      <c r="C624" s="3">
        <v>2022</v>
      </c>
      <c r="D624" s="4">
        <v>1</v>
      </c>
      <c r="E624" s="5">
        <v>123</v>
      </c>
      <c r="F624" s="5">
        <v>28.87</v>
      </c>
      <c r="G624" s="3" t="str">
        <f>VLOOKUP(Registros[[#This Row],[Cliente]],Cliente_Region[],2,FALSE)</f>
        <v>Chile</v>
      </c>
      <c r="H624" s="3" t="str">
        <f>VLOOKUP(Registros[[#This Row],[Producto]],Producto[],2,FALSE)</f>
        <v>DAWNE</v>
      </c>
    </row>
    <row r="625" spans="1:8" ht="20.100000000000001" customHeight="1" x14ac:dyDescent="0.25">
      <c r="A625" s="3" t="s">
        <v>17</v>
      </c>
      <c r="B625" s="3" t="s">
        <v>203</v>
      </c>
      <c r="C625" s="3">
        <v>2022</v>
      </c>
      <c r="D625" s="4">
        <v>1</v>
      </c>
      <c r="E625" s="5">
        <v>76</v>
      </c>
      <c r="F625" s="5">
        <v>18</v>
      </c>
      <c r="G625" s="3" t="str">
        <f>VLOOKUP(Registros[[#This Row],[Cliente]],Cliente_Region[],2,FALSE)</f>
        <v>Chile</v>
      </c>
      <c r="H625" s="3" t="str">
        <f>VLOOKUP(Registros[[#This Row],[Producto]],Producto[],2,FALSE)</f>
        <v>LAX</v>
      </c>
    </row>
    <row r="626" spans="1:8" ht="20.100000000000001" customHeight="1" x14ac:dyDescent="0.25">
      <c r="A626" s="3" t="s">
        <v>32</v>
      </c>
      <c r="B626" s="3" t="s">
        <v>203</v>
      </c>
      <c r="C626" s="3">
        <v>2022</v>
      </c>
      <c r="D626" s="4">
        <v>1</v>
      </c>
      <c r="E626" s="5">
        <v>48</v>
      </c>
      <c r="F626" s="5">
        <v>20.62</v>
      </c>
      <c r="G626" s="3" t="str">
        <f>VLOOKUP(Registros[[#This Row],[Cliente]],Cliente_Region[],2,FALSE)</f>
        <v>Chile</v>
      </c>
      <c r="H626" s="3" t="str">
        <f>VLOOKUP(Registros[[#This Row],[Producto]],Producto[],2,FALSE)</f>
        <v>GAMBO</v>
      </c>
    </row>
    <row r="627" spans="1:8" ht="20.100000000000001" customHeight="1" x14ac:dyDescent="0.25">
      <c r="A627" s="3" t="s">
        <v>80</v>
      </c>
      <c r="B627" s="3" t="s">
        <v>204</v>
      </c>
      <c r="C627" s="3">
        <v>2022</v>
      </c>
      <c r="D627" s="4">
        <v>2</v>
      </c>
      <c r="E627" s="5">
        <v>162.5</v>
      </c>
      <c r="F627" s="5">
        <v>87.4</v>
      </c>
      <c r="G627" s="3" t="str">
        <f>VLOOKUP(Registros[[#This Row],[Cliente]],Cliente_Region[],2,FALSE)</f>
        <v>Peru</v>
      </c>
      <c r="H627" s="3" t="str">
        <f>VLOOKUP(Registros[[#This Row],[Producto]],Producto[],2,FALSE)</f>
        <v>DAWNE</v>
      </c>
    </row>
    <row r="628" spans="1:8" ht="20.100000000000001" customHeight="1" x14ac:dyDescent="0.25">
      <c r="A628" s="3" t="s">
        <v>205</v>
      </c>
      <c r="B628" s="3" t="s">
        <v>204</v>
      </c>
      <c r="C628" s="3">
        <v>2022</v>
      </c>
      <c r="D628" s="4">
        <v>3</v>
      </c>
      <c r="E628" s="5">
        <v>97.5</v>
      </c>
      <c r="F628" s="5">
        <v>52.44</v>
      </c>
      <c r="G628" s="3" t="str">
        <f>VLOOKUP(Registros[[#This Row],[Cliente]],Cliente_Region[],2,FALSE)</f>
        <v>Peru</v>
      </c>
      <c r="H628" s="3" t="str">
        <f>VLOOKUP(Registros[[#This Row],[Producto]],Producto[],2,FALSE)</f>
        <v>DONANY</v>
      </c>
    </row>
    <row r="629" spans="1:8" ht="20.100000000000001" customHeight="1" x14ac:dyDescent="0.25">
      <c r="A629" s="3" t="s">
        <v>206</v>
      </c>
      <c r="B629" s="3" t="s">
        <v>204</v>
      </c>
      <c r="C629" s="3">
        <v>2022</v>
      </c>
      <c r="D629" s="4">
        <v>2</v>
      </c>
      <c r="E629" s="5">
        <v>119</v>
      </c>
      <c r="F629" s="5">
        <v>93.2</v>
      </c>
      <c r="G629" s="3" t="str">
        <f>VLOOKUP(Registros[[#This Row],[Cliente]],Cliente_Region[],2,FALSE)</f>
        <v>Peru</v>
      </c>
      <c r="H629" s="3" t="str">
        <f>VLOOKUP(Registros[[#This Row],[Producto]],Producto[],2,FALSE)</f>
        <v>SALF</v>
      </c>
    </row>
    <row r="630" spans="1:8" ht="20.100000000000001" customHeight="1" x14ac:dyDescent="0.25">
      <c r="A630" s="3" t="s">
        <v>194</v>
      </c>
      <c r="B630" s="3" t="s">
        <v>204</v>
      </c>
      <c r="C630" s="3">
        <v>2022</v>
      </c>
      <c r="D630" s="4">
        <v>3</v>
      </c>
      <c r="E630" s="5">
        <v>89.25</v>
      </c>
      <c r="F630" s="5">
        <v>69.900000000000006</v>
      </c>
      <c r="G630" s="3" t="str">
        <f>VLOOKUP(Registros[[#This Row],[Cliente]],Cliente_Region[],2,FALSE)</f>
        <v>Peru</v>
      </c>
      <c r="H630" s="3" t="str">
        <f>VLOOKUP(Registros[[#This Row],[Producto]],Producto[],2,FALSE)</f>
        <v>LAX</v>
      </c>
    </row>
    <row r="631" spans="1:8" ht="20.100000000000001" customHeight="1" x14ac:dyDescent="0.25">
      <c r="A631" s="3" t="s">
        <v>107</v>
      </c>
      <c r="B631" s="3" t="s">
        <v>204</v>
      </c>
      <c r="C631" s="3">
        <v>2022</v>
      </c>
      <c r="D631" s="4">
        <v>1</v>
      </c>
      <c r="E631" s="5">
        <v>207</v>
      </c>
      <c r="F631" s="5">
        <v>160.01</v>
      </c>
      <c r="G631" s="3" t="str">
        <f>VLOOKUP(Registros[[#This Row],[Cliente]],Cliente_Region[],2,FALSE)</f>
        <v>Peru</v>
      </c>
      <c r="H631" s="3" t="str">
        <f>VLOOKUP(Registros[[#This Row],[Producto]],Producto[],2,FALSE)</f>
        <v>LAX</v>
      </c>
    </row>
    <row r="632" spans="1:8" ht="20.100000000000001" customHeight="1" x14ac:dyDescent="0.25">
      <c r="A632" s="3" t="s">
        <v>207</v>
      </c>
      <c r="B632" s="3" t="s">
        <v>204</v>
      </c>
      <c r="C632" s="3">
        <v>2022</v>
      </c>
      <c r="D632" s="4">
        <v>3</v>
      </c>
      <c r="E632" s="5">
        <v>172.5</v>
      </c>
      <c r="F632" s="5">
        <v>133.34</v>
      </c>
      <c r="G632" s="3" t="str">
        <f>VLOOKUP(Registros[[#This Row],[Cliente]],Cliente_Region[],2,FALSE)</f>
        <v>Peru</v>
      </c>
      <c r="H632" s="3" t="str">
        <f>VLOOKUP(Registros[[#This Row],[Producto]],Producto[],2,FALSE)</f>
        <v>DAWNE</v>
      </c>
    </row>
    <row r="633" spans="1:8" ht="20.100000000000001" customHeight="1" x14ac:dyDescent="0.25">
      <c r="A633" s="3" t="s">
        <v>207</v>
      </c>
      <c r="B633" s="3" t="s">
        <v>204</v>
      </c>
      <c r="C633" s="3">
        <v>2022</v>
      </c>
      <c r="D633" s="4">
        <v>5</v>
      </c>
      <c r="E633" s="5">
        <v>276</v>
      </c>
      <c r="F633" s="5">
        <v>213.35</v>
      </c>
      <c r="G633" s="3" t="str">
        <f>VLOOKUP(Registros[[#This Row],[Cliente]],Cliente_Region[],2,FALSE)</f>
        <v>Peru</v>
      </c>
      <c r="H633" s="3" t="str">
        <f>VLOOKUP(Registros[[#This Row],[Producto]],Producto[],2,FALSE)</f>
        <v>DAWNE</v>
      </c>
    </row>
    <row r="634" spans="1:8" ht="20.100000000000001" customHeight="1" x14ac:dyDescent="0.25">
      <c r="A634" s="3" t="s">
        <v>208</v>
      </c>
      <c r="B634" s="3" t="s">
        <v>204</v>
      </c>
      <c r="C634" s="3">
        <v>2022</v>
      </c>
      <c r="D634" s="4">
        <v>1</v>
      </c>
      <c r="E634" s="5">
        <v>144</v>
      </c>
      <c r="F634" s="5">
        <v>40.85</v>
      </c>
      <c r="G634" s="3" t="str">
        <f>VLOOKUP(Registros[[#This Row],[Cliente]],Cliente_Region[],2,FALSE)</f>
        <v>Peru</v>
      </c>
      <c r="H634" s="3" t="str">
        <f>VLOOKUP(Registros[[#This Row],[Producto]],Producto[],2,FALSE)</f>
        <v>CHOTUS</v>
      </c>
    </row>
    <row r="635" spans="1:8" ht="20.100000000000001" customHeight="1" x14ac:dyDescent="0.25">
      <c r="A635" s="3" t="s">
        <v>209</v>
      </c>
      <c r="B635" s="3" t="s">
        <v>204</v>
      </c>
      <c r="C635" s="3">
        <v>2022</v>
      </c>
      <c r="D635" s="4">
        <v>2</v>
      </c>
      <c r="E635" s="5">
        <v>216</v>
      </c>
      <c r="F635" s="5">
        <v>61.27</v>
      </c>
      <c r="G635" s="3" t="str">
        <f>VLOOKUP(Registros[[#This Row],[Cliente]],Cliente_Region[],2,FALSE)</f>
        <v>Peru</v>
      </c>
      <c r="H635" s="3" t="str">
        <f>VLOOKUP(Registros[[#This Row],[Producto]],Producto[],2,FALSE)</f>
        <v>QUOKAR</v>
      </c>
    </row>
    <row r="636" spans="1:8" ht="20.100000000000001" customHeight="1" x14ac:dyDescent="0.25">
      <c r="A636" s="3" t="s">
        <v>209</v>
      </c>
      <c r="B636" s="3" t="s">
        <v>204</v>
      </c>
      <c r="C636" s="3">
        <v>2022</v>
      </c>
      <c r="D636" s="4">
        <v>3</v>
      </c>
      <c r="E636" s="5">
        <v>141</v>
      </c>
      <c r="F636" s="5">
        <v>37.85</v>
      </c>
      <c r="G636" s="3" t="str">
        <f>VLOOKUP(Registros[[#This Row],[Cliente]],Cliente_Region[],2,FALSE)</f>
        <v>Peru</v>
      </c>
      <c r="H636" s="3" t="str">
        <f>VLOOKUP(Registros[[#This Row],[Producto]],Producto[],2,FALSE)</f>
        <v>QUOKAR</v>
      </c>
    </row>
    <row r="637" spans="1:8" ht="20.100000000000001" customHeight="1" x14ac:dyDescent="0.25">
      <c r="A637" s="3" t="s">
        <v>209</v>
      </c>
      <c r="B637" s="3" t="s">
        <v>204</v>
      </c>
      <c r="C637" s="3">
        <v>2022</v>
      </c>
      <c r="D637" s="4">
        <v>5</v>
      </c>
      <c r="E637" s="5">
        <v>144</v>
      </c>
      <c r="F637" s="5">
        <v>40.85</v>
      </c>
      <c r="G637" s="3" t="str">
        <f>VLOOKUP(Registros[[#This Row],[Cliente]],Cliente_Region[],2,FALSE)</f>
        <v>Peru</v>
      </c>
      <c r="H637" s="3" t="str">
        <f>VLOOKUP(Registros[[#This Row],[Producto]],Producto[],2,FALSE)</f>
        <v>QUOKAR</v>
      </c>
    </row>
    <row r="638" spans="1:8" ht="20.100000000000001" customHeight="1" x14ac:dyDescent="0.25">
      <c r="A638" s="3" t="s">
        <v>79</v>
      </c>
      <c r="B638" s="3" t="s">
        <v>204</v>
      </c>
      <c r="C638" s="3">
        <v>2022</v>
      </c>
      <c r="D638" s="4">
        <v>1</v>
      </c>
      <c r="E638" s="5">
        <v>405</v>
      </c>
      <c r="F638" s="5">
        <v>238.9</v>
      </c>
      <c r="G638" s="3" t="str">
        <f>VLOOKUP(Registros[[#This Row],[Cliente]],Cliente_Region[],2,FALSE)</f>
        <v>Peru</v>
      </c>
      <c r="H638" s="3" t="str">
        <f>VLOOKUP(Registros[[#This Row],[Producto]],Producto[],2,FALSE)</f>
        <v>SALF</v>
      </c>
    </row>
    <row r="639" spans="1:8" ht="20.100000000000001" customHeight="1" x14ac:dyDescent="0.25">
      <c r="A639" s="3" t="s">
        <v>80</v>
      </c>
      <c r="B639" s="3" t="s">
        <v>204</v>
      </c>
      <c r="C639" s="3">
        <v>2022</v>
      </c>
      <c r="D639" s="4">
        <v>2</v>
      </c>
      <c r="E639" s="5">
        <v>405</v>
      </c>
      <c r="F639" s="5">
        <v>238.9</v>
      </c>
      <c r="G639" s="3" t="str">
        <f>VLOOKUP(Registros[[#This Row],[Cliente]],Cliente_Region[],2,FALSE)</f>
        <v>Peru</v>
      </c>
      <c r="H639" s="3" t="str">
        <f>VLOOKUP(Registros[[#This Row],[Producto]],Producto[],2,FALSE)</f>
        <v>DAWNE</v>
      </c>
    </row>
    <row r="640" spans="1:8" ht="20.100000000000001" customHeight="1" x14ac:dyDescent="0.25">
      <c r="A640" s="3" t="s">
        <v>80</v>
      </c>
      <c r="B640" s="3" t="s">
        <v>204</v>
      </c>
      <c r="C640" s="3">
        <v>2022</v>
      </c>
      <c r="D640" s="4">
        <v>3</v>
      </c>
      <c r="E640" s="5">
        <v>472.5</v>
      </c>
      <c r="F640" s="5">
        <v>278.72000000000003</v>
      </c>
      <c r="G640" s="3" t="str">
        <f>VLOOKUP(Registros[[#This Row],[Cliente]],Cliente_Region[],2,FALSE)</f>
        <v>Peru</v>
      </c>
      <c r="H640" s="3" t="str">
        <f>VLOOKUP(Registros[[#This Row],[Producto]],Producto[],2,FALSE)</f>
        <v>DAWNE</v>
      </c>
    </row>
    <row r="641" spans="1:8" ht="20.100000000000001" customHeight="1" x14ac:dyDescent="0.25">
      <c r="A641" s="3" t="s">
        <v>210</v>
      </c>
      <c r="B641" s="3" t="s">
        <v>204</v>
      </c>
      <c r="C641" s="3">
        <v>2022</v>
      </c>
      <c r="D641" s="4">
        <v>2</v>
      </c>
      <c r="E641" s="5">
        <v>259</v>
      </c>
      <c r="F641" s="5">
        <v>-101.85</v>
      </c>
      <c r="G641" s="3" t="str">
        <f>VLOOKUP(Registros[[#This Row],[Cliente]],Cliente_Region[],2,FALSE)</f>
        <v>Peru</v>
      </c>
      <c r="H641" s="3" t="str">
        <f>VLOOKUP(Registros[[#This Row],[Producto]],Producto[],2,FALSE)</f>
        <v>LAX</v>
      </c>
    </row>
    <row r="642" spans="1:8" ht="20.100000000000001" customHeight="1" x14ac:dyDescent="0.25">
      <c r="A642" s="3" t="s">
        <v>211</v>
      </c>
      <c r="B642" s="3" t="s">
        <v>204</v>
      </c>
      <c r="C642" s="3">
        <v>2022</v>
      </c>
      <c r="D642" s="4">
        <v>5</v>
      </c>
      <c r="E642" s="5">
        <v>148</v>
      </c>
      <c r="F642" s="5">
        <v>-58.2</v>
      </c>
      <c r="G642" s="3" t="str">
        <f>VLOOKUP(Registros[[#This Row],[Cliente]],Cliente_Region[],2,FALSE)</f>
        <v>Peru</v>
      </c>
      <c r="H642" s="3" t="str">
        <f>VLOOKUP(Registros[[#This Row],[Producto]],Producto[],2,FALSE)</f>
        <v>DAWNE</v>
      </c>
    </row>
    <row r="643" spans="1:8" ht="20.100000000000001" customHeight="1" x14ac:dyDescent="0.25">
      <c r="A643" s="3" t="s">
        <v>212</v>
      </c>
      <c r="B643" s="3" t="s">
        <v>204</v>
      </c>
      <c r="C643" s="3">
        <v>2022</v>
      </c>
      <c r="D643" s="4">
        <v>5</v>
      </c>
      <c r="E643" s="5">
        <v>1371</v>
      </c>
      <c r="F643" s="5">
        <v>742.96</v>
      </c>
      <c r="G643" s="3" t="str">
        <f>VLOOKUP(Registros[[#This Row],[Cliente]],Cliente_Region[],2,FALSE)</f>
        <v>Peru</v>
      </c>
      <c r="H643" s="3" t="str">
        <f>VLOOKUP(Registros[[#This Row],[Producto]],Producto[],2,FALSE)</f>
        <v>LAX</v>
      </c>
    </row>
    <row r="644" spans="1:8" ht="20.100000000000001" customHeight="1" x14ac:dyDescent="0.25">
      <c r="A644" s="3" t="s">
        <v>83</v>
      </c>
      <c r="B644" s="3" t="s">
        <v>204</v>
      </c>
      <c r="C644" s="3">
        <v>2022</v>
      </c>
      <c r="D644" s="4">
        <v>1</v>
      </c>
      <c r="E644" s="5">
        <v>252.5</v>
      </c>
      <c r="F644" s="5">
        <v>156.66999999999999</v>
      </c>
      <c r="G644" s="3" t="str">
        <f>VLOOKUP(Registros[[#This Row],[Cliente]],Cliente_Region[],2,FALSE)</f>
        <v>Peru</v>
      </c>
      <c r="H644" s="3" t="str">
        <f>VLOOKUP(Registros[[#This Row],[Producto]],Producto[],2,FALSE)</f>
        <v>QUOKAR</v>
      </c>
    </row>
    <row r="645" spans="1:8" ht="20.100000000000001" customHeight="1" x14ac:dyDescent="0.25">
      <c r="A645" s="3" t="s">
        <v>84</v>
      </c>
      <c r="B645" s="3" t="s">
        <v>204</v>
      </c>
      <c r="C645" s="3">
        <v>2022</v>
      </c>
      <c r="D645" s="4">
        <v>2</v>
      </c>
      <c r="E645" s="5">
        <v>303</v>
      </c>
      <c r="F645" s="5">
        <v>188.01</v>
      </c>
      <c r="G645" s="3" t="str">
        <f>VLOOKUP(Registros[[#This Row],[Cliente]],Cliente_Region[],2,FALSE)</f>
        <v>Peru</v>
      </c>
      <c r="H645" s="3" t="str">
        <f>VLOOKUP(Registros[[#This Row],[Producto]],Producto[],2,FALSE)</f>
        <v>DONANY</v>
      </c>
    </row>
    <row r="646" spans="1:8" ht="20.100000000000001" customHeight="1" x14ac:dyDescent="0.25">
      <c r="A646" s="3" t="s">
        <v>84</v>
      </c>
      <c r="B646" s="3" t="s">
        <v>204</v>
      </c>
      <c r="C646" s="3">
        <v>2022</v>
      </c>
      <c r="D646" s="4">
        <v>3</v>
      </c>
      <c r="E646" s="5">
        <v>151.5</v>
      </c>
      <c r="F646" s="5">
        <v>94</v>
      </c>
      <c r="G646" s="3" t="str">
        <f>VLOOKUP(Registros[[#This Row],[Cliente]],Cliente_Region[],2,FALSE)</f>
        <v>Peru</v>
      </c>
      <c r="H646" s="3" t="str">
        <f>VLOOKUP(Registros[[#This Row],[Producto]],Producto[],2,FALSE)</f>
        <v>DONANY</v>
      </c>
    </row>
    <row r="647" spans="1:8" ht="20.100000000000001" customHeight="1" x14ac:dyDescent="0.25">
      <c r="A647" s="3" t="s">
        <v>84</v>
      </c>
      <c r="B647" s="3" t="s">
        <v>204</v>
      </c>
      <c r="C647" s="3">
        <v>2022</v>
      </c>
      <c r="D647" s="4">
        <v>5</v>
      </c>
      <c r="E647" s="5">
        <v>353.5</v>
      </c>
      <c r="F647" s="5">
        <v>219.34</v>
      </c>
      <c r="G647" s="3" t="str">
        <f>VLOOKUP(Registros[[#This Row],[Cliente]],Cliente_Region[],2,FALSE)</f>
        <v>Peru</v>
      </c>
      <c r="H647" s="3" t="str">
        <f>VLOOKUP(Registros[[#This Row],[Producto]],Producto[],2,FALSE)</f>
        <v>DONANY</v>
      </c>
    </row>
    <row r="648" spans="1:8" ht="20.100000000000001" customHeight="1" x14ac:dyDescent="0.25">
      <c r="A648" s="3" t="s">
        <v>80</v>
      </c>
      <c r="B648" s="3" t="s">
        <v>214</v>
      </c>
      <c r="C648" s="3">
        <v>2022</v>
      </c>
      <c r="D648" s="4">
        <v>1</v>
      </c>
      <c r="E648" s="5">
        <v>156</v>
      </c>
      <c r="F648" s="5">
        <v>83.9</v>
      </c>
      <c r="G648" s="3" t="str">
        <f>VLOOKUP(Registros[[#This Row],[Cliente]],Cliente_Region[],2,FALSE)</f>
        <v>Colombia</v>
      </c>
      <c r="H648" s="3" t="str">
        <f>VLOOKUP(Registros[[#This Row],[Producto]],Producto[],2,FALSE)</f>
        <v>DAWNE</v>
      </c>
    </row>
    <row r="649" spans="1:8" ht="20.100000000000001" customHeight="1" x14ac:dyDescent="0.25">
      <c r="A649" s="3" t="s">
        <v>205</v>
      </c>
      <c r="B649" s="3" t="s">
        <v>214</v>
      </c>
      <c r="C649" s="3">
        <v>2022</v>
      </c>
      <c r="D649" s="4">
        <v>2</v>
      </c>
      <c r="E649" s="5">
        <v>82.2</v>
      </c>
      <c r="F649" s="5">
        <v>184.6</v>
      </c>
      <c r="G649" s="3" t="str">
        <f>VLOOKUP(Registros[[#This Row],[Cliente]],Cliente_Region[],2,FALSE)</f>
        <v>Colombia</v>
      </c>
      <c r="H649" s="3" t="str">
        <f>VLOOKUP(Registros[[#This Row],[Producto]],Producto[],2,FALSE)</f>
        <v>DONANY</v>
      </c>
    </row>
    <row r="650" spans="1:8" ht="20.100000000000001" customHeight="1" x14ac:dyDescent="0.25">
      <c r="A650" s="3" t="s">
        <v>205</v>
      </c>
      <c r="B650" s="3" t="s">
        <v>214</v>
      </c>
      <c r="C650" s="3">
        <v>2022</v>
      </c>
      <c r="D650" s="4">
        <v>3</v>
      </c>
      <c r="E650" s="5">
        <v>78</v>
      </c>
      <c r="F650" s="5">
        <v>41.95</v>
      </c>
      <c r="G650" s="3" t="str">
        <f>VLOOKUP(Registros[[#This Row],[Cliente]],Cliente_Region[],2,FALSE)</f>
        <v>Colombia</v>
      </c>
      <c r="H650" s="3" t="str">
        <f>VLOOKUP(Registros[[#This Row],[Producto]],Producto[],2,FALSE)</f>
        <v>DONANY</v>
      </c>
    </row>
    <row r="651" spans="1:8" ht="20.100000000000001" customHeight="1" x14ac:dyDescent="0.25">
      <c r="A651" s="3" t="s">
        <v>205</v>
      </c>
      <c r="B651" s="3" t="s">
        <v>214</v>
      </c>
      <c r="C651" s="3">
        <v>2022</v>
      </c>
      <c r="D651" s="4">
        <v>4</v>
      </c>
      <c r="E651" s="5">
        <v>78</v>
      </c>
      <c r="F651" s="5">
        <v>41.95</v>
      </c>
      <c r="G651" s="3" t="str">
        <f>VLOOKUP(Registros[[#This Row],[Cliente]],Cliente_Region[],2,FALSE)</f>
        <v>Colombia</v>
      </c>
      <c r="H651" s="3" t="str">
        <f>VLOOKUP(Registros[[#This Row],[Producto]],Producto[],2,FALSE)</f>
        <v>DONANY</v>
      </c>
    </row>
    <row r="652" spans="1:8" ht="20.100000000000001" customHeight="1" x14ac:dyDescent="0.25">
      <c r="A652" s="3" t="s">
        <v>205</v>
      </c>
      <c r="B652" s="3" t="s">
        <v>214</v>
      </c>
      <c r="C652" s="3">
        <v>2022</v>
      </c>
      <c r="D652" s="4">
        <v>5</v>
      </c>
      <c r="E652" s="5">
        <v>156</v>
      </c>
      <c r="F652" s="5">
        <v>83.9</v>
      </c>
      <c r="G652" s="3" t="str">
        <f>VLOOKUP(Registros[[#This Row],[Cliente]],Cliente_Region[],2,FALSE)</f>
        <v>Colombia</v>
      </c>
      <c r="H652" s="3" t="str">
        <f>VLOOKUP(Registros[[#This Row],[Producto]],Producto[],2,FALSE)</f>
        <v>DONANY</v>
      </c>
    </row>
    <row r="653" spans="1:8" ht="20.100000000000001" customHeight="1" x14ac:dyDescent="0.25">
      <c r="A653" s="3" t="s">
        <v>206</v>
      </c>
      <c r="B653" s="3" t="s">
        <v>214</v>
      </c>
      <c r="C653" s="3">
        <v>2022</v>
      </c>
      <c r="D653" s="4">
        <v>1</v>
      </c>
      <c r="E653" s="5">
        <v>285.60000000000002</v>
      </c>
      <c r="F653" s="5">
        <v>223.68</v>
      </c>
      <c r="G653" s="3" t="str">
        <f>VLOOKUP(Registros[[#This Row],[Cliente]],Cliente_Region[],2,FALSE)</f>
        <v>Colombia</v>
      </c>
      <c r="H653" s="3" t="str">
        <f>VLOOKUP(Registros[[#This Row],[Producto]],Producto[],2,FALSE)</f>
        <v>SALF</v>
      </c>
    </row>
    <row r="654" spans="1:8" ht="20.100000000000001" customHeight="1" x14ac:dyDescent="0.25">
      <c r="A654" s="3" t="s">
        <v>194</v>
      </c>
      <c r="B654" s="3" t="s">
        <v>214</v>
      </c>
      <c r="C654" s="3">
        <v>2022</v>
      </c>
      <c r="D654" s="4">
        <v>2</v>
      </c>
      <c r="E654" s="5">
        <v>66</v>
      </c>
      <c r="F654" s="5">
        <v>50.52</v>
      </c>
      <c r="G654" s="3" t="str">
        <f>VLOOKUP(Registros[[#This Row],[Cliente]],Cliente_Region[],2,FALSE)</f>
        <v>Colombia</v>
      </c>
      <c r="H654" s="3" t="str">
        <f>VLOOKUP(Registros[[#This Row],[Producto]],Producto[],2,FALSE)</f>
        <v>LAX</v>
      </c>
    </row>
    <row r="655" spans="1:8" ht="20.100000000000001" customHeight="1" x14ac:dyDescent="0.25">
      <c r="A655" s="3" t="s">
        <v>194</v>
      </c>
      <c r="B655" s="3" t="s">
        <v>214</v>
      </c>
      <c r="C655" s="3">
        <v>2022</v>
      </c>
      <c r="D655" s="4">
        <v>3</v>
      </c>
      <c r="E655" s="5">
        <v>285.60000000000002</v>
      </c>
      <c r="F655" s="5">
        <v>223.68</v>
      </c>
      <c r="G655" s="3" t="str">
        <f>VLOOKUP(Registros[[#This Row],[Cliente]],Cliente_Region[],2,FALSE)</f>
        <v>Colombia</v>
      </c>
      <c r="H655" s="3" t="str">
        <f>VLOOKUP(Registros[[#This Row],[Producto]],Producto[],2,FALSE)</f>
        <v>LAX</v>
      </c>
    </row>
    <row r="656" spans="1:8" ht="20.100000000000001" customHeight="1" x14ac:dyDescent="0.25">
      <c r="A656" s="3" t="s">
        <v>194</v>
      </c>
      <c r="B656" s="3" t="s">
        <v>214</v>
      </c>
      <c r="C656" s="3">
        <v>2022</v>
      </c>
      <c r="D656" s="4">
        <v>4</v>
      </c>
      <c r="E656" s="5">
        <v>71.400000000000006</v>
      </c>
      <c r="F656" s="5">
        <v>55.92</v>
      </c>
      <c r="G656" s="3" t="str">
        <f>VLOOKUP(Registros[[#This Row],[Cliente]],Cliente_Region[],2,FALSE)</f>
        <v>Colombia</v>
      </c>
      <c r="H656" s="3" t="str">
        <f>VLOOKUP(Registros[[#This Row],[Producto]],Producto[],2,FALSE)</f>
        <v>LAX</v>
      </c>
    </row>
    <row r="657" spans="1:8" ht="20.100000000000001" customHeight="1" x14ac:dyDescent="0.25">
      <c r="A657" s="3" t="s">
        <v>194</v>
      </c>
      <c r="B657" s="3" t="s">
        <v>214</v>
      </c>
      <c r="C657" s="3">
        <v>2022</v>
      </c>
      <c r="D657" s="4">
        <v>5</v>
      </c>
      <c r="E657" s="5">
        <v>142.80000000000001</v>
      </c>
      <c r="F657" s="5">
        <v>111.84</v>
      </c>
      <c r="G657" s="3" t="str">
        <f>VLOOKUP(Registros[[#This Row],[Cliente]],Cliente_Region[],2,FALSE)</f>
        <v>Colombia</v>
      </c>
      <c r="H657" s="3" t="str">
        <f>VLOOKUP(Registros[[#This Row],[Producto]],Producto[],2,FALSE)</f>
        <v>LAX</v>
      </c>
    </row>
    <row r="658" spans="1:8" ht="20.100000000000001" customHeight="1" x14ac:dyDescent="0.25">
      <c r="A658" s="3" t="s">
        <v>107</v>
      </c>
      <c r="B658" s="3" t="s">
        <v>214</v>
      </c>
      <c r="C658" s="3">
        <v>2022</v>
      </c>
      <c r="D658" s="4">
        <v>1</v>
      </c>
      <c r="E658" s="5">
        <v>993.6</v>
      </c>
      <c r="F658" s="5">
        <v>767.74</v>
      </c>
      <c r="G658" s="3" t="str">
        <f>VLOOKUP(Registros[[#This Row],[Cliente]],Cliente_Region[],2,FALSE)</f>
        <v>Colombia</v>
      </c>
      <c r="H658" s="3" t="str">
        <f>VLOOKUP(Registros[[#This Row],[Producto]],Producto[],2,FALSE)</f>
        <v>LAX</v>
      </c>
    </row>
    <row r="659" spans="1:8" ht="20.100000000000001" customHeight="1" x14ac:dyDescent="0.25">
      <c r="A659" s="3" t="s">
        <v>207</v>
      </c>
      <c r="B659" s="3" t="s">
        <v>214</v>
      </c>
      <c r="C659" s="3">
        <v>2022</v>
      </c>
      <c r="D659" s="4">
        <v>2</v>
      </c>
      <c r="E659" s="5">
        <v>600</v>
      </c>
      <c r="F659" s="5">
        <v>449.64</v>
      </c>
      <c r="G659" s="3" t="str">
        <f>VLOOKUP(Registros[[#This Row],[Cliente]],Cliente_Region[],2,FALSE)</f>
        <v>Colombia</v>
      </c>
      <c r="H659" s="3" t="str">
        <f>VLOOKUP(Registros[[#This Row],[Producto]],Producto[],2,FALSE)</f>
        <v>DAWNE</v>
      </c>
    </row>
    <row r="660" spans="1:8" ht="20.100000000000001" customHeight="1" x14ac:dyDescent="0.25">
      <c r="A660" s="3" t="s">
        <v>207</v>
      </c>
      <c r="B660" s="3" t="s">
        <v>214</v>
      </c>
      <c r="C660" s="3">
        <v>2022</v>
      </c>
      <c r="D660" s="4">
        <v>3</v>
      </c>
      <c r="E660" s="5">
        <v>993.6</v>
      </c>
      <c r="F660" s="5">
        <v>768.06</v>
      </c>
      <c r="G660" s="3" t="str">
        <f>VLOOKUP(Registros[[#This Row],[Cliente]],Cliente_Region[],2,FALSE)</f>
        <v>Colombia</v>
      </c>
      <c r="H660" s="3" t="str">
        <f>VLOOKUP(Registros[[#This Row],[Producto]],Producto[],2,FALSE)</f>
        <v>DAWNE</v>
      </c>
    </row>
    <row r="661" spans="1:8" ht="20.100000000000001" customHeight="1" x14ac:dyDescent="0.25">
      <c r="A661" s="3" t="s">
        <v>207</v>
      </c>
      <c r="B661" s="3" t="s">
        <v>214</v>
      </c>
      <c r="C661" s="3">
        <v>2022</v>
      </c>
      <c r="D661" s="4">
        <v>5</v>
      </c>
      <c r="E661" s="5">
        <v>828</v>
      </c>
      <c r="F661" s="5">
        <v>640.04999999999995</v>
      </c>
      <c r="G661" s="3" t="str">
        <f>VLOOKUP(Registros[[#This Row],[Cliente]],Cliente_Region[],2,FALSE)</f>
        <v>Colombia</v>
      </c>
      <c r="H661" s="3" t="str">
        <f>VLOOKUP(Registros[[#This Row],[Producto]],Producto[],2,FALSE)</f>
        <v>DAWNE</v>
      </c>
    </row>
    <row r="662" spans="1:8" ht="20.100000000000001" customHeight="1" x14ac:dyDescent="0.25">
      <c r="A662" s="3" t="s">
        <v>208</v>
      </c>
      <c r="B662" s="3" t="s">
        <v>214</v>
      </c>
      <c r="C662" s="3">
        <v>2022</v>
      </c>
      <c r="D662" s="4">
        <v>1</v>
      </c>
      <c r="E662" s="5">
        <v>691.2</v>
      </c>
      <c r="F662" s="5">
        <v>196.08</v>
      </c>
      <c r="G662" s="3" t="str">
        <f>VLOOKUP(Registros[[#This Row],[Cliente]],Cliente_Region[],2,FALSE)</f>
        <v>Colombia</v>
      </c>
      <c r="H662" s="3" t="str">
        <f>VLOOKUP(Registros[[#This Row],[Producto]],Producto[],2,FALSE)</f>
        <v>CHOTUS</v>
      </c>
    </row>
    <row r="663" spans="1:8" ht="20.100000000000001" customHeight="1" x14ac:dyDescent="0.25">
      <c r="A663" s="3" t="s">
        <v>209</v>
      </c>
      <c r="B663" s="3" t="s">
        <v>214</v>
      </c>
      <c r="C663" s="3">
        <v>2022</v>
      </c>
      <c r="D663" s="4">
        <v>3</v>
      </c>
      <c r="E663" s="5">
        <v>172.8</v>
      </c>
      <c r="F663" s="5">
        <v>49.02</v>
      </c>
      <c r="G663" s="3" t="str">
        <f>VLOOKUP(Registros[[#This Row],[Cliente]],Cliente_Region[],2,FALSE)</f>
        <v>Colombia</v>
      </c>
      <c r="H663" s="3" t="str">
        <f>VLOOKUP(Registros[[#This Row],[Producto]],Producto[],2,FALSE)</f>
        <v>QUOKAR</v>
      </c>
    </row>
    <row r="664" spans="1:8" ht="20.100000000000001" customHeight="1" x14ac:dyDescent="0.25">
      <c r="A664" s="3" t="s">
        <v>209</v>
      </c>
      <c r="B664" s="3" t="s">
        <v>214</v>
      </c>
      <c r="C664" s="3">
        <v>2022</v>
      </c>
      <c r="D664" s="4">
        <v>4</v>
      </c>
      <c r="E664" s="5">
        <v>172.8</v>
      </c>
      <c r="F664" s="5">
        <v>49.02</v>
      </c>
      <c r="G664" s="3" t="str">
        <f>VLOOKUP(Registros[[#This Row],[Cliente]],Cliente_Region[],2,FALSE)</f>
        <v>Colombia</v>
      </c>
      <c r="H664" s="3" t="str">
        <f>VLOOKUP(Registros[[#This Row],[Producto]],Producto[],2,FALSE)</f>
        <v>QUOKAR</v>
      </c>
    </row>
    <row r="665" spans="1:8" ht="20.100000000000001" customHeight="1" x14ac:dyDescent="0.25">
      <c r="A665" s="3" t="s">
        <v>209</v>
      </c>
      <c r="B665" s="3" t="s">
        <v>214</v>
      </c>
      <c r="C665" s="3">
        <v>2022</v>
      </c>
      <c r="D665" s="4">
        <v>5</v>
      </c>
      <c r="E665" s="5">
        <v>518.4</v>
      </c>
      <c r="F665" s="5">
        <v>147.06</v>
      </c>
      <c r="G665" s="3" t="str">
        <f>VLOOKUP(Registros[[#This Row],[Cliente]],Cliente_Region[],2,FALSE)</f>
        <v>Colombia</v>
      </c>
      <c r="H665" s="3" t="str">
        <f>VLOOKUP(Registros[[#This Row],[Producto]],Producto[],2,FALSE)</f>
        <v>QUOKAR</v>
      </c>
    </row>
    <row r="666" spans="1:8" ht="20.100000000000001" customHeight="1" x14ac:dyDescent="0.25">
      <c r="A666" s="3" t="s">
        <v>79</v>
      </c>
      <c r="B666" s="3" t="s">
        <v>214</v>
      </c>
      <c r="C666" s="3">
        <v>2022</v>
      </c>
      <c r="D666" s="4">
        <v>1</v>
      </c>
      <c r="E666" s="5">
        <v>2592</v>
      </c>
      <c r="F666" s="5">
        <v>1528.96</v>
      </c>
      <c r="G666" s="3" t="str">
        <f>VLOOKUP(Registros[[#This Row],[Cliente]],Cliente_Region[],2,FALSE)</f>
        <v>Colombia</v>
      </c>
      <c r="H666" s="3" t="str">
        <f>VLOOKUP(Registros[[#This Row],[Producto]],Producto[],2,FALSE)</f>
        <v>SALF</v>
      </c>
    </row>
    <row r="667" spans="1:8" ht="20.100000000000001" customHeight="1" x14ac:dyDescent="0.25">
      <c r="A667" s="3" t="s">
        <v>80</v>
      </c>
      <c r="B667" s="3" t="s">
        <v>214</v>
      </c>
      <c r="C667" s="3">
        <v>2022</v>
      </c>
      <c r="D667" s="4">
        <v>2</v>
      </c>
      <c r="E667" s="5">
        <v>648</v>
      </c>
      <c r="F667" s="5">
        <v>382.24</v>
      </c>
      <c r="G667" s="3" t="str">
        <f>VLOOKUP(Registros[[#This Row],[Cliente]],Cliente_Region[],2,FALSE)</f>
        <v>Colombia</v>
      </c>
      <c r="H667" s="3" t="str">
        <f>VLOOKUP(Registros[[#This Row],[Producto]],Producto[],2,FALSE)</f>
        <v>DAWNE</v>
      </c>
    </row>
    <row r="668" spans="1:8" ht="20.100000000000001" customHeight="1" x14ac:dyDescent="0.25">
      <c r="A668" s="3" t="s">
        <v>80</v>
      </c>
      <c r="B668" s="3" t="s">
        <v>214</v>
      </c>
      <c r="C668" s="3">
        <v>2022</v>
      </c>
      <c r="D668" s="4">
        <v>3</v>
      </c>
      <c r="E668" s="5">
        <v>1620</v>
      </c>
      <c r="F668" s="5">
        <v>955.6</v>
      </c>
      <c r="G668" s="3" t="str">
        <f>VLOOKUP(Registros[[#This Row],[Cliente]],Cliente_Region[],2,FALSE)</f>
        <v>Colombia</v>
      </c>
      <c r="H668" s="3" t="str">
        <f>VLOOKUP(Registros[[#This Row],[Producto]],Producto[],2,FALSE)</f>
        <v>DAWNE</v>
      </c>
    </row>
    <row r="669" spans="1:8" ht="20.100000000000001" customHeight="1" x14ac:dyDescent="0.25">
      <c r="A669" s="3" t="s">
        <v>80</v>
      </c>
      <c r="B669" s="3" t="s">
        <v>214</v>
      </c>
      <c r="C669" s="3">
        <v>2022</v>
      </c>
      <c r="D669" s="4">
        <v>4</v>
      </c>
      <c r="E669" s="5">
        <v>648</v>
      </c>
      <c r="F669" s="5">
        <v>382.24</v>
      </c>
      <c r="G669" s="3" t="str">
        <f>VLOOKUP(Registros[[#This Row],[Cliente]],Cliente_Region[],2,FALSE)</f>
        <v>Colombia</v>
      </c>
      <c r="H669" s="3" t="str">
        <f>VLOOKUP(Registros[[#This Row],[Producto]],Producto[],2,FALSE)</f>
        <v>DAWNE</v>
      </c>
    </row>
    <row r="670" spans="1:8" ht="20.100000000000001" customHeight="1" x14ac:dyDescent="0.25">
      <c r="A670" s="3" t="s">
        <v>80</v>
      </c>
      <c r="B670" s="3" t="s">
        <v>214</v>
      </c>
      <c r="C670" s="3">
        <v>2022</v>
      </c>
      <c r="D670" s="4">
        <v>5</v>
      </c>
      <c r="E670" s="5">
        <v>972</v>
      </c>
      <c r="F670" s="5">
        <v>573.36</v>
      </c>
      <c r="G670" s="3" t="str">
        <f>VLOOKUP(Registros[[#This Row],[Cliente]],Cliente_Region[],2,FALSE)</f>
        <v>Colombia</v>
      </c>
      <c r="H670" s="3" t="str">
        <f>VLOOKUP(Registros[[#This Row],[Producto]],Producto[],2,FALSE)</f>
        <v>DAWNE</v>
      </c>
    </row>
    <row r="671" spans="1:8" ht="20.100000000000001" customHeight="1" x14ac:dyDescent="0.25">
      <c r="A671" s="3" t="s">
        <v>210</v>
      </c>
      <c r="B671" s="3" t="s">
        <v>214</v>
      </c>
      <c r="C671" s="3">
        <v>2022</v>
      </c>
      <c r="D671" s="4">
        <v>1</v>
      </c>
      <c r="E671" s="5">
        <v>384.8</v>
      </c>
      <c r="F671" s="5">
        <v>-151.32</v>
      </c>
      <c r="G671" s="3" t="str">
        <f>VLOOKUP(Registros[[#This Row],[Cliente]],Cliente_Region[],2,FALSE)</f>
        <v>Colombia</v>
      </c>
      <c r="H671" s="3" t="str">
        <f>VLOOKUP(Registros[[#This Row],[Producto]],Producto[],2,FALSE)</f>
        <v>LAX</v>
      </c>
    </row>
    <row r="672" spans="1:8" ht="20.100000000000001" customHeight="1" x14ac:dyDescent="0.25">
      <c r="A672" s="3" t="s">
        <v>211</v>
      </c>
      <c r="B672" s="3" t="s">
        <v>214</v>
      </c>
      <c r="C672" s="3">
        <v>2022</v>
      </c>
      <c r="D672" s="4">
        <v>3</v>
      </c>
      <c r="E672" s="5">
        <v>88.8</v>
      </c>
      <c r="F672" s="5">
        <v>-34.92</v>
      </c>
      <c r="G672" s="3" t="str">
        <f>VLOOKUP(Registros[[#This Row],[Cliente]],Cliente_Region[],2,FALSE)</f>
        <v>Colombia</v>
      </c>
      <c r="H672" s="3" t="str">
        <f>VLOOKUP(Registros[[#This Row],[Producto]],Producto[],2,FALSE)</f>
        <v>DAWNE</v>
      </c>
    </row>
    <row r="673" spans="1:8" ht="20.100000000000001" customHeight="1" x14ac:dyDescent="0.25">
      <c r="A673" s="3" t="s">
        <v>211</v>
      </c>
      <c r="B673" s="3" t="s">
        <v>214</v>
      </c>
      <c r="C673" s="3">
        <v>2022</v>
      </c>
      <c r="D673" s="4">
        <v>4</v>
      </c>
      <c r="E673" s="5">
        <v>177.6</v>
      </c>
      <c r="F673" s="5">
        <v>-69.84</v>
      </c>
      <c r="G673" s="3" t="str">
        <f>VLOOKUP(Registros[[#This Row],[Cliente]],Cliente_Region[],2,FALSE)</f>
        <v>Colombia</v>
      </c>
      <c r="H673" s="3" t="str">
        <f>VLOOKUP(Registros[[#This Row],[Producto]],Producto[],2,FALSE)</f>
        <v>DAWNE</v>
      </c>
    </row>
    <row r="674" spans="1:8" ht="20.100000000000001" customHeight="1" x14ac:dyDescent="0.25">
      <c r="A674" s="3" t="s">
        <v>211</v>
      </c>
      <c r="B674" s="3" t="s">
        <v>214</v>
      </c>
      <c r="C674" s="3">
        <v>2022</v>
      </c>
      <c r="D674" s="4">
        <v>5</v>
      </c>
      <c r="E674" s="5">
        <v>489.6</v>
      </c>
      <c r="F674" s="5">
        <v>-5.28</v>
      </c>
      <c r="G674" s="3" t="str">
        <f>VLOOKUP(Registros[[#This Row],[Cliente]],Cliente_Region[],2,FALSE)</f>
        <v>Colombia</v>
      </c>
      <c r="H674" s="3" t="str">
        <f>VLOOKUP(Registros[[#This Row],[Producto]],Producto[],2,FALSE)</f>
        <v>DAWNE</v>
      </c>
    </row>
    <row r="675" spans="1:8" ht="20.100000000000001" customHeight="1" x14ac:dyDescent="0.25">
      <c r="A675" s="3" t="s">
        <v>212</v>
      </c>
      <c r="B675" s="3" t="s">
        <v>214</v>
      </c>
      <c r="C675" s="3">
        <v>2022</v>
      </c>
      <c r="D675" s="4">
        <v>1</v>
      </c>
      <c r="E675" s="5">
        <v>2193.6</v>
      </c>
      <c r="F675" s="5">
        <v>1188.74</v>
      </c>
      <c r="G675" s="3" t="str">
        <f>VLOOKUP(Registros[[#This Row],[Cliente]],Cliente_Region[],2,FALSE)</f>
        <v>Colombia</v>
      </c>
      <c r="H675" s="3" t="str">
        <f>VLOOKUP(Registros[[#This Row],[Producto]],Producto[],2,FALSE)</f>
        <v>LAX</v>
      </c>
    </row>
    <row r="676" spans="1:8" ht="20.100000000000001" customHeight="1" x14ac:dyDescent="0.25">
      <c r="A676" s="3" t="s">
        <v>213</v>
      </c>
      <c r="B676" s="3" t="s">
        <v>214</v>
      </c>
      <c r="C676" s="3">
        <v>2022</v>
      </c>
      <c r="D676" s="4">
        <v>3</v>
      </c>
      <c r="E676" s="5">
        <v>548.4</v>
      </c>
      <c r="F676" s="5">
        <v>297.19</v>
      </c>
      <c r="G676" s="3" t="str">
        <f>VLOOKUP(Registros[[#This Row],[Cliente]],Cliente_Region[],2,FALSE)</f>
        <v>Colombia</v>
      </c>
      <c r="H676" s="3" t="str">
        <f>VLOOKUP(Registros[[#This Row],[Producto]],Producto[],2,FALSE)</f>
        <v>DONANY</v>
      </c>
    </row>
    <row r="677" spans="1:8" ht="20.100000000000001" customHeight="1" x14ac:dyDescent="0.25">
      <c r="A677" s="3" t="s">
        <v>213</v>
      </c>
      <c r="B677" s="3" t="s">
        <v>214</v>
      </c>
      <c r="C677" s="3">
        <v>2022</v>
      </c>
      <c r="D677" s="4">
        <v>4</v>
      </c>
      <c r="E677" s="5">
        <v>1096.8</v>
      </c>
      <c r="F677" s="5">
        <v>594.37</v>
      </c>
      <c r="G677" s="3" t="str">
        <f>VLOOKUP(Registros[[#This Row],[Cliente]],Cliente_Region[],2,FALSE)</f>
        <v>Colombia</v>
      </c>
      <c r="H677" s="3" t="str">
        <f>VLOOKUP(Registros[[#This Row],[Producto]],Producto[],2,FALSE)</f>
        <v>DONANY</v>
      </c>
    </row>
    <row r="678" spans="1:8" ht="20.100000000000001" customHeight="1" x14ac:dyDescent="0.25">
      <c r="A678" s="3" t="s">
        <v>213</v>
      </c>
      <c r="B678" s="3" t="s">
        <v>214</v>
      </c>
      <c r="C678" s="3">
        <v>2022</v>
      </c>
      <c r="D678" s="4">
        <v>5</v>
      </c>
      <c r="E678" s="5">
        <v>2193.6</v>
      </c>
      <c r="F678" s="5">
        <v>1188.74</v>
      </c>
      <c r="G678" s="3" t="str">
        <f>VLOOKUP(Registros[[#This Row],[Cliente]],Cliente_Region[],2,FALSE)</f>
        <v>Colombia</v>
      </c>
      <c r="H678" s="3" t="str">
        <f>VLOOKUP(Registros[[#This Row],[Producto]],Producto[],2,FALSE)</f>
        <v>DONANY</v>
      </c>
    </row>
    <row r="679" spans="1:8" ht="20.100000000000001" customHeight="1" x14ac:dyDescent="0.25">
      <c r="A679" s="3" t="s">
        <v>83</v>
      </c>
      <c r="B679" s="3" t="s">
        <v>214</v>
      </c>
      <c r="C679" s="3">
        <v>2022</v>
      </c>
      <c r="D679" s="4">
        <v>1</v>
      </c>
      <c r="E679" s="5">
        <v>727.2</v>
      </c>
      <c r="F679" s="5">
        <v>451.21</v>
      </c>
      <c r="G679" s="3" t="str">
        <f>VLOOKUP(Registros[[#This Row],[Cliente]],Cliente_Region[],2,FALSE)</f>
        <v>Colombia</v>
      </c>
      <c r="H679" s="3" t="str">
        <f>VLOOKUP(Registros[[#This Row],[Producto]],Producto[],2,FALSE)</f>
        <v>QUOKAR</v>
      </c>
    </row>
    <row r="680" spans="1:8" ht="20.100000000000001" customHeight="1" x14ac:dyDescent="0.25">
      <c r="A680" s="3" t="s">
        <v>84</v>
      </c>
      <c r="B680" s="3" t="s">
        <v>214</v>
      </c>
      <c r="C680" s="3">
        <v>2022</v>
      </c>
      <c r="D680" s="4">
        <v>3</v>
      </c>
      <c r="E680" s="5">
        <v>363.6</v>
      </c>
      <c r="F680" s="5">
        <v>225.61</v>
      </c>
      <c r="G680" s="3" t="str">
        <f>VLOOKUP(Registros[[#This Row],[Cliente]],Cliente_Region[],2,FALSE)</f>
        <v>Colombia</v>
      </c>
      <c r="H680" s="3" t="str">
        <f>VLOOKUP(Registros[[#This Row],[Producto]],Producto[],2,FALSE)</f>
        <v>DONANY</v>
      </c>
    </row>
    <row r="681" spans="1:8" ht="20.100000000000001" customHeight="1" x14ac:dyDescent="0.25">
      <c r="A681" s="3" t="s">
        <v>84</v>
      </c>
      <c r="B681" s="3" t="s">
        <v>214</v>
      </c>
      <c r="C681" s="3">
        <v>2022</v>
      </c>
      <c r="D681" s="4">
        <v>4</v>
      </c>
      <c r="E681" s="5">
        <v>121.2</v>
      </c>
      <c r="F681" s="5">
        <v>75.2</v>
      </c>
      <c r="G681" s="3" t="str">
        <f>VLOOKUP(Registros[[#This Row],[Cliente]],Cliente_Region[],2,FALSE)</f>
        <v>Colombia</v>
      </c>
      <c r="H681" s="3" t="str">
        <f>VLOOKUP(Registros[[#This Row],[Producto]],Producto[],2,FALSE)</f>
        <v>DONANY</v>
      </c>
    </row>
    <row r="682" spans="1:8" ht="20.100000000000001" customHeight="1" x14ac:dyDescent="0.25">
      <c r="A682" s="3" t="s">
        <v>84</v>
      </c>
      <c r="B682" s="3" t="s">
        <v>214</v>
      </c>
      <c r="C682" s="3">
        <v>2022</v>
      </c>
      <c r="D682" s="4">
        <v>5</v>
      </c>
      <c r="E682" s="5">
        <v>606</v>
      </c>
      <c r="F682" s="5">
        <v>376.01</v>
      </c>
      <c r="G682" s="3" t="str">
        <f>VLOOKUP(Registros[[#This Row],[Cliente]],Cliente_Region[],2,FALSE)</f>
        <v>Colombia</v>
      </c>
      <c r="H682" s="3" t="str">
        <f>VLOOKUP(Registros[[#This Row],[Producto]],Producto[],2,FALSE)</f>
        <v>DONANY</v>
      </c>
    </row>
    <row r="683" spans="1:8" ht="20.100000000000001" customHeight="1" x14ac:dyDescent="0.25">
      <c r="A683" s="3" t="s">
        <v>191</v>
      </c>
      <c r="B683" s="3" t="s">
        <v>215</v>
      </c>
      <c r="C683" s="3">
        <v>2022</v>
      </c>
      <c r="D683" s="4">
        <v>4</v>
      </c>
      <c r="E683" s="5">
        <v>420</v>
      </c>
      <c r="F683" s="5">
        <v>279.82</v>
      </c>
      <c r="G683" s="3" t="str">
        <f>VLOOKUP(Registros[[#This Row],[Cliente]],Cliente_Region[],2,FALSE)</f>
        <v>Canada</v>
      </c>
      <c r="H683" s="3" t="str">
        <f>VLOOKUP(Registros[[#This Row],[Producto]],Producto[],2,FALSE)</f>
        <v>SALF</v>
      </c>
    </row>
    <row r="684" spans="1:8" ht="20.100000000000001" customHeight="1" x14ac:dyDescent="0.25">
      <c r="A684" s="3" t="s">
        <v>68</v>
      </c>
      <c r="B684" s="3" t="s">
        <v>216</v>
      </c>
      <c r="C684" s="3">
        <v>2022</v>
      </c>
      <c r="D684" s="4">
        <v>5</v>
      </c>
      <c r="E684" s="5">
        <v>40</v>
      </c>
      <c r="F684" s="5">
        <v>5.28</v>
      </c>
      <c r="G684" s="3" t="str">
        <f>VLOOKUP(Registros[[#This Row],[Cliente]],Cliente_Region[],2,FALSE)</f>
        <v>Chile</v>
      </c>
      <c r="H684" s="3" t="str">
        <f>VLOOKUP(Registros[[#This Row],[Producto]],Producto[],2,FALSE)</f>
        <v>SALF</v>
      </c>
    </row>
    <row r="685" spans="1:8" ht="20.100000000000001" customHeight="1" x14ac:dyDescent="0.25">
      <c r="A685" s="3" t="s">
        <v>13</v>
      </c>
      <c r="B685" s="3" t="s">
        <v>216</v>
      </c>
      <c r="C685" s="3">
        <v>2022</v>
      </c>
      <c r="D685" s="4">
        <v>1</v>
      </c>
      <c r="E685" s="5">
        <v>1414</v>
      </c>
      <c r="F685" s="5">
        <v>230.2</v>
      </c>
      <c r="G685" s="3" t="str">
        <f>VLOOKUP(Registros[[#This Row],[Cliente]],Cliente_Region[],2,FALSE)</f>
        <v>Chile</v>
      </c>
      <c r="H685" s="3" t="str">
        <f>VLOOKUP(Registros[[#This Row],[Producto]],Producto[],2,FALSE)</f>
        <v>DAWNE</v>
      </c>
    </row>
    <row r="686" spans="1:8" ht="20.100000000000001" customHeight="1" x14ac:dyDescent="0.25">
      <c r="A686" s="3" t="s">
        <v>14</v>
      </c>
      <c r="B686" s="3" t="s">
        <v>216</v>
      </c>
      <c r="C686" s="3">
        <v>2022</v>
      </c>
      <c r="D686" s="4">
        <v>2</v>
      </c>
      <c r="E686" s="5">
        <v>1286.25</v>
      </c>
      <c r="F686" s="5">
        <v>281.43</v>
      </c>
      <c r="G686" s="3" t="str">
        <f>VLOOKUP(Registros[[#This Row],[Cliente]],Cliente_Region[],2,FALSE)</f>
        <v>Chile</v>
      </c>
      <c r="H686" s="3" t="str">
        <f>VLOOKUP(Registros[[#This Row],[Producto]],Producto[],2,FALSE)</f>
        <v>SALF</v>
      </c>
    </row>
    <row r="687" spans="1:8" ht="20.100000000000001" customHeight="1" x14ac:dyDescent="0.25">
      <c r="A687" s="3" t="s">
        <v>14</v>
      </c>
      <c r="B687" s="3" t="s">
        <v>216</v>
      </c>
      <c r="C687" s="3">
        <v>2022</v>
      </c>
      <c r="D687" s="4">
        <v>3</v>
      </c>
      <c r="E687" s="5">
        <v>1770</v>
      </c>
      <c r="F687" s="5">
        <v>377.94</v>
      </c>
      <c r="G687" s="3" t="str">
        <f>VLOOKUP(Registros[[#This Row],[Cliente]],Cliente_Region[],2,FALSE)</f>
        <v>Chile</v>
      </c>
      <c r="H687" s="3" t="str">
        <f>VLOOKUP(Registros[[#This Row],[Producto]],Producto[],2,FALSE)</f>
        <v>SALF</v>
      </c>
    </row>
    <row r="688" spans="1:8" ht="20.100000000000001" customHeight="1" x14ac:dyDescent="0.25">
      <c r="A688" s="3" t="s">
        <v>14</v>
      </c>
      <c r="B688" s="3" t="s">
        <v>216</v>
      </c>
      <c r="C688" s="3">
        <v>2022</v>
      </c>
      <c r="D688" s="4">
        <v>4</v>
      </c>
      <c r="E688" s="5">
        <v>1542.5</v>
      </c>
      <c r="F688" s="5">
        <v>292.2</v>
      </c>
      <c r="G688" s="3" t="str">
        <f>VLOOKUP(Registros[[#This Row],[Cliente]],Cliente_Region[],2,FALSE)</f>
        <v>Chile</v>
      </c>
      <c r="H688" s="3" t="str">
        <f>VLOOKUP(Registros[[#This Row],[Producto]],Producto[],2,FALSE)</f>
        <v>SALF</v>
      </c>
    </row>
    <row r="689" spans="1:8" ht="20.100000000000001" customHeight="1" x14ac:dyDescent="0.25">
      <c r="A689" s="3" t="s">
        <v>14</v>
      </c>
      <c r="B689" s="3" t="s">
        <v>216</v>
      </c>
      <c r="C689" s="3">
        <v>2022</v>
      </c>
      <c r="D689" s="4">
        <v>5</v>
      </c>
      <c r="E689" s="5">
        <v>1715</v>
      </c>
      <c r="F689" s="5">
        <v>345.46</v>
      </c>
      <c r="G689" s="3" t="str">
        <f>VLOOKUP(Registros[[#This Row],[Cliente]],Cliente_Region[],2,FALSE)</f>
        <v>Chile</v>
      </c>
      <c r="H689" s="3" t="str">
        <f>VLOOKUP(Registros[[#This Row],[Producto]],Producto[],2,FALSE)</f>
        <v>SALF</v>
      </c>
    </row>
    <row r="690" spans="1:8" ht="20.100000000000001" customHeight="1" x14ac:dyDescent="0.25">
      <c r="A690" s="3" t="s">
        <v>14</v>
      </c>
      <c r="B690" s="3" t="s">
        <v>216</v>
      </c>
      <c r="C690" s="3">
        <v>2022</v>
      </c>
      <c r="D690" s="4">
        <v>6</v>
      </c>
      <c r="E690" s="5">
        <v>1653.75</v>
      </c>
      <c r="F690" s="5">
        <v>350</v>
      </c>
      <c r="G690" s="3" t="str">
        <f>VLOOKUP(Registros[[#This Row],[Cliente]],Cliente_Region[],2,FALSE)</f>
        <v>Chile</v>
      </c>
      <c r="H690" s="3" t="str">
        <f>VLOOKUP(Registros[[#This Row],[Producto]],Producto[],2,FALSE)</f>
        <v>SALF</v>
      </c>
    </row>
    <row r="691" spans="1:8" ht="20.100000000000001" customHeight="1" x14ac:dyDescent="0.25">
      <c r="A691" s="3" t="s">
        <v>17</v>
      </c>
      <c r="B691" s="3" t="s">
        <v>216</v>
      </c>
      <c r="C691" s="3">
        <v>2022</v>
      </c>
      <c r="D691" s="4">
        <v>1</v>
      </c>
      <c r="E691" s="5">
        <v>2287.5</v>
      </c>
      <c r="F691" s="5">
        <v>620</v>
      </c>
      <c r="G691" s="3" t="str">
        <f>VLOOKUP(Registros[[#This Row],[Cliente]],Cliente_Region[],2,FALSE)</f>
        <v>Chile</v>
      </c>
      <c r="H691" s="3" t="str">
        <f>VLOOKUP(Registros[[#This Row],[Producto]],Producto[],2,FALSE)</f>
        <v>LAX</v>
      </c>
    </row>
    <row r="692" spans="1:8" ht="20.100000000000001" customHeight="1" x14ac:dyDescent="0.25">
      <c r="A692" s="3" t="s">
        <v>18</v>
      </c>
      <c r="B692" s="3" t="s">
        <v>216</v>
      </c>
      <c r="C692" s="3">
        <v>2022</v>
      </c>
      <c r="D692" s="4">
        <v>2</v>
      </c>
      <c r="E692" s="5">
        <v>2082.5</v>
      </c>
      <c r="F692" s="5">
        <v>392.25</v>
      </c>
      <c r="G692" s="3" t="str">
        <f>VLOOKUP(Registros[[#This Row],[Cliente]],Cliente_Region[],2,FALSE)</f>
        <v>Chile</v>
      </c>
      <c r="H692" s="3" t="str">
        <f>VLOOKUP(Registros[[#This Row],[Producto]],Producto[],2,FALSE)</f>
        <v>GAMBO</v>
      </c>
    </row>
    <row r="693" spans="1:8" ht="20.100000000000001" customHeight="1" x14ac:dyDescent="0.25">
      <c r="A693" s="3" t="s">
        <v>18</v>
      </c>
      <c r="B693" s="3" t="s">
        <v>216</v>
      </c>
      <c r="C693" s="3">
        <v>2022</v>
      </c>
      <c r="D693" s="4">
        <v>3</v>
      </c>
      <c r="E693" s="5">
        <v>2545</v>
      </c>
      <c r="F693" s="5">
        <v>496.99</v>
      </c>
      <c r="G693" s="3" t="str">
        <f>VLOOKUP(Registros[[#This Row],[Cliente]],Cliente_Region[],2,FALSE)</f>
        <v>Chile</v>
      </c>
      <c r="H693" s="3" t="str">
        <f>VLOOKUP(Registros[[#This Row],[Producto]],Producto[],2,FALSE)</f>
        <v>GAMBO</v>
      </c>
    </row>
    <row r="694" spans="1:8" ht="20.100000000000001" customHeight="1" x14ac:dyDescent="0.25">
      <c r="A694" s="3" t="s">
        <v>18</v>
      </c>
      <c r="B694" s="3" t="s">
        <v>216</v>
      </c>
      <c r="C694" s="3">
        <v>2022</v>
      </c>
      <c r="D694" s="4">
        <v>4</v>
      </c>
      <c r="E694" s="5">
        <v>2391.5</v>
      </c>
      <c r="F694" s="5">
        <v>531.4</v>
      </c>
      <c r="G694" s="3" t="str">
        <f>VLOOKUP(Registros[[#This Row],[Cliente]],Cliente_Region[],2,FALSE)</f>
        <v>Chile</v>
      </c>
      <c r="H694" s="3" t="str">
        <f>VLOOKUP(Registros[[#This Row],[Producto]],Producto[],2,FALSE)</f>
        <v>GAMBO</v>
      </c>
    </row>
    <row r="695" spans="1:8" ht="20.100000000000001" customHeight="1" x14ac:dyDescent="0.25">
      <c r="A695" s="3" t="s">
        <v>18</v>
      </c>
      <c r="B695" s="3" t="s">
        <v>216</v>
      </c>
      <c r="C695" s="3">
        <v>2022</v>
      </c>
      <c r="D695" s="4">
        <v>5</v>
      </c>
      <c r="E695" s="5">
        <v>1908</v>
      </c>
      <c r="F695" s="5">
        <v>354.51</v>
      </c>
      <c r="G695" s="3" t="str">
        <f>VLOOKUP(Registros[[#This Row],[Cliente]],Cliente_Region[],2,FALSE)</f>
        <v>Chile</v>
      </c>
      <c r="H695" s="3" t="str">
        <f>VLOOKUP(Registros[[#This Row],[Producto]],Producto[],2,FALSE)</f>
        <v>GAMBO</v>
      </c>
    </row>
    <row r="696" spans="1:8" ht="20.100000000000001" customHeight="1" x14ac:dyDescent="0.25">
      <c r="A696" s="3" t="s">
        <v>18</v>
      </c>
      <c r="B696" s="3" t="s">
        <v>216</v>
      </c>
      <c r="C696" s="3">
        <v>2022</v>
      </c>
      <c r="D696" s="4">
        <v>6</v>
      </c>
      <c r="E696" s="5">
        <v>1745</v>
      </c>
      <c r="F696" s="5">
        <v>280.22000000000003</v>
      </c>
      <c r="G696" s="3" t="str">
        <f>VLOOKUP(Registros[[#This Row],[Cliente]],Cliente_Region[],2,FALSE)</f>
        <v>Chile</v>
      </c>
      <c r="H696" s="3" t="str">
        <f>VLOOKUP(Registros[[#This Row],[Producto]],Producto[],2,FALSE)</f>
        <v>GAMBO</v>
      </c>
    </row>
    <row r="697" spans="1:8" ht="20.100000000000001" customHeight="1" x14ac:dyDescent="0.25">
      <c r="A697" s="3" t="s">
        <v>20</v>
      </c>
      <c r="B697" s="3" t="s">
        <v>216</v>
      </c>
      <c r="C697" s="3">
        <v>2022</v>
      </c>
      <c r="D697" s="4">
        <v>2</v>
      </c>
      <c r="E697" s="5">
        <v>75</v>
      </c>
      <c r="F697" s="5">
        <v>23.37</v>
      </c>
      <c r="G697" s="3" t="str">
        <f>VLOOKUP(Registros[[#This Row],[Cliente]],Cliente_Region[],2,FALSE)</f>
        <v>Chile</v>
      </c>
      <c r="H697" s="3" t="str">
        <f>VLOOKUP(Registros[[#This Row],[Producto]],Producto[],2,FALSE)</f>
        <v>CHOTUS</v>
      </c>
    </row>
    <row r="698" spans="1:8" ht="20.100000000000001" customHeight="1" x14ac:dyDescent="0.25">
      <c r="A698" s="3" t="s">
        <v>22</v>
      </c>
      <c r="B698" s="3" t="s">
        <v>216</v>
      </c>
      <c r="C698" s="3">
        <v>2022</v>
      </c>
      <c r="D698" s="4">
        <v>1</v>
      </c>
      <c r="E698" s="5">
        <v>458.25</v>
      </c>
      <c r="F698" s="5">
        <v>244.27</v>
      </c>
      <c r="G698" s="3" t="str">
        <f>VLOOKUP(Registros[[#This Row],[Cliente]],Cliente_Region[],2,FALSE)</f>
        <v>Chile</v>
      </c>
      <c r="H698" s="3" t="str">
        <f>VLOOKUP(Registros[[#This Row],[Producto]],Producto[],2,FALSE)</f>
        <v>DONANY</v>
      </c>
    </row>
    <row r="699" spans="1:8" ht="20.100000000000001" customHeight="1" x14ac:dyDescent="0.25">
      <c r="A699" s="3" t="s">
        <v>23</v>
      </c>
      <c r="B699" s="3" t="s">
        <v>216</v>
      </c>
      <c r="C699" s="3">
        <v>2022</v>
      </c>
      <c r="D699" s="4">
        <v>2</v>
      </c>
      <c r="E699" s="5">
        <v>378</v>
      </c>
      <c r="F699" s="5">
        <v>205.17</v>
      </c>
      <c r="G699" s="3" t="str">
        <f>VLOOKUP(Registros[[#This Row],[Cliente]],Cliente_Region[],2,FALSE)</f>
        <v>Chile</v>
      </c>
      <c r="H699" s="3" t="str">
        <f>VLOOKUP(Registros[[#This Row],[Producto]],Producto[],2,FALSE)</f>
        <v>GAMBO</v>
      </c>
    </row>
    <row r="700" spans="1:8" ht="20.100000000000001" customHeight="1" x14ac:dyDescent="0.25">
      <c r="A700" s="3" t="s">
        <v>23</v>
      </c>
      <c r="B700" s="3" t="s">
        <v>216</v>
      </c>
      <c r="C700" s="3">
        <v>2022</v>
      </c>
      <c r="D700" s="4">
        <v>3</v>
      </c>
      <c r="E700" s="5">
        <v>774</v>
      </c>
      <c r="F700" s="5">
        <v>420.11</v>
      </c>
      <c r="G700" s="3" t="str">
        <f>VLOOKUP(Registros[[#This Row],[Cliente]],Cliente_Region[],2,FALSE)</f>
        <v>Chile</v>
      </c>
      <c r="H700" s="3" t="str">
        <f>VLOOKUP(Registros[[#This Row],[Producto]],Producto[],2,FALSE)</f>
        <v>GAMBO</v>
      </c>
    </row>
    <row r="701" spans="1:8" ht="20.100000000000001" customHeight="1" x14ac:dyDescent="0.25">
      <c r="A701" s="3" t="s">
        <v>23</v>
      </c>
      <c r="B701" s="3" t="s">
        <v>216</v>
      </c>
      <c r="C701" s="3">
        <v>2022</v>
      </c>
      <c r="D701" s="4">
        <v>4</v>
      </c>
      <c r="E701" s="5">
        <v>518</v>
      </c>
      <c r="F701" s="5">
        <v>279.33</v>
      </c>
      <c r="G701" s="3" t="str">
        <f>VLOOKUP(Registros[[#This Row],[Cliente]],Cliente_Region[],2,FALSE)</f>
        <v>Chile</v>
      </c>
      <c r="H701" s="3" t="str">
        <f>VLOOKUP(Registros[[#This Row],[Producto]],Producto[],2,FALSE)</f>
        <v>GAMBO</v>
      </c>
    </row>
    <row r="702" spans="1:8" ht="20.100000000000001" customHeight="1" x14ac:dyDescent="0.25">
      <c r="A702" s="3" t="s">
        <v>23</v>
      </c>
      <c r="B702" s="3" t="s">
        <v>216</v>
      </c>
      <c r="C702" s="3">
        <v>2022</v>
      </c>
      <c r="D702" s="4">
        <v>5</v>
      </c>
      <c r="E702" s="5">
        <v>630</v>
      </c>
      <c r="F702" s="5">
        <v>341.95</v>
      </c>
      <c r="G702" s="3" t="str">
        <f>VLOOKUP(Registros[[#This Row],[Cliente]],Cliente_Region[],2,FALSE)</f>
        <v>Chile</v>
      </c>
      <c r="H702" s="3" t="str">
        <f>VLOOKUP(Registros[[#This Row],[Producto]],Producto[],2,FALSE)</f>
        <v>GAMBO</v>
      </c>
    </row>
    <row r="703" spans="1:8" ht="20.100000000000001" customHeight="1" x14ac:dyDescent="0.25">
      <c r="A703" s="3" t="s">
        <v>23</v>
      </c>
      <c r="B703" s="3" t="s">
        <v>216</v>
      </c>
      <c r="C703" s="3">
        <v>2022</v>
      </c>
      <c r="D703" s="4">
        <v>6</v>
      </c>
      <c r="E703" s="5">
        <v>573.5</v>
      </c>
      <c r="F703" s="5">
        <v>310.14</v>
      </c>
      <c r="G703" s="3" t="str">
        <f>VLOOKUP(Registros[[#This Row],[Cliente]],Cliente_Region[],2,FALSE)</f>
        <v>Chile</v>
      </c>
      <c r="H703" s="3" t="str">
        <f>VLOOKUP(Registros[[#This Row],[Producto]],Producto[],2,FALSE)</f>
        <v>GAMBO</v>
      </c>
    </row>
    <row r="704" spans="1:8" ht="20.100000000000001" customHeight="1" x14ac:dyDescent="0.25">
      <c r="A704" s="3" t="s">
        <v>28</v>
      </c>
      <c r="B704" s="3" t="s">
        <v>216</v>
      </c>
      <c r="C704" s="3">
        <v>2022</v>
      </c>
      <c r="D704" s="4">
        <v>2</v>
      </c>
      <c r="E704" s="5">
        <v>117</v>
      </c>
      <c r="F704" s="5">
        <v>34.590000000000003</v>
      </c>
      <c r="G704" s="3" t="str">
        <f>VLOOKUP(Registros[[#This Row],[Cliente]],Cliente_Region[],2,FALSE)</f>
        <v>Chile</v>
      </c>
      <c r="H704" s="3" t="str">
        <f>VLOOKUP(Registros[[#This Row],[Producto]],Producto[],2,FALSE)</f>
        <v>SALF</v>
      </c>
    </row>
    <row r="705" spans="1:8" ht="20.100000000000001" customHeight="1" x14ac:dyDescent="0.25">
      <c r="A705" s="3" t="s">
        <v>32</v>
      </c>
      <c r="B705" s="3" t="s">
        <v>216</v>
      </c>
      <c r="C705" s="3">
        <v>2022</v>
      </c>
      <c r="D705" s="4">
        <v>2</v>
      </c>
      <c r="E705" s="5">
        <v>43.5</v>
      </c>
      <c r="F705" s="5">
        <v>14.56</v>
      </c>
      <c r="G705" s="3" t="str">
        <f>VLOOKUP(Registros[[#This Row],[Cliente]],Cliente_Region[],2,FALSE)</f>
        <v>Chile</v>
      </c>
      <c r="H705" s="3" t="str">
        <f>VLOOKUP(Registros[[#This Row],[Producto]],Producto[],2,FALSE)</f>
        <v>GAMBO</v>
      </c>
    </row>
    <row r="706" spans="1:8" ht="20.100000000000001" customHeight="1" x14ac:dyDescent="0.25">
      <c r="A706" s="3" t="s">
        <v>48</v>
      </c>
      <c r="B706" s="3" t="s">
        <v>216</v>
      </c>
      <c r="C706" s="3">
        <v>2022</v>
      </c>
      <c r="D706" s="4">
        <v>1</v>
      </c>
      <c r="E706" s="5">
        <v>316.5</v>
      </c>
      <c r="F706" s="5">
        <v>205.56</v>
      </c>
      <c r="G706" s="3" t="str">
        <f>VLOOKUP(Registros[[#This Row],[Cliente]],Cliente_Region[],2,FALSE)</f>
        <v>Chile</v>
      </c>
      <c r="H706" s="3" t="str">
        <f>VLOOKUP(Registros[[#This Row],[Producto]],Producto[],2,FALSE)</f>
        <v>GAMBO</v>
      </c>
    </row>
    <row r="707" spans="1:8" ht="20.100000000000001" customHeight="1" x14ac:dyDescent="0.25">
      <c r="A707" s="3" t="s">
        <v>49</v>
      </c>
      <c r="B707" s="3" t="s">
        <v>216</v>
      </c>
      <c r="C707" s="3">
        <v>2022</v>
      </c>
      <c r="D707" s="4">
        <v>2</v>
      </c>
      <c r="E707" s="5">
        <v>334.75</v>
      </c>
      <c r="F707" s="5">
        <v>210.77</v>
      </c>
      <c r="G707" s="3" t="str">
        <f>VLOOKUP(Registros[[#This Row],[Cliente]],Cliente_Region[],2,FALSE)</f>
        <v>Chile</v>
      </c>
      <c r="H707" s="3" t="str">
        <f>VLOOKUP(Registros[[#This Row],[Producto]],Producto[],2,FALSE)</f>
        <v>CHOTUS</v>
      </c>
    </row>
    <row r="708" spans="1:8" ht="20.100000000000001" customHeight="1" x14ac:dyDescent="0.25">
      <c r="A708" s="3" t="s">
        <v>49</v>
      </c>
      <c r="B708" s="3" t="s">
        <v>216</v>
      </c>
      <c r="C708" s="3">
        <v>2022</v>
      </c>
      <c r="D708" s="4">
        <v>3</v>
      </c>
      <c r="E708" s="5">
        <v>459</v>
      </c>
      <c r="F708" s="5">
        <v>289.35000000000002</v>
      </c>
      <c r="G708" s="3" t="str">
        <f>VLOOKUP(Registros[[#This Row],[Cliente]],Cliente_Region[],2,FALSE)</f>
        <v>Chile</v>
      </c>
      <c r="H708" s="3" t="str">
        <f>VLOOKUP(Registros[[#This Row],[Producto]],Producto[],2,FALSE)</f>
        <v>CHOTUS</v>
      </c>
    </row>
    <row r="709" spans="1:8" ht="20.100000000000001" customHeight="1" x14ac:dyDescent="0.25">
      <c r="A709" s="3" t="s">
        <v>49</v>
      </c>
      <c r="B709" s="3" t="s">
        <v>216</v>
      </c>
      <c r="C709" s="3">
        <v>2022</v>
      </c>
      <c r="D709" s="4">
        <v>4</v>
      </c>
      <c r="E709" s="5">
        <v>764.75</v>
      </c>
      <c r="F709" s="5">
        <v>477.64</v>
      </c>
      <c r="G709" s="3" t="str">
        <f>VLOOKUP(Registros[[#This Row],[Cliente]],Cliente_Region[],2,FALSE)</f>
        <v>Chile</v>
      </c>
      <c r="H709" s="3" t="str">
        <f>VLOOKUP(Registros[[#This Row],[Producto]],Producto[],2,FALSE)</f>
        <v>CHOTUS</v>
      </c>
    </row>
    <row r="710" spans="1:8" ht="20.100000000000001" customHeight="1" x14ac:dyDescent="0.25">
      <c r="A710" s="3" t="s">
        <v>49</v>
      </c>
      <c r="B710" s="3" t="s">
        <v>216</v>
      </c>
      <c r="C710" s="3">
        <v>2022</v>
      </c>
      <c r="D710" s="4">
        <v>5</v>
      </c>
      <c r="E710" s="5">
        <v>319.5</v>
      </c>
      <c r="F710" s="5">
        <v>202.04</v>
      </c>
      <c r="G710" s="3" t="str">
        <f>VLOOKUP(Registros[[#This Row],[Cliente]],Cliente_Region[],2,FALSE)</f>
        <v>Chile</v>
      </c>
      <c r="H710" s="3" t="str">
        <f>VLOOKUP(Registros[[#This Row],[Producto]],Producto[],2,FALSE)</f>
        <v>CHOTUS</v>
      </c>
    </row>
    <row r="711" spans="1:8" ht="20.100000000000001" customHeight="1" x14ac:dyDescent="0.25">
      <c r="A711" s="3" t="s">
        <v>49</v>
      </c>
      <c r="B711" s="3" t="s">
        <v>216</v>
      </c>
      <c r="C711" s="3">
        <v>2022</v>
      </c>
      <c r="D711" s="4">
        <v>6</v>
      </c>
      <c r="E711" s="5">
        <v>337.25</v>
      </c>
      <c r="F711" s="5">
        <v>213.27</v>
      </c>
      <c r="G711" s="3" t="str">
        <f>VLOOKUP(Registros[[#This Row],[Cliente]],Cliente_Region[],2,FALSE)</f>
        <v>Chile</v>
      </c>
      <c r="H711" s="3" t="str">
        <f>VLOOKUP(Registros[[#This Row],[Producto]],Producto[],2,FALSE)</f>
        <v>CHOTUS</v>
      </c>
    </row>
    <row r="712" spans="1:8" ht="20.100000000000001" customHeight="1" x14ac:dyDescent="0.25">
      <c r="A712" s="3" t="s">
        <v>217</v>
      </c>
      <c r="B712" s="3" t="s">
        <v>216</v>
      </c>
      <c r="C712" s="3">
        <v>2022</v>
      </c>
      <c r="D712" s="4">
        <v>1</v>
      </c>
      <c r="E712" s="5">
        <v>75</v>
      </c>
      <c r="F712" s="5">
        <v>46.96</v>
      </c>
      <c r="G712" s="3" t="str">
        <f>VLOOKUP(Registros[[#This Row],[Cliente]],Cliente_Region[],2,FALSE)</f>
        <v>Chile</v>
      </c>
      <c r="H712" s="3" t="str">
        <f>VLOOKUP(Registros[[#This Row],[Producto]],Producto[],2,FALSE)</f>
        <v>GAMBO</v>
      </c>
    </row>
    <row r="713" spans="1:8" ht="20.100000000000001" customHeight="1" x14ac:dyDescent="0.25">
      <c r="A713" s="3" t="s">
        <v>218</v>
      </c>
      <c r="B713" s="3" t="s">
        <v>216</v>
      </c>
      <c r="C713" s="3">
        <v>2022</v>
      </c>
      <c r="D713" s="4">
        <v>2</v>
      </c>
      <c r="E713" s="5">
        <v>75</v>
      </c>
      <c r="F713" s="5">
        <v>46.96</v>
      </c>
      <c r="G713" s="3" t="str">
        <f>VLOOKUP(Registros[[#This Row],[Cliente]],Cliente_Region[],2,FALSE)</f>
        <v>Chile</v>
      </c>
      <c r="H713" s="3" t="str">
        <f>VLOOKUP(Registros[[#This Row],[Producto]],Producto[],2,FALSE)</f>
        <v>DONANY</v>
      </c>
    </row>
    <row r="714" spans="1:8" ht="20.100000000000001" customHeight="1" x14ac:dyDescent="0.25">
      <c r="A714" s="3" t="s">
        <v>114</v>
      </c>
      <c r="B714" s="3" t="s">
        <v>216</v>
      </c>
      <c r="C714" s="3">
        <v>2022</v>
      </c>
      <c r="D714" s="4">
        <v>1</v>
      </c>
      <c r="E714" s="5">
        <v>250</v>
      </c>
      <c r="F714" s="5">
        <v>149.59</v>
      </c>
      <c r="G714" s="3" t="str">
        <f>VLOOKUP(Registros[[#This Row],[Cliente]],Cliente_Region[],2,FALSE)</f>
        <v>Chile</v>
      </c>
      <c r="H714" s="3" t="str">
        <f>VLOOKUP(Registros[[#This Row],[Producto]],Producto[],2,FALSE)</f>
        <v>DAWNE</v>
      </c>
    </row>
    <row r="715" spans="1:8" ht="20.100000000000001" customHeight="1" x14ac:dyDescent="0.25">
      <c r="A715" s="3" t="s">
        <v>115</v>
      </c>
      <c r="B715" s="3" t="s">
        <v>216</v>
      </c>
      <c r="C715" s="3">
        <v>2022</v>
      </c>
      <c r="D715" s="4">
        <v>3</v>
      </c>
      <c r="E715" s="5">
        <v>250</v>
      </c>
      <c r="F715" s="5">
        <v>139.44999999999999</v>
      </c>
      <c r="G715" s="3" t="str">
        <f>VLOOKUP(Registros[[#This Row],[Cliente]],Cliente_Region[],2,FALSE)</f>
        <v>Chile</v>
      </c>
      <c r="H715" s="3" t="str">
        <f>VLOOKUP(Registros[[#This Row],[Producto]],Producto[],2,FALSE)</f>
        <v>GAMBO</v>
      </c>
    </row>
    <row r="716" spans="1:8" ht="20.100000000000001" customHeight="1" x14ac:dyDescent="0.25">
      <c r="A716" s="3" t="s">
        <v>115</v>
      </c>
      <c r="B716" s="3" t="s">
        <v>216</v>
      </c>
      <c r="C716" s="3">
        <v>2022</v>
      </c>
      <c r="D716" s="4">
        <v>4</v>
      </c>
      <c r="E716" s="5">
        <v>250</v>
      </c>
      <c r="F716" s="5">
        <v>139.44999999999999</v>
      </c>
      <c r="G716" s="3" t="str">
        <f>VLOOKUP(Registros[[#This Row],[Cliente]],Cliente_Region[],2,FALSE)</f>
        <v>Chile</v>
      </c>
      <c r="H716" s="3" t="str">
        <f>VLOOKUP(Registros[[#This Row],[Producto]],Producto[],2,FALSE)</f>
        <v>GAMBO</v>
      </c>
    </row>
    <row r="717" spans="1:8" ht="20.100000000000001" customHeight="1" x14ac:dyDescent="0.25">
      <c r="A717" s="3" t="s">
        <v>116</v>
      </c>
      <c r="B717" s="3" t="s">
        <v>216</v>
      </c>
      <c r="C717" s="3">
        <v>2022</v>
      </c>
      <c r="D717" s="4">
        <v>3</v>
      </c>
      <c r="E717" s="5">
        <v>49</v>
      </c>
      <c r="F717" s="5">
        <v>19.170000000000002</v>
      </c>
      <c r="G717" s="3" t="str">
        <f>VLOOKUP(Registros[[#This Row],[Cliente]],Cliente_Region[],2,FALSE)</f>
        <v>Chile</v>
      </c>
      <c r="H717" s="3" t="str">
        <f>VLOOKUP(Registros[[#This Row],[Producto]],Producto[],2,FALSE)</f>
        <v>QUOKAR</v>
      </c>
    </row>
    <row r="718" spans="1:8" ht="20.100000000000001" customHeight="1" x14ac:dyDescent="0.25">
      <c r="A718" s="3" t="s">
        <v>117</v>
      </c>
      <c r="B718" s="3" t="s">
        <v>216</v>
      </c>
      <c r="C718" s="3">
        <v>2022</v>
      </c>
      <c r="D718" s="4">
        <v>5</v>
      </c>
      <c r="E718" s="5">
        <v>73.5</v>
      </c>
      <c r="F718" s="5">
        <v>28.75</v>
      </c>
      <c r="G718" s="3" t="str">
        <f>VLOOKUP(Registros[[#This Row],[Cliente]],Cliente_Region[],2,FALSE)</f>
        <v>Chile</v>
      </c>
      <c r="H718" s="3" t="str">
        <f>VLOOKUP(Registros[[#This Row],[Producto]],Producto[],2,FALSE)</f>
        <v>CHOTUS</v>
      </c>
    </row>
    <row r="719" spans="1:8" ht="20.100000000000001" customHeight="1" x14ac:dyDescent="0.25">
      <c r="A719" s="3" t="s">
        <v>120</v>
      </c>
      <c r="B719" s="3" t="s">
        <v>216</v>
      </c>
      <c r="C719" s="3">
        <v>2022</v>
      </c>
      <c r="D719" s="4">
        <v>1</v>
      </c>
      <c r="E719" s="5">
        <v>168</v>
      </c>
      <c r="F719" s="5">
        <v>93.98</v>
      </c>
      <c r="G719" s="3" t="str">
        <f>VLOOKUP(Registros[[#This Row],[Cliente]],Cliente_Region[],2,FALSE)</f>
        <v>Chile</v>
      </c>
      <c r="H719" s="3" t="str">
        <f>VLOOKUP(Registros[[#This Row],[Producto]],Producto[],2,FALSE)</f>
        <v>LAX</v>
      </c>
    </row>
    <row r="720" spans="1:8" ht="20.100000000000001" customHeight="1" x14ac:dyDescent="0.25">
      <c r="A720" s="3" t="s">
        <v>121</v>
      </c>
      <c r="B720" s="3" t="s">
        <v>216</v>
      </c>
      <c r="C720" s="3">
        <v>2022</v>
      </c>
      <c r="D720" s="4">
        <v>2</v>
      </c>
      <c r="E720" s="5">
        <v>45</v>
      </c>
      <c r="F720" s="5">
        <v>26.48</v>
      </c>
      <c r="G720" s="3" t="str">
        <f>VLOOKUP(Registros[[#This Row],[Cliente]],Cliente_Region[],2,FALSE)</f>
        <v>Chile</v>
      </c>
      <c r="H720" s="3" t="str">
        <f>VLOOKUP(Registros[[#This Row],[Producto]],Producto[],2,FALSE)</f>
        <v>LAX</v>
      </c>
    </row>
    <row r="721" spans="1:8" ht="20.100000000000001" customHeight="1" x14ac:dyDescent="0.25">
      <c r="A721" s="3" t="s">
        <v>121</v>
      </c>
      <c r="B721" s="3" t="s">
        <v>216</v>
      </c>
      <c r="C721" s="3">
        <v>2022</v>
      </c>
      <c r="D721" s="4">
        <v>3</v>
      </c>
      <c r="E721" s="5">
        <v>157.5</v>
      </c>
      <c r="F721" s="5">
        <v>72.41</v>
      </c>
      <c r="G721" s="3" t="str">
        <f>VLOOKUP(Registros[[#This Row],[Cliente]],Cliente_Region[],2,FALSE)</f>
        <v>Chile</v>
      </c>
      <c r="H721" s="3" t="str">
        <f>VLOOKUP(Registros[[#This Row],[Producto]],Producto[],2,FALSE)</f>
        <v>LAX</v>
      </c>
    </row>
    <row r="722" spans="1:8" ht="20.100000000000001" customHeight="1" x14ac:dyDescent="0.25">
      <c r="A722" s="3" t="s">
        <v>74</v>
      </c>
      <c r="B722" s="3" t="s">
        <v>216</v>
      </c>
      <c r="C722" s="3">
        <v>2022</v>
      </c>
      <c r="D722" s="4">
        <v>5</v>
      </c>
      <c r="E722" s="5">
        <v>487.5</v>
      </c>
      <c r="F722" s="5">
        <v>447.75</v>
      </c>
      <c r="G722" s="3" t="str">
        <f>VLOOKUP(Registros[[#This Row],[Cliente]],Cliente_Region[],2,FALSE)</f>
        <v>Chile</v>
      </c>
      <c r="H722" s="3" t="str">
        <f>VLOOKUP(Registros[[#This Row],[Producto]],Producto[],2,FALSE)</f>
        <v>CHOTUS</v>
      </c>
    </row>
    <row r="723" spans="1:8" ht="20.100000000000001" customHeight="1" x14ac:dyDescent="0.25">
      <c r="A723" s="3" t="s">
        <v>62</v>
      </c>
      <c r="B723" s="3" t="s">
        <v>216</v>
      </c>
      <c r="C723" s="3">
        <v>2022</v>
      </c>
      <c r="D723" s="4">
        <v>1</v>
      </c>
      <c r="E723" s="5">
        <v>222</v>
      </c>
      <c r="F723" s="5">
        <v>59.24</v>
      </c>
      <c r="G723" s="3" t="str">
        <f>VLOOKUP(Registros[[#This Row],[Cliente]],Cliente_Region[],2,FALSE)</f>
        <v>Chile</v>
      </c>
      <c r="H723" s="3" t="str">
        <f>VLOOKUP(Registros[[#This Row],[Producto]],Producto[],2,FALSE)</f>
        <v>MOC</v>
      </c>
    </row>
    <row r="724" spans="1:8" ht="20.100000000000001" customHeight="1" x14ac:dyDescent="0.25">
      <c r="A724" s="3" t="s">
        <v>63</v>
      </c>
      <c r="B724" s="3" t="s">
        <v>216</v>
      </c>
      <c r="C724" s="3">
        <v>2022</v>
      </c>
      <c r="D724" s="4">
        <v>5</v>
      </c>
      <c r="E724" s="5">
        <v>190</v>
      </c>
      <c r="F724" s="5">
        <v>82.21</v>
      </c>
      <c r="G724" s="3" t="str">
        <f>VLOOKUP(Registros[[#This Row],[Cliente]],Cliente_Region[],2,FALSE)</f>
        <v>Chile</v>
      </c>
      <c r="H724" s="3" t="str">
        <f>VLOOKUP(Registros[[#This Row],[Producto]],Producto[],2,FALSE)</f>
        <v>SALF</v>
      </c>
    </row>
    <row r="725" spans="1:8" ht="20.100000000000001" customHeight="1" x14ac:dyDescent="0.25">
      <c r="A725" s="3" t="s">
        <v>133</v>
      </c>
      <c r="B725" s="3" t="s">
        <v>219</v>
      </c>
      <c r="C725" s="3">
        <v>2022</v>
      </c>
      <c r="D725" s="4">
        <v>1</v>
      </c>
      <c r="E725" s="5">
        <v>1742</v>
      </c>
      <c r="F725" s="5">
        <v>591.27</v>
      </c>
      <c r="G725" s="3" t="str">
        <f>VLOOKUP(Registros[[#This Row],[Cliente]],Cliente_Region[],2,FALSE)</f>
        <v>Peru</v>
      </c>
      <c r="H725" s="3" t="str">
        <f>VLOOKUP(Registros[[#This Row],[Producto]],Producto[],2,FALSE)</f>
        <v>QUOKAR</v>
      </c>
    </row>
    <row r="726" spans="1:8" ht="20.100000000000001" customHeight="1" x14ac:dyDescent="0.25">
      <c r="A726" s="3" t="s">
        <v>134</v>
      </c>
      <c r="B726" s="3" t="s">
        <v>219</v>
      </c>
      <c r="C726" s="3">
        <v>2022</v>
      </c>
      <c r="D726" s="4">
        <v>2</v>
      </c>
      <c r="E726" s="5">
        <v>884</v>
      </c>
      <c r="F726" s="5">
        <v>291.58999999999997</v>
      </c>
      <c r="G726" s="3" t="str">
        <f>VLOOKUP(Registros[[#This Row],[Cliente]],Cliente_Region[],2,FALSE)</f>
        <v>Peru</v>
      </c>
      <c r="H726" s="3" t="str">
        <f>VLOOKUP(Registros[[#This Row],[Producto]],Producto[],2,FALSE)</f>
        <v>QUOKAR</v>
      </c>
    </row>
    <row r="727" spans="1:8" ht="20.100000000000001" customHeight="1" x14ac:dyDescent="0.25">
      <c r="A727" s="3" t="s">
        <v>134</v>
      </c>
      <c r="B727" s="3" t="s">
        <v>219</v>
      </c>
      <c r="C727" s="3">
        <v>2022</v>
      </c>
      <c r="D727" s="4">
        <v>3</v>
      </c>
      <c r="E727" s="5">
        <v>1118</v>
      </c>
      <c r="F727" s="5">
        <v>365.97</v>
      </c>
      <c r="G727" s="3" t="str">
        <f>VLOOKUP(Registros[[#This Row],[Cliente]],Cliente_Region[],2,FALSE)</f>
        <v>Peru</v>
      </c>
      <c r="H727" s="3" t="str">
        <f>VLOOKUP(Registros[[#This Row],[Producto]],Producto[],2,FALSE)</f>
        <v>QUOKAR</v>
      </c>
    </row>
    <row r="728" spans="1:8" ht="20.100000000000001" customHeight="1" x14ac:dyDescent="0.25">
      <c r="A728" s="3" t="s">
        <v>134</v>
      </c>
      <c r="B728" s="3" t="s">
        <v>219</v>
      </c>
      <c r="C728" s="3">
        <v>2022</v>
      </c>
      <c r="D728" s="4">
        <v>4</v>
      </c>
      <c r="E728" s="5">
        <v>1248</v>
      </c>
      <c r="F728" s="5">
        <v>411.45</v>
      </c>
      <c r="G728" s="3" t="str">
        <f>VLOOKUP(Registros[[#This Row],[Cliente]],Cliente_Region[],2,FALSE)</f>
        <v>Peru</v>
      </c>
      <c r="H728" s="3" t="str">
        <f>VLOOKUP(Registros[[#This Row],[Producto]],Producto[],2,FALSE)</f>
        <v>QUOKAR</v>
      </c>
    </row>
    <row r="729" spans="1:8" ht="20.100000000000001" customHeight="1" x14ac:dyDescent="0.25">
      <c r="A729" s="3" t="s">
        <v>134</v>
      </c>
      <c r="B729" s="3" t="s">
        <v>219</v>
      </c>
      <c r="C729" s="3">
        <v>2022</v>
      </c>
      <c r="D729" s="4">
        <v>5</v>
      </c>
      <c r="E729" s="5">
        <v>1378</v>
      </c>
      <c r="F729" s="5">
        <v>453.72</v>
      </c>
      <c r="G729" s="3" t="str">
        <f>VLOOKUP(Registros[[#This Row],[Cliente]],Cliente_Region[],2,FALSE)</f>
        <v>Peru</v>
      </c>
      <c r="H729" s="3" t="str">
        <f>VLOOKUP(Registros[[#This Row],[Producto]],Producto[],2,FALSE)</f>
        <v>QUOKAR</v>
      </c>
    </row>
    <row r="730" spans="1:8" ht="20.100000000000001" customHeight="1" x14ac:dyDescent="0.25">
      <c r="A730" s="3" t="s">
        <v>134</v>
      </c>
      <c r="B730" s="3" t="s">
        <v>219</v>
      </c>
      <c r="C730" s="3">
        <v>2022</v>
      </c>
      <c r="D730" s="4">
        <v>6</v>
      </c>
      <c r="E730" s="5">
        <v>1248</v>
      </c>
      <c r="F730" s="5">
        <v>409.97</v>
      </c>
      <c r="G730" s="3" t="str">
        <f>VLOOKUP(Registros[[#This Row],[Cliente]],Cliente_Region[],2,FALSE)</f>
        <v>Peru</v>
      </c>
      <c r="H730" s="3" t="str">
        <f>VLOOKUP(Registros[[#This Row],[Producto]],Producto[],2,FALSE)</f>
        <v>QUOKAR</v>
      </c>
    </row>
    <row r="731" spans="1:8" ht="20.100000000000001" customHeight="1" x14ac:dyDescent="0.25">
      <c r="A731" s="3" t="s">
        <v>24</v>
      </c>
      <c r="B731" s="3" t="s">
        <v>219</v>
      </c>
      <c r="C731" s="3">
        <v>2022</v>
      </c>
      <c r="D731" s="4">
        <v>5</v>
      </c>
      <c r="E731" s="5">
        <v>167.97</v>
      </c>
      <c r="F731" s="5">
        <v>67.709999999999994</v>
      </c>
      <c r="G731" s="3" t="str">
        <f>VLOOKUP(Registros[[#This Row],[Cliente]],Cliente_Region[],2,FALSE)</f>
        <v>Peru</v>
      </c>
      <c r="H731" s="3" t="str">
        <f>VLOOKUP(Registros[[#This Row],[Producto]],Producto[],2,FALSE)</f>
        <v>GAMBO</v>
      </c>
    </row>
    <row r="732" spans="1:8" ht="20.100000000000001" customHeight="1" x14ac:dyDescent="0.25">
      <c r="A732" s="3" t="s">
        <v>220</v>
      </c>
      <c r="B732" s="3" t="s">
        <v>219</v>
      </c>
      <c r="C732" s="3">
        <v>2022</v>
      </c>
      <c r="D732" s="4">
        <v>1</v>
      </c>
      <c r="E732" s="5">
        <v>768.4</v>
      </c>
      <c r="F732" s="5">
        <v>303.54000000000002</v>
      </c>
      <c r="G732" s="3" t="str">
        <f>VLOOKUP(Registros[[#This Row],[Cliente]],Cliente_Region[],2,FALSE)</f>
        <v>Peru</v>
      </c>
      <c r="H732" s="3" t="str">
        <f>VLOOKUP(Registros[[#This Row],[Producto]],Producto[],2,FALSE)</f>
        <v>GAMBO</v>
      </c>
    </row>
    <row r="733" spans="1:8" ht="20.100000000000001" customHeight="1" x14ac:dyDescent="0.25">
      <c r="A733" s="3" t="s">
        <v>221</v>
      </c>
      <c r="B733" s="3" t="s">
        <v>219</v>
      </c>
      <c r="C733" s="3">
        <v>2022</v>
      </c>
      <c r="D733" s="4">
        <v>2</v>
      </c>
      <c r="E733" s="5">
        <v>392.7</v>
      </c>
      <c r="F733" s="5">
        <v>169.31</v>
      </c>
      <c r="G733" s="3" t="str">
        <f>VLOOKUP(Registros[[#This Row],[Cliente]],Cliente_Region[],2,FALSE)</f>
        <v>Peru</v>
      </c>
      <c r="H733" s="3" t="str">
        <f>VLOOKUP(Registros[[#This Row],[Producto]],Producto[],2,FALSE)</f>
        <v>DONANY</v>
      </c>
    </row>
    <row r="734" spans="1:8" ht="20.100000000000001" customHeight="1" x14ac:dyDescent="0.25">
      <c r="A734" s="3" t="s">
        <v>221</v>
      </c>
      <c r="B734" s="3" t="s">
        <v>219</v>
      </c>
      <c r="C734" s="3">
        <v>2022</v>
      </c>
      <c r="D734" s="4">
        <v>3</v>
      </c>
      <c r="E734" s="5">
        <v>482</v>
      </c>
      <c r="F734" s="5">
        <v>156.53</v>
      </c>
      <c r="G734" s="3" t="str">
        <f>VLOOKUP(Registros[[#This Row],[Cliente]],Cliente_Region[],2,FALSE)</f>
        <v>Peru</v>
      </c>
      <c r="H734" s="3" t="str">
        <f>VLOOKUP(Registros[[#This Row],[Producto]],Producto[],2,FALSE)</f>
        <v>DONANY</v>
      </c>
    </row>
    <row r="735" spans="1:8" ht="20.100000000000001" customHeight="1" x14ac:dyDescent="0.25">
      <c r="A735" s="3" t="s">
        <v>221</v>
      </c>
      <c r="B735" s="3" t="s">
        <v>219</v>
      </c>
      <c r="C735" s="3">
        <v>2022</v>
      </c>
      <c r="D735" s="4">
        <v>4</v>
      </c>
      <c r="E735" s="5">
        <v>840</v>
      </c>
      <c r="F735" s="5">
        <v>347.46</v>
      </c>
      <c r="G735" s="3" t="str">
        <f>VLOOKUP(Registros[[#This Row],[Cliente]],Cliente_Region[],2,FALSE)</f>
        <v>Peru</v>
      </c>
      <c r="H735" s="3" t="str">
        <f>VLOOKUP(Registros[[#This Row],[Producto]],Producto[],2,FALSE)</f>
        <v>DONANY</v>
      </c>
    </row>
    <row r="736" spans="1:8" ht="20.100000000000001" customHeight="1" x14ac:dyDescent="0.25">
      <c r="A736" s="3" t="s">
        <v>221</v>
      </c>
      <c r="B736" s="3" t="s">
        <v>219</v>
      </c>
      <c r="C736" s="3">
        <v>2022</v>
      </c>
      <c r="D736" s="4">
        <v>5</v>
      </c>
      <c r="E736" s="5">
        <v>616</v>
      </c>
      <c r="F736" s="5">
        <v>252.01</v>
      </c>
      <c r="G736" s="3" t="str">
        <f>VLOOKUP(Registros[[#This Row],[Cliente]],Cliente_Region[],2,FALSE)</f>
        <v>Peru</v>
      </c>
      <c r="H736" s="3" t="str">
        <f>VLOOKUP(Registros[[#This Row],[Producto]],Producto[],2,FALSE)</f>
        <v>DONANY</v>
      </c>
    </row>
    <row r="737" spans="1:8" ht="20.100000000000001" customHeight="1" x14ac:dyDescent="0.25">
      <c r="A737" s="3" t="s">
        <v>221</v>
      </c>
      <c r="B737" s="3" t="s">
        <v>219</v>
      </c>
      <c r="C737" s="3">
        <v>2022</v>
      </c>
      <c r="D737" s="4">
        <v>6</v>
      </c>
      <c r="E737" s="5">
        <v>616</v>
      </c>
      <c r="F737" s="5">
        <v>250.01</v>
      </c>
      <c r="G737" s="3" t="str">
        <f>VLOOKUP(Registros[[#This Row],[Cliente]],Cliente_Region[],2,FALSE)</f>
        <v>Peru</v>
      </c>
      <c r="H737" s="3" t="str">
        <f>VLOOKUP(Registros[[#This Row],[Producto]],Producto[],2,FALSE)</f>
        <v>DONANY</v>
      </c>
    </row>
    <row r="738" spans="1:8" ht="20.100000000000001" customHeight="1" x14ac:dyDescent="0.25">
      <c r="A738" s="3" t="s">
        <v>28</v>
      </c>
      <c r="B738" s="3" t="s">
        <v>219</v>
      </c>
      <c r="C738" s="3">
        <v>2022</v>
      </c>
      <c r="D738" s="4">
        <v>1</v>
      </c>
      <c r="E738" s="5">
        <v>1487.5</v>
      </c>
      <c r="F738" s="5">
        <v>526.1</v>
      </c>
      <c r="G738" s="3" t="str">
        <f>VLOOKUP(Registros[[#This Row],[Cliente]],Cliente_Region[],2,FALSE)</f>
        <v>Peru</v>
      </c>
      <c r="H738" s="3" t="str">
        <f>VLOOKUP(Registros[[#This Row],[Producto]],Producto[],2,FALSE)</f>
        <v>SALF</v>
      </c>
    </row>
    <row r="739" spans="1:8" ht="20.100000000000001" customHeight="1" x14ac:dyDescent="0.25">
      <c r="A739" s="3" t="s">
        <v>29</v>
      </c>
      <c r="B739" s="3" t="s">
        <v>219</v>
      </c>
      <c r="C739" s="3">
        <v>2022</v>
      </c>
      <c r="D739" s="4">
        <v>2</v>
      </c>
      <c r="E739" s="5">
        <v>892.5</v>
      </c>
      <c r="F739" s="5">
        <v>305.94</v>
      </c>
      <c r="G739" s="3" t="str">
        <f>VLOOKUP(Registros[[#This Row],[Cliente]],Cliente_Region[],2,FALSE)</f>
        <v>Peru</v>
      </c>
      <c r="H739" s="3" t="str">
        <f>VLOOKUP(Registros[[#This Row],[Producto]],Producto[],2,FALSE)</f>
        <v>LAX</v>
      </c>
    </row>
    <row r="740" spans="1:8" ht="20.100000000000001" customHeight="1" x14ac:dyDescent="0.25">
      <c r="A740" s="3" t="s">
        <v>29</v>
      </c>
      <c r="B740" s="3" t="s">
        <v>219</v>
      </c>
      <c r="C740" s="3">
        <v>2022</v>
      </c>
      <c r="D740" s="4">
        <v>3</v>
      </c>
      <c r="E740" s="5">
        <v>765</v>
      </c>
      <c r="F740" s="5">
        <v>230.16</v>
      </c>
      <c r="G740" s="3" t="str">
        <f>VLOOKUP(Registros[[#This Row],[Cliente]],Cliente_Region[],2,FALSE)</f>
        <v>Peru</v>
      </c>
      <c r="H740" s="3" t="str">
        <f>VLOOKUP(Registros[[#This Row],[Producto]],Producto[],2,FALSE)</f>
        <v>LAX</v>
      </c>
    </row>
    <row r="741" spans="1:8" ht="20.100000000000001" customHeight="1" x14ac:dyDescent="0.25">
      <c r="A741" s="3" t="s">
        <v>29</v>
      </c>
      <c r="B741" s="3" t="s">
        <v>219</v>
      </c>
      <c r="C741" s="3">
        <v>2022</v>
      </c>
      <c r="D741" s="4">
        <v>4</v>
      </c>
      <c r="E741" s="5">
        <v>1275</v>
      </c>
      <c r="F741" s="5">
        <v>365.34</v>
      </c>
      <c r="G741" s="3" t="str">
        <f>VLOOKUP(Registros[[#This Row],[Cliente]],Cliente_Region[],2,FALSE)</f>
        <v>Peru</v>
      </c>
      <c r="H741" s="3" t="str">
        <f>VLOOKUP(Registros[[#This Row],[Producto]],Producto[],2,FALSE)</f>
        <v>LAX</v>
      </c>
    </row>
    <row r="742" spans="1:8" ht="20.100000000000001" customHeight="1" x14ac:dyDescent="0.25">
      <c r="A742" s="3" t="s">
        <v>29</v>
      </c>
      <c r="B742" s="3" t="s">
        <v>219</v>
      </c>
      <c r="C742" s="3">
        <v>2022</v>
      </c>
      <c r="D742" s="4">
        <v>5</v>
      </c>
      <c r="E742" s="5">
        <v>1020</v>
      </c>
      <c r="F742" s="5">
        <v>293.7</v>
      </c>
      <c r="G742" s="3" t="str">
        <f>VLOOKUP(Registros[[#This Row],[Cliente]],Cliente_Region[],2,FALSE)</f>
        <v>Peru</v>
      </c>
      <c r="H742" s="3" t="str">
        <f>VLOOKUP(Registros[[#This Row],[Producto]],Producto[],2,FALSE)</f>
        <v>LAX</v>
      </c>
    </row>
    <row r="743" spans="1:8" ht="20.100000000000001" customHeight="1" x14ac:dyDescent="0.25">
      <c r="A743" s="3" t="s">
        <v>29</v>
      </c>
      <c r="B743" s="3" t="s">
        <v>219</v>
      </c>
      <c r="C743" s="3">
        <v>2022</v>
      </c>
      <c r="D743" s="4">
        <v>6</v>
      </c>
      <c r="E743" s="5">
        <v>297.5</v>
      </c>
      <c r="F743" s="5">
        <v>87.44</v>
      </c>
      <c r="G743" s="3" t="str">
        <f>VLOOKUP(Registros[[#This Row],[Cliente]],Cliente_Region[],2,FALSE)</f>
        <v>Peru</v>
      </c>
      <c r="H743" s="3" t="str">
        <f>VLOOKUP(Registros[[#This Row],[Producto]],Producto[],2,FALSE)</f>
        <v>LAX</v>
      </c>
    </row>
    <row r="744" spans="1:8" ht="20.100000000000001" customHeight="1" x14ac:dyDescent="0.25">
      <c r="A744" s="3" t="s">
        <v>32</v>
      </c>
      <c r="B744" s="3" t="s">
        <v>219</v>
      </c>
      <c r="C744" s="3">
        <v>2022</v>
      </c>
      <c r="D744" s="4">
        <v>1</v>
      </c>
      <c r="E744" s="5">
        <v>1572.5</v>
      </c>
      <c r="F744" s="5">
        <v>542.16</v>
      </c>
      <c r="G744" s="3" t="str">
        <f>VLOOKUP(Registros[[#This Row],[Cliente]],Cliente_Region[],2,FALSE)</f>
        <v>Peru</v>
      </c>
      <c r="H744" s="3" t="str">
        <f>VLOOKUP(Registros[[#This Row],[Producto]],Producto[],2,FALSE)</f>
        <v>GAMBO</v>
      </c>
    </row>
    <row r="745" spans="1:8" ht="20.100000000000001" customHeight="1" x14ac:dyDescent="0.25">
      <c r="A745" s="3" t="s">
        <v>33</v>
      </c>
      <c r="B745" s="3" t="s">
        <v>219</v>
      </c>
      <c r="C745" s="3">
        <v>2022</v>
      </c>
      <c r="D745" s="4">
        <v>2</v>
      </c>
      <c r="E745" s="5">
        <v>892.5</v>
      </c>
      <c r="F745" s="5">
        <v>283.54000000000002</v>
      </c>
      <c r="G745" s="3" t="str">
        <f>VLOOKUP(Registros[[#This Row],[Cliente]],Cliente_Region[],2,FALSE)</f>
        <v>Peru</v>
      </c>
      <c r="H745" s="3" t="str">
        <f>VLOOKUP(Registros[[#This Row],[Producto]],Producto[],2,FALSE)</f>
        <v>GAMBO</v>
      </c>
    </row>
    <row r="746" spans="1:8" ht="20.100000000000001" customHeight="1" x14ac:dyDescent="0.25">
      <c r="A746" s="3" t="s">
        <v>33</v>
      </c>
      <c r="B746" s="3" t="s">
        <v>219</v>
      </c>
      <c r="C746" s="3">
        <v>2022</v>
      </c>
      <c r="D746" s="4">
        <v>3</v>
      </c>
      <c r="E746" s="5">
        <v>765</v>
      </c>
      <c r="F746" s="5">
        <v>236.85</v>
      </c>
      <c r="G746" s="3" t="str">
        <f>VLOOKUP(Registros[[#This Row],[Cliente]],Cliente_Region[],2,FALSE)</f>
        <v>Peru</v>
      </c>
      <c r="H746" s="3" t="str">
        <f>VLOOKUP(Registros[[#This Row],[Producto]],Producto[],2,FALSE)</f>
        <v>GAMBO</v>
      </c>
    </row>
    <row r="747" spans="1:8" ht="20.100000000000001" customHeight="1" x14ac:dyDescent="0.25">
      <c r="A747" s="3" t="s">
        <v>33</v>
      </c>
      <c r="B747" s="3" t="s">
        <v>219</v>
      </c>
      <c r="C747" s="3">
        <v>2022</v>
      </c>
      <c r="D747" s="4">
        <v>4</v>
      </c>
      <c r="E747" s="5">
        <v>1275</v>
      </c>
      <c r="F747" s="5">
        <v>374.53</v>
      </c>
      <c r="G747" s="3" t="str">
        <f>VLOOKUP(Registros[[#This Row],[Cliente]],Cliente_Region[],2,FALSE)</f>
        <v>Peru</v>
      </c>
      <c r="H747" s="3" t="str">
        <f>VLOOKUP(Registros[[#This Row],[Producto]],Producto[],2,FALSE)</f>
        <v>GAMBO</v>
      </c>
    </row>
    <row r="748" spans="1:8" ht="20.100000000000001" customHeight="1" x14ac:dyDescent="0.25">
      <c r="A748" s="3" t="s">
        <v>33</v>
      </c>
      <c r="B748" s="3" t="s">
        <v>219</v>
      </c>
      <c r="C748" s="3">
        <v>2022</v>
      </c>
      <c r="D748" s="4">
        <v>5</v>
      </c>
      <c r="E748" s="5">
        <v>1020</v>
      </c>
      <c r="F748" s="5">
        <v>295.45</v>
      </c>
      <c r="G748" s="3" t="str">
        <f>VLOOKUP(Registros[[#This Row],[Cliente]],Cliente_Region[],2,FALSE)</f>
        <v>Peru</v>
      </c>
      <c r="H748" s="3" t="str">
        <f>VLOOKUP(Registros[[#This Row],[Producto]],Producto[],2,FALSE)</f>
        <v>GAMBO</v>
      </c>
    </row>
    <row r="749" spans="1:8" ht="20.100000000000001" customHeight="1" x14ac:dyDescent="0.25">
      <c r="A749" s="3" t="s">
        <v>33</v>
      </c>
      <c r="B749" s="3" t="s">
        <v>219</v>
      </c>
      <c r="C749" s="3">
        <v>2022</v>
      </c>
      <c r="D749" s="4">
        <v>6</v>
      </c>
      <c r="E749" s="5">
        <v>297.5</v>
      </c>
      <c r="F749" s="5">
        <v>84.43</v>
      </c>
      <c r="G749" s="3" t="str">
        <f>VLOOKUP(Registros[[#This Row],[Cliente]],Cliente_Region[],2,FALSE)</f>
        <v>Peru</v>
      </c>
      <c r="H749" s="3" t="str">
        <f>VLOOKUP(Registros[[#This Row],[Producto]],Producto[],2,FALSE)</f>
        <v>GAMBO</v>
      </c>
    </row>
    <row r="750" spans="1:8" ht="20.100000000000001" customHeight="1" x14ac:dyDescent="0.25">
      <c r="A750" s="3" t="s">
        <v>222</v>
      </c>
      <c r="B750" s="3" t="s">
        <v>219</v>
      </c>
      <c r="C750" s="3">
        <v>2022</v>
      </c>
      <c r="D750" s="4">
        <v>2</v>
      </c>
      <c r="E750" s="5">
        <v>130.80000000000001</v>
      </c>
      <c r="F750" s="5">
        <v>40.14</v>
      </c>
      <c r="G750" s="3" t="str">
        <f>VLOOKUP(Registros[[#This Row],[Cliente]],Cliente_Region[],2,FALSE)</f>
        <v>Peru</v>
      </c>
      <c r="H750" s="3" t="str">
        <f>VLOOKUP(Registros[[#This Row],[Producto]],Producto[],2,FALSE)</f>
        <v>MOC</v>
      </c>
    </row>
    <row r="751" spans="1:8" ht="20.100000000000001" customHeight="1" x14ac:dyDescent="0.25">
      <c r="A751" s="3" t="s">
        <v>225</v>
      </c>
      <c r="B751" s="3" t="s">
        <v>224</v>
      </c>
      <c r="C751" s="3">
        <v>2022</v>
      </c>
      <c r="D751" s="4">
        <v>5</v>
      </c>
      <c r="E751" s="5">
        <v>4084</v>
      </c>
      <c r="F751" s="5">
        <v>-878.77</v>
      </c>
      <c r="G751" s="3" t="str">
        <f>VLOOKUP(Registros[[#This Row],[Cliente]],Cliente_Region[],2,FALSE)</f>
        <v>Mexico</v>
      </c>
      <c r="H751" s="3" t="str">
        <f>VLOOKUP(Registros[[#This Row],[Producto]],Producto[],2,FALSE)</f>
        <v>DAWNE</v>
      </c>
    </row>
    <row r="752" spans="1:8" ht="20.100000000000001" customHeight="1" x14ac:dyDescent="0.25">
      <c r="A752" s="3" t="s">
        <v>227</v>
      </c>
      <c r="B752" s="3" t="s">
        <v>226</v>
      </c>
      <c r="C752" s="3">
        <v>2022</v>
      </c>
      <c r="D752" s="4">
        <v>5</v>
      </c>
      <c r="E752" s="5">
        <v>300</v>
      </c>
      <c r="F752" s="5">
        <v>100.46</v>
      </c>
      <c r="G752" s="3" t="str">
        <f>VLOOKUP(Registros[[#This Row],[Cliente]],Cliente_Region[],2,FALSE)</f>
        <v>Argentina</v>
      </c>
      <c r="H752" s="3" t="str">
        <f>VLOOKUP(Registros[[#This Row],[Producto]],Producto[],2,FALSE)</f>
        <v>DONANY</v>
      </c>
    </row>
    <row r="753" spans="1:8" ht="20.100000000000001" customHeight="1" x14ac:dyDescent="0.25">
      <c r="A753" s="3" t="s">
        <v>228</v>
      </c>
      <c r="B753" s="3" t="s">
        <v>226</v>
      </c>
      <c r="C753" s="3">
        <v>2022</v>
      </c>
      <c r="D753" s="4">
        <v>5</v>
      </c>
      <c r="E753" s="5">
        <v>277</v>
      </c>
      <c r="F753" s="5">
        <v>-1723.2</v>
      </c>
      <c r="G753" s="3" t="str">
        <f>VLOOKUP(Registros[[#This Row],[Cliente]],Cliente_Region[],2,FALSE)</f>
        <v>Argentina</v>
      </c>
      <c r="H753" s="3" t="str">
        <f>VLOOKUP(Registros[[#This Row],[Producto]],Producto[],2,FALSE)</f>
        <v>MOC</v>
      </c>
    </row>
    <row r="754" spans="1:8" ht="20.100000000000001" customHeight="1" x14ac:dyDescent="0.25">
      <c r="A754" s="3" t="s">
        <v>230</v>
      </c>
      <c r="B754" s="3" t="s">
        <v>229</v>
      </c>
      <c r="C754" s="3">
        <v>2022</v>
      </c>
      <c r="D754" s="4">
        <v>4</v>
      </c>
      <c r="E754" s="5">
        <v>36</v>
      </c>
      <c r="F754" s="5">
        <v>1.41</v>
      </c>
      <c r="G754" s="3" t="str">
        <f>VLOOKUP(Registros[[#This Row],[Cliente]],Cliente_Region[],2,FALSE)</f>
        <v>Canada</v>
      </c>
      <c r="H754" s="3" t="str">
        <f>VLOOKUP(Registros[[#This Row],[Producto]],Producto[],2,FALSE)</f>
        <v>DONANY</v>
      </c>
    </row>
    <row r="755" spans="1:8" ht="20.100000000000001" customHeight="1" x14ac:dyDescent="0.25">
      <c r="A755" s="3" t="s">
        <v>231</v>
      </c>
      <c r="B755" s="3" t="s">
        <v>229</v>
      </c>
      <c r="C755" s="3">
        <v>2022</v>
      </c>
      <c r="D755" s="4">
        <v>5</v>
      </c>
      <c r="E755" s="5">
        <v>702</v>
      </c>
      <c r="F755" s="5">
        <v>27.47</v>
      </c>
      <c r="G755" s="3" t="str">
        <f>VLOOKUP(Registros[[#This Row],[Cliente]],Cliente_Region[],2,FALSE)</f>
        <v>Canada</v>
      </c>
      <c r="H755" s="3" t="str">
        <f>VLOOKUP(Registros[[#This Row],[Producto]],Producto[],2,FALSE)</f>
        <v>CHOTUS</v>
      </c>
    </row>
    <row r="756" spans="1:8" ht="20.100000000000001" customHeight="1" x14ac:dyDescent="0.25">
      <c r="A756" s="3" t="s">
        <v>231</v>
      </c>
      <c r="B756" s="3" t="s">
        <v>229</v>
      </c>
      <c r="C756" s="3">
        <v>2022</v>
      </c>
      <c r="D756" s="4">
        <v>6</v>
      </c>
      <c r="E756" s="5">
        <v>180</v>
      </c>
      <c r="F756" s="5">
        <v>5.56</v>
      </c>
      <c r="G756" s="3" t="str">
        <f>VLOOKUP(Registros[[#This Row],[Cliente]],Cliente_Region[],2,FALSE)</f>
        <v>Canada</v>
      </c>
      <c r="H756" s="3" t="str">
        <f>VLOOKUP(Registros[[#This Row],[Producto]],Producto[],2,FALSE)</f>
        <v>CHOTUS</v>
      </c>
    </row>
    <row r="757" spans="1:8" ht="20.100000000000001" customHeight="1" x14ac:dyDescent="0.25">
      <c r="A757" s="3" t="s">
        <v>17</v>
      </c>
      <c r="B757" s="3" t="s">
        <v>229</v>
      </c>
      <c r="C757" s="3">
        <v>2022</v>
      </c>
      <c r="D757" s="4">
        <v>1</v>
      </c>
      <c r="E757" s="5">
        <v>203.5</v>
      </c>
      <c r="F757" s="5">
        <v>44</v>
      </c>
      <c r="G757" s="3" t="str">
        <f>VLOOKUP(Registros[[#This Row],[Cliente]],Cliente_Region[],2,FALSE)</f>
        <v>Canada</v>
      </c>
      <c r="H757" s="3" t="str">
        <f>VLOOKUP(Registros[[#This Row],[Producto]],Producto[],2,FALSE)</f>
        <v>LAX</v>
      </c>
    </row>
    <row r="758" spans="1:8" ht="20.100000000000001" customHeight="1" x14ac:dyDescent="0.25">
      <c r="A758" s="3" t="s">
        <v>18</v>
      </c>
      <c r="B758" s="3" t="s">
        <v>229</v>
      </c>
      <c r="C758" s="3">
        <v>2022</v>
      </c>
      <c r="D758" s="4">
        <v>2</v>
      </c>
      <c r="E758" s="5">
        <v>148</v>
      </c>
      <c r="F758" s="5">
        <v>31.28</v>
      </c>
      <c r="G758" s="3" t="str">
        <f>VLOOKUP(Registros[[#This Row],[Cliente]],Cliente_Region[],2,FALSE)</f>
        <v>Canada</v>
      </c>
      <c r="H758" s="3" t="str">
        <f>VLOOKUP(Registros[[#This Row],[Producto]],Producto[],2,FALSE)</f>
        <v>GAMBO</v>
      </c>
    </row>
    <row r="759" spans="1:8" ht="20.100000000000001" customHeight="1" x14ac:dyDescent="0.25">
      <c r="A759" s="3" t="s">
        <v>18</v>
      </c>
      <c r="B759" s="3" t="s">
        <v>229</v>
      </c>
      <c r="C759" s="3">
        <v>2022</v>
      </c>
      <c r="D759" s="4">
        <v>3</v>
      </c>
      <c r="E759" s="5">
        <v>92.5</v>
      </c>
      <c r="F759" s="5">
        <v>19.22</v>
      </c>
      <c r="G759" s="3" t="str">
        <f>VLOOKUP(Registros[[#This Row],[Cliente]],Cliente_Region[],2,FALSE)</f>
        <v>Canada</v>
      </c>
      <c r="H759" s="3" t="str">
        <f>VLOOKUP(Registros[[#This Row],[Producto]],Producto[],2,FALSE)</f>
        <v>GAMBO</v>
      </c>
    </row>
    <row r="760" spans="1:8" ht="20.100000000000001" customHeight="1" x14ac:dyDescent="0.25">
      <c r="A760" s="3" t="s">
        <v>18</v>
      </c>
      <c r="B760" s="3" t="s">
        <v>229</v>
      </c>
      <c r="C760" s="3">
        <v>2022</v>
      </c>
      <c r="D760" s="4">
        <v>4</v>
      </c>
      <c r="E760" s="5">
        <v>1552</v>
      </c>
      <c r="F760" s="5">
        <v>279.72000000000003</v>
      </c>
      <c r="G760" s="3" t="str">
        <f>VLOOKUP(Registros[[#This Row],[Cliente]],Cliente_Region[],2,FALSE)</f>
        <v>Canada</v>
      </c>
      <c r="H760" s="3" t="str">
        <f>VLOOKUP(Registros[[#This Row],[Producto]],Producto[],2,FALSE)</f>
        <v>GAMBO</v>
      </c>
    </row>
    <row r="761" spans="1:8" ht="20.100000000000001" customHeight="1" x14ac:dyDescent="0.25">
      <c r="A761" s="3" t="s">
        <v>18</v>
      </c>
      <c r="B761" s="3" t="s">
        <v>229</v>
      </c>
      <c r="C761" s="3">
        <v>2022</v>
      </c>
      <c r="D761" s="4">
        <v>5</v>
      </c>
      <c r="E761" s="5">
        <v>3585.5</v>
      </c>
      <c r="F761" s="5">
        <v>900.6</v>
      </c>
      <c r="G761" s="3" t="str">
        <f>VLOOKUP(Registros[[#This Row],[Cliente]],Cliente_Region[],2,FALSE)</f>
        <v>Canada</v>
      </c>
      <c r="H761" s="3" t="str">
        <f>VLOOKUP(Registros[[#This Row],[Producto]],Producto[],2,FALSE)</f>
        <v>GAMBO</v>
      </c>
    </row>
    <row r="762" spans="1:8" ht="20.100000000000001" customHeight="1" x14ac:dyDescent="0.25">
      <c r="A762" s="3" t="s">
        <v>18</v>
      </c>
      <c r="B762" s="3" t="s">
        <v>229</v>
      </c>
      <c r="C762" s="3">
        <v>2022</v>
      </c>
      <c r="D762" s="4">
        <v>6</v>
      </c>
      <c r="E762" s="5">
        <v>2605.75</v>
      </c>
      <c r="F762" s="5">
        <v>703.77</v>
      </c>
      <c r="G762" s="3" t="str">
        <f>VLOOKUP(Registros[[#This Row],[Cliente]],Cliente_Region[],2,FALSE)</f>
        <v>Canada</v>
      </c>
      <c r="H762" s="3" t="str">
        <f>VLOOKUP(Registros[[#This Row],[Producto]],Producto[],2,FALSE)</f>
        <v>GAMBO</v>
      </c>
    </row>
    <row r="763" spans="1:8" ht="20.100000000000001" customHeight="1" x14ac:dyDescent="0.25">
      <c r="A763" s="3" t="s">
        <v>20</v>
      </c>
      <c r="B763" s="3" t="s">
        <v>229</v>
      </c>
      <c r="C763" s="3">
        <v>2022</v>
      </c>
      <c r="D763" s="4">
        <v>1</v>
      </c>
      <c r="E763" s="5">
        <v>1475</v>
      </c>
      <c r="F763" s="5">
        <v>485.46</v>
      </c>
      <c r="G763" s="3" t="str">
        <f>VLOOKUP(Registros[[#This Row],[Cliente]],Cliente_Region[],2,FALSE)</f>
        <v>Canada</v>
      </c>
      <c r="H763" s="3" t="str">
        <f>VLOOKUP(Registros[[#This Row],[Producto]],Producto[],2,FALSE)</f>
        <v>CHOTUS</v>
      </c>
    </row>
    <row r="764" spans="1:8" ht="20.100000000000001" customHeight="1" x14ac:dyDescent="0.25">
      <c r="A764" s="3" t="s">
        <v>21</v>
      </c>
      <c r="B764" s="3" t="s">
        <v>229</v>
      </c>
      <c r="C764" s="3">
        <v>2022</v>
      </c>
      <c r="D764" s="4">
        <v>2</v>
      </c>
      <c r="E764" s="5">
        <v>450</v>
      </c>
      <c r="F764" s="5">
        <v>136.69999999999999</v>
      </c>
      <c r="G764" s="3" t="str">
        <f>VLOOKUP(Registros[[#This Row],[Cliente]],Cliente_Region[],2,FALSE)</f>
        <v>Canada</v>
      </c>
      <c r="H764" s="3" t="str">
        <f>VLOOKUP(Registros[[#This Row],[Producto]],Producto[],2,FALSE)</f>
        <v>MOC</v>
      </c>
    </row>
    <row r="765" spans="1:8" ht="20.100000000000001" customHeight="1" x14ac:dyDescent="0.25">
      <c r="A765" s="3" t="s">
        <v>21</v>
      </c>
      <c r="B765" s="3" t="s">
        <v>229</v>
      </c>
      <c r="C765" s="3">
        <v>2022</v>
      </c>
      <c r="D765" s="4">
        <v>3</v>
      </c>
      <c r="E765" s="5">
        <v>1800</v>
      </c>
      <c r="F765" s="5">
        <v>505.68</v>
      </c>
      <c r="G765" s="3" t="str">
        <f>VLOOKUP(Registros[[#This Row],[Cliente]],Cliente_Region[],2,FALSE)</f>
        <v>Canada</v>
      </c>
      <c r="H765" s="3" t="str">
        <f>VLOOKUP(Registros[[#This Row],[Producto]],Producto[],2,FALSE)</f>
        <v>MOC</v>
      </c>
    </row>
    <row r="766" spans="1:8" ht="20.100000000000001" customHeight="1" x14ac:dyDescent="0.25">
      <c r="A766" s="3" t="s">
        <v>21</v>
      </c>
      <c r="B766" s="3" t="s">
        <v>229</v>
      </c>
      <c r="C766" s="3">
        <v>2022</v>
      </c>
      <c r="D766" s="4">
        <v>4</v>
      </c>
      <c r="E766" s="5">
        <v>625</v>
      </c>
      <c r="F766" s="5">
        <v>145.25</v>
      </c>
      <c r="G766" s="3" t="str">
        <f>VLOOKUP(Registros[[#This Row],[Cliente]],Cliente_Region[],2,FALSE)</f>
        <v>Canada</v>
      </c>
      <c r="H766" s="3" t="str">
        <f>VLOOKUP(Registros[[#This Row],[Producto]],Producto[],2,FALSE)</f>
        <v>MOC</v>
      </c>
    </row>
    <row r="767" spans="1:8" ht="20.100000000000001" customHeight="1" x14ac:dyDescent="0.25">
      <c r="A767" s="3" t="s">
        <v>21</v>
      </c>
      <c r="B767" s="3" t="s">
        <v>229</v>
      </c>
      <c r="C767" s="3">
        <v>2022</v>
      </c>
      <c r="D767" s="4">
        <v>5</v>
      </c>
      <c r="E767" s="5">
        <v>2100</v>
      </c>
      <c r="F767" s="5">
        <v>534.37</v>
      </c>
      <c r="G767" s="3" t="str">
        <f>VLOOKUP(Registros[[#This Row],[Cliente]],Cliente_Region[],2,FALSE)</f>
        <v>Canada</v>
      </c>
      <c r="H767" s="3" t="str">
        <f>VLOOKUP(Registros[[#This Row],[Producto]],Producto[],2,FALSE)</f>
        <v>MOC</v>
      </c>
    </row>
    <row r="768" spans="1:8" ht="20.100000000000001" customHeight="1" x14ac:dyDescent="0.25">
      <c r="A768" s="3" t="s">
        <v>21</v>
      </c>
      <c r="B768" s="3" t="s">
        <v>229</v>
      </c>
      <c r="C768" s="3">
        <v>2022</v>
      </c>
      <c r="D768" s="4">
        <v>6</v>
      </c>
      <c r="E768" s="5">
        <v>650</v>
      </c>
      <c r="F768" s="5">
        <v>162.05000000000001</v>
      </c>
      <c r="G768" s="3" t="str">
        <f>VLOOKUP(Registros[[#This Row],[Cliente]],Cliente_Region[],2,FALSE)</f>
        <v>Canada</v>
      </c>
      <c r="H768" s="3" t="str">
        <f>VLOOKUP(Registros[[#This Row],[Producto]],Producto[],2,FALSE)</f>
        <v>MOC</v>
      </c>
    </row>
    <row r="769" spans="1:8" ht="20.100000000000001" customHeight="1" x14ac:dyDescent="0.25">
      <c r="A769" s="3" t="s">
        <v>22</v>
      </c>
      <c r="B769" s="3" t="s">
        <v>229</v>
      </c>
      <c r="C769" s="3">
        <v>2022</v>
      </c>
      <c r="D769" s="4">
        <v>4</v>
      </c>
      <c r="E769" s="5">
        <v>66</v>
      </c>
      <c r="F769" s="5">
        <v>41.31</v>
      </c>
      <c r="G769" s="3" t="str">
        <f>VLOOKUP(Registros[[#This Row],[Cliente]],Cliente_Region[],2,FALSE)</f>
        <v>Canada</v>
      </c>
      <c r="H769" s="3" t="str">
        <f>VLOOKUP(Registros[[#This Row],[Producto]],Producto[],2,FALSE)</f>
        <v>DONANY</v>
      </c>
    </row>
    <row r="770" spans="1:8" ht="20.100000000000001" customHeight="1" x14ac:dyDescent="0.25">
      <c r="A770" s="3" t="s">
        <v>220</v>
      </c>
      <c r="B770" s="3" t="s">
        <v>229</v>
      </c>
      <c r="C770" s="3">
        <v>2022</v>
      </c>
      <c r="D770" s="4">
        <v>4</v>
      </c>
      <c r="E770" s="5">
        <v>810</v>
      </c>
      <c r="F770" s="5">
        <v>126.93</v>
      </c>
      <c r="G770" s="3" t="str">
        <f>VLOOKUP(Registros[[#This Row],[Cliente]],Cliente_Region[],2,FALSE)</f>
        <v>Canada</v>
      </c>
      <c r="H770" s="3" t="str">
        <f>VLOOKUP(Registros[[#This Row],[Producto]],Producto[],2,FALSE)</f>
        <v>GAMBO</v>
      </c>
    </row>
    <row r="771" spans="1:8" ht="20.100000000000001" customHeight="1" x14ac:dyDescent="0.25">
      <c r="A771" s="3" t="s">
        <v>221</v>
      </c>
      <c r="B771" s="3" t="s">
        <v>229</v>
      </c>
      <c r="C771" s="3">
        <v>2022</v>
      </c>
      <c r="D771" s="4">
        <v>5</v>
      </c>
      <c r="E771" s="5">
        <v>4794</v>
      </c>
      <c r="F771" s="5">
        <v>1862.4</v>
      </c>
      <c r="G771" s="3" t="str">
        <f>VLOOKUP(Registros[[#This Row],[Cliente]],Cliente_Region[],2,FALSE)</f>
        <v>Canada</v>
      </c>
      <c r="H771" s="3" t="str">
        <f>VLOOKUP(Registros[[#This Row],[Producto]],Producto[],2,FALSE)</f>
        <v>DONANY</v>
      </c>
    </row>
    <row r="772" spans="1:8" ht="20.100000000000001" customHeight="1" x14ac:dyDescent="0.25">
      <c r="A772" s="3" t="s">
        <v>221</v>
      </c>
      <c r="B772" s="3" t="s">
        <v>229</v>
      </c>
      <c r="C772" s="3">
        <v>2022</v>
      </c>
      <c r="D772" s="4">
        <v>6</v>
      </c>
      <c r="E772" s="5">
        <v>1998</v>
      </c>
      <c r="F772" s="5">
        <v>766.41</v>
      </c>
      <c r="G772" s="3" t="str">
        <f>VLOOKUP(Registros[[#This Row],[Cliente]],Cliente_Region[],2,FALSE)</f>
        <v>Canada</v>
      </c>
      <c r="H772" s="3" t="str">
        <f>VLOOKUP(Registros[[#This Row],[Producto]],Producto[],2,FALSE)</f>
        <v>DONANY</v>
      </c>
    </row>
    <row r="773" spans="1:8" ht="20.100000000000001" customHeight="1" x14ac:dyDescent="0.25">
      <c r="A773" s="3" t="s">
        <v>232</v>
      </c>
      <c r="B773" s="3" t="s">
        <v>229</v>
      </c>
      <c r="C773" s="3">
        <v>2022</v>
      </c>
      <c r="D773" s="4">
        <v>1</v>
      </c>
      <c r="E773" s="5">
        <v>2180</v>
      </c>
      <c r="F773" s="5">
        <v>1388.7</v>
      </c>
      <c r="G773" s="3" t="str">
        <f>VLOOKUP(Registros[[#This Row],[Cliente]],Cliente_Region[],2,FALSE)</f>
        <v>Canada</v>
      </c>
      <c r="H773" s="3" t="str">
        <f>VLOOKUP(Registros[[#This Row],[Producto]],Producto[],2,FALSE)</f>
        <v>MOC</v>
      </c>
    </row>
    <row r="774" spans="1:8" ht="20.100000000000001" customHeight="1" x14ac:dyDescent="0.25">
      <c r="A774" s="3" t="s">
        <v>233</v>
      </c>
      <c r="B774" s="3" t="s">
        <v>229</v>
      </c>
      <c r="C774" s="3">
        <v>2022</v>
      </c>
      <c r="D774" s="4">
        <v>2</v>
      </c>
      <c r="E774" s="5">
        <v>719.4</v>
      </c>
      <c r="F774" s="5">
        <v>458.26</v>
      </c>
      <c r="G774" s="3" t="str">
        <f>VLOOKUP(Registros[[#This Row],[Cliente]],Cliente_Region[],2,FALSE)</f>
        <v>Canada</v>
      </c>
      <c r="H774" s="3" t="str">
        <f>VLOOKUP(Registros[[#This Row],[Producto]],Producto[],2,FALSE)</f>
        <v>MOC</v>
      </c>
    </row>
    <row r="775" spans="1:8" ht="20.100000000000001" customHeight="1" x14ac:dyDescent="0.25">
      <c r="A775" s="3" t="s">
        <v>233</v>
      </c>
      <c r="B775" s="3" t="s">
        <v>229</v>
      </c>
      <c r="C775" s="3">
        <v>2022</v>
      </c>
      <c r="D775" s="4">
        <v>3</v>
      </c>
      <c r="E775" s="5">
        <v>1220.8</v>
      </c>
      <c r="F775" s="5">
        <v>777.66</v>
      </c>
      <c r="G775" s="3" t="str">
        <f>VLOOKUP(Registros[[#This Row],[Cliente]],Cliente_Region[],2,FALSE)</f>
        <v>Canada</v>
      </c>
      <c r="H775" s="3" t="str">
        <f>VLOOKUP(Registros[[#This Row],[Producto]],Producto[],2,FALSE)</f>
        <v>MOC</v>
      </c>
    </row>
    <row r="776" spans="1:8" ht="20.100000000000001" customHeight="1" x14ac:dyDescent="0.25">
      <c r="A776" s="3" t="s">
        <v>233</v>
      </c>
      <c r="B776" s="3" t="s">
        <v>229</v>
      </c>
      <c r="C776" s="3">
        <v>2022</v>
      </c>
      <c r="D776" s="4">
        <v>4</v>
      </c>
      <c r="E776" s="5">
        <v>2398</v>
      </c>
      <c r="F776" s="5">
        <v>1527.55</v>
      </c>
      <c r="G776" s="3" t="str">
        <f>VLOOKUP(Registros[[#This Row],[Cliente]],Cliente_Region[],2,FALSE)</f>
        <v>Canada</v>
      </c>
      <c r="H776" s="3" t="str">
        <f>VLOOKUP(Registros[[#This Row],[Producto]],Producto[],2,FALSE)</f>
        <v>MOC</v>
      </c>
    </row>
    <row r="777" spans="1:8" ht="20.100000000000001" customHeight="1" x14ac:dyDescent="0.25">
      <c r="A777" s="3" t="s">
        <v>233</v>
      </c>
      <c r="B777" s="3" t="s">
        <v>229</v>
      </c>
      <c r="C777" s="3">
        <v>2022</v>
      </c>
      <c r="D777" s="4">
        <v>5</v>
      </c>
      <c r="E777" s="5">
        <v>3073.8</v>
      </c>
      <c r="F777" s="5">
        <v>1958.05</v>
      </c>
      <c r="G777" s="3" t="str">
        <f>VLOOKUP(Registros[[#This Row],[Cliente]],Cliente_Region[],2,FALSE)</f>
        <v>Canada</v>
      </c>
      <c r="H777" s="3" t="str">
        <f>VLOOKUP(Registros[[#This Row],[Producto]],Producto[],2,FALSE)</f>
        <v>MOC</v>
      </c>
    </row>
    <row r="778" spans="1:8" ht="20.100000000000001" customHeight="1" x14ac:dyDescent="0.25">
      <c r="A778" s="3" t="s">
        <v>233</v>
      </c>
      <c r="B778" s="3" t="s">
        <v>229</v>
      </c>
      <c r="C778" s="3">
        <v>2022</v>
      </c>
      <c r="D778" s="4">
        <v>6</v>
      </c>
      <c r="E778" s="5">
        <v>2091.1999999999998</v>
      </c>
      <c r="F778" s="5">
        <v>1125.81</v>
      </c>
      <c r="G778" s="3" t="str">
        <f>VLOOKUP(Registros[[#This Row],[Cliente]],Cliente_Region[],2,FALSE)</f>
        <v>Canada</v>
      </c>
      <c r="H778" s="3" t="str">
        <f>VLOOKUP(Registros[[#This Row],[Producto]],Producto[],2,FALSE)</f>
        <v>MOC</v>
      </c>
    </row>
    <row r="779" spans="1:8" ht="20.100000000000001" customHeight="1" x14ac:dyDescent="0.25">
      <c r="A779" s="3" t="s">
        <v>234</v>
      </c>
      <c r="B779" s="3" t="s">
        <v>229</v>
      </c>
      <c r="C779" s="3">
        <v>2022</v>
      </c>
      <c r="D779" s="4">
        <v>5</v>
      </c>
      <c r="E779" s="5">
        <v>222.25</v>
      </c>
      <c r="F779" s="5">
        <v>9.81</v>
      </c>
      <c r="G779" s="3" t="str">
        <f>VLOOKUP(Registros[[#This Row],[Cliente]],Cliente_Region[],2,FALSE)</f>
        <v>Canada</v>
      </c>
      <c r="H779" s="3" t="str">
        <f>VLOOKUP(Registros[[#This Row],[Producto]],Producto[],2,FALSE)</f>
        <v>SALF</v>
      </c>
    </row>
    <row r="780" spans="1:8" ht="20.100000000000001" customHeight="1" x14ac:dyDescent="0.25">
      <c r="A780" s="3" t="s">
        <v>28</v>
      </c>
      <c r="B780" s="3" t="s">
        <v>229</v>
      </c>
      <c r="C780" s="3">
        <v>2022</v>
      </c>
      <c r="D780" s="4">
        <v>2</v>
      </c>
      <c r="E780" s="5">
        <v>78</v>
      </c>
      <c r="F780" s="5">
        <v>23.06</v>
      </c>
      <c r="G780" s="3" t="str">
        <f>VLOOKUP(Registros[[#This Row],[Cliente]],Cliente_Region[],2,FALSE)</f>
        <v>Canada</v>
      </c>
      <c r="H780" s="3" t="str">
        <f>VLOOKUP(Registros[[#This Row],[Producto]],Producto[],2,FALSE)</f>
        <v>SALF</v>
      </c>
    </row>
    <row r="781" spans="1:8" ht="20.100000000000001" customHeight="1" x14ac:dyDescent="0.25">
      <c r="A781" s="3" t="s">
        <v>29</v>
      </c>
      <c r="B781" s="3" t="s">
        <v>229</v>
      </c>
      <c r="C781" s="3">
        <v>2022</v>
      </c>
      <c r="D781" s="4">
        <v>3</v>
      </c>
      <c r="E781" s="5">
        <v>382.9</v>
      </c>
      <c r="F781" s="5">
        <v>176.54</v>
      </c>
      <c r="G781" s="3" t="str">
        <f>VLOOKUP(Registros[[#This Row],[Cliente]],Cliente_Region[],2,FALSE)</f>
        <v>Canada</v>
      </c>
      <c r="H781" s="3" t="str">
        <f>VLOOKUP(Registros[[#This Row],[Producto]],Producto[],2,FALSE)</f>
        <v>LAX</v>
      </c>
    </row>
    <row r="782" spans="1:8" ht="20.100000000000001" customHeight="1" x14ac:dyDescent="0.25">
      <c r="A782" s="3" t="s">
        <v>32</v>
      </c>
      <c r="B782" s="3" t="s">
        <v>229</v>
      </c>
      <c r="C782" s="3">
        <v>2022</v>
      </c>
      <c r="D782" s="4">
        <v>2</v>
      </c>
      <c r="E782" s="5">
        <v>96</v>
      </c>
      <c r="F782" s="5">
        <v>38.229999999999997</v>
      </c>
      <c r="G782" s="3" t="str">
        <f>VLOOKUP(Registros[[#This Row],[Cliente]],Cliente_Region[],2,FALSE)</f>
        <v>Canada</v>
      </c>
      <c r="H782" s="3" t="str">
        <f>VLOOKUP(Registros[[#This Row],[Producto]],Producto[],2,FALSE)</f>
        <v>GAMBO</v>
      </c>
    </row>
    <row r="783" spans="1:8" ht="20.100000000000001" customHeight="1" x14ac:dyDescent="0.25">
      <c r="A783" s="3" t="s">
        <v>34</v>
      </c>
      <c r="B783" s="3" t="s">
        <v>229</v>
      </c>
      <c r="C783" s="3">
        <v>2022</v>
      </c>
      <c r="D783" s="4">
        <v>4</v>
      </c>
      <c r="E783" s="5">
        <v>112</v>
      </c>
      <c r="F783" s="5">
        <v>0</v>
      </c>
      <c r="G783" s="3" t="str">
        <f>VLOOKUP(Registros[[#This Row],[Cliente]],Cliente_Region[],2,FALSE)</f>
        <v>Canada</v>
      </c>
      <c r="H783" s="3" t="str">
        <f>VLOOKUP(Registros[[#This Row],[Producto]],Producto[],2,FALSE)</f>
        <v>DONANY</v>
      </c>
    </row>
    <row r="784" spans="1:8" ht="20.100000000000001" customHeight="1" x14ac:dyDescent="0.25">
      <c r="A784" s="3" t="s">
        <v>35</v>
      </c>
      <c r="B784" s="3" t="s">
        <v>229</v>
      </c>
      <c r="C784" s="3">
        <v>2022</v>
      </c>
      <c r="D784" s="4">
        <v>5</v>
      </c>
      <c r="E784" s="5">
        <v>752</v>
      </c>
      <c r="F784" s="5">
        <v>534.97</v>
      </c>
      <c r="G784" s="3" t="str">
        <f>VLOOKUP(Registros[[#This Row],[Cliente]],Cliente_Region[],2,FALSE)</f>
        <v>Canada</v>
      </c>
      <c r="H784" s="3" t="str">
        <f>VLOOKUP(Registros[[#This Row],[Producto]],Producto[],2,FALSE)</f>
        <v>MOC</v>
      </c>
    </row>
    <row r="785" spans="1:8" ht="20.100000000000001" customHeight="1" x14ac:dyDescent="0.25">
      <c r="A785" s="3" t="s">
        <v>35</v>
      </c>
      <c r="B785" s="3" t="s">
        <v>229</v>
      </c>
      <c r="C785" s="3">
        <v>2022</v>
      </c>
      <c r="D785" s="4">
        <v>6</v>
      </c>
      <c r="E785" s="5">
        <v>392</v>
      </c>
      <c r="F785" s="5">
        <v>283.5</v>
      </c>
      <c r="G785" s="3" t="str">
        <f>VLOOKUP(Registros[[#This Row],[Cliente]],Cliente_Region[],2,FALSE)</f>
        <v>Canada</v>
      </c>
      <c r="H785" s="3" t="str">
        <f>VLOOKUP(Registros[[#This Row],[Producto]],Producto[],2,FALSE)</f>
        <v>MOC</v>
      </c>
    </row>
    <row r="786" spans="1:8" ht="20.100000000000001" customHeight="1" x14ac:dyDescent="0.25">
      <c r="A786" s="3" t="s">
        <v>7</v>
      </c>
      <c r="B786" s="3" t="s">
        <v>229</v>
      </c>
      <c r="C786" s="3">
        <v>2022</v>
      </c>
      <c r="D786" s="4">
        <v>5</v>
      </c>
      <c r="E786" s="5">
        <v>14</v>
      </c>
      <c r="F786" s="5">
        <v>0</v>
      </c>
      <c r="G786" s="3" t="str">
        <f>VLOOKUP(Registros[[#This Row],[Cliente]],Cliente_Region[],2,FALSE)</f>
        <v>Canada</v>
      </c>
      <c r="H786" s="3" t="str">
        <f>VLOOKUP(Registros[[#This Row],[Producto]],Producto[],2,FALSE)</f>
        <v>DONANY</v>
      </c>
    </row>
    <row r="787" spans="1:8" ht="20.100000000000001" customHeight="1" x14ac:dyDescent="0.25">
      <c r="A787" s="3" t="s">
        <v>135</v>
      </c>
      <c r="B787" s="3" t="s">
        <v>229</v>
      </c>
      <c r="C787" s="3">
        <v>2022</v>
      </c>
      <c r="D787" s="4">
        <v>1</v>
      </c>
      <c r="E787" s="5">
        <v>127.4</v>
      </c>
      <c r="F787" s="5">
        <v>80.22</v>
      </c>
      <c r="G787" s="3" t="str">
        <f>VLOOKUP(Registros[[#This Row],[Cliente]],Cliente_Region[],2,FALSE)</f>
        <v>Canada</v>
      </c>
      <c r="H787" s="3" t="str">
        <f>VLOOKUP(Registros[[#This Row],[Producto]],Producto[],2,FALSE)</f>
        <v>GAMBO</v>
      </c>
    </row>
    <row r="788" spans="1:8" ht="20.100000000000001" customHeight="1" x14ac:dyDescent="0.25">
      <c r="A788" s="3" t="s">
        <v>93</v>
      </c>
      <c r="B788" s="3" t="s">
        <v>229</v>
      </c>
      <c r="C788" s="3">
        <v>2022</v>
      </c>
      <c r="D788" s="4">
        <v>2</v>
      </c>
      <c r="E788" s="5">
        <v>145.6</v>
      </c>
      <c r="F788" s="5">
        <v>91.68</v>
      </c>
      <c r="G788" s="3" t="str">
        <f>VLOOKUP(Registros[[#This Row],[Cliente]],Cliente_Region[],2,FALSE)</f>
        <v>Canada</v>
      </c>
      <c r="H788" s="3" t="str">
        <f>VLOOKUP(Registros[[#This Row],[Producto]],Producto[],2,FALSE)</f>
        <v>GAMBO</v>
      </c>
    </row>
    <row r="789" spans="1:8" ht="20.100000000000001" customHeight="1" x14ac:dyDescent="0.25">
      <c r="A789" s="3" t="s">
        <v>93</v>
      </c>
      <c r="B789" s="3" t="s">
        <v>229</v>
      </c>
      <c r="C789" s="3">
        <v>2022</v>
      </c>
      <c r="D789" s="4">
        <v>3</v>
      </c>
      <c r="E789" s="5">
        <v>182</v>
      </c>
      <c r="F789" s="5">
        <v>114.6</v>
      </c>
      <c r="G789" s="3" t="str">
        <f>VLOOKUP(Registros[[#This Row],[Cliente]],Cliente_Region[],2,FALSE)</f>
        <v>Canada</v>
      </c>
      <c r="H789" s="3" t="str">
        <f>VLOOKUP(Registros[[#This Row],[Producto]],Producto[],2,FALSE)</f>
        <v>GAMBO</v>
      </c>
    </row>
    <row r="790" spans="1:8" ht="20.100000000000001" customHeight="1" x14ac:dyDescent="0.25">
      <c r="A790" s="3" t="s">
        <v>93</v>
      </c>
      <c r="B790" s="3" t="s">
        <v>229</v>
      </c>
      <c r="C790" s="3">
        <v>2022</v>
      </c>
      <c r="D790" s="4">
        <v>4</v>
      </c>
      <c r="E790" s="5">
        <v>219.4</v>
      </c>
      <c r="F790" s="5">
        <v>149.13999999999999</v>
      </c>
      <c r="G790" s="3" t="str">
        <f>VLOOKUP(Registros[[#This Row],[Cliente]],Cliente_Region[],2,FALSE)</f>
        <v>Canada</v>
      </c>
      <c r="H790" s="3" t="str">
        <f>VLOOKUP(Registros[[#This Row],[Producto]],Producto[],2,FALSE)</f>
        <v>GAMBO</v>
      </c>
    </row>
    <row r="791" spans="1:8" ht="20.100000000000001" customHeight="1" x14ac:dyDescent="0.25">
      <c r="A791" s="3" t="s">
        <v>93</v>
      </c>
      <c r="B791" s="3" t="s">
        <v>229</v>
      </c>
      <c r="C791" s="3">
        <v>2022</v>
      </c>
      <c r="D791" s="4">
        <v>5</v>
      </c>
      <c r="E791" s="5">
        <v>182</v>
      </c>
      <c r="F791" s="5">
        <v>114.6</v>
      </c>
      <c r="G791" s="3" t="str">
        <f>VLOOKUP(Registros[[#This Row],[Cliente]],Cliente_Region[],2,FALSE)</f>
        <v>Canada</v>
      </c>
      <c r="H791" s="3" t="str">
        <f>VLOOKUP(Registros[[#This Row],[Producto]],Producto[],2,FALSE)</f>
        <v>GAMBO</v>
      </c>
    </row>
    <row r="792" spans="1:8" ht="20.100000000000001" customHeight="1" x14ac:dyDescent="0.25">
      <c r="A792" s="3" t="s">
        <v>48</v>
      </c>
      <c r="B792" s="3" t="s">
        <v>229</v>
      </c>
      <c r="C792" s="3">
        <v>2022</v>
      </c>
      <c r="D792" s="4">
        <v>3</v>
      </c>
      <c r="E792" s="5">
        <v>66</v>
      </c>
      <c r="F792" s="5">
        <v>46.42</v>
      </c>
      <c r="G792" s="3" t="str">
        <f>VLOOKUP(Registros[[#This Row],[Cliente]],Cliente_Region[],2,FALSE)</f>
        <v>Canada</v>
      </c>
      <c r="H792" s="3" t="str">
        <f>VLOOKUP(Registros[[#This Row],[Producto]],Producto[],2,FALSE)</f>
        <v>GAMBO</v>
      </c>
    </row>
    <row r="793" spans="1:8" ht="20.100000000000001" customHeight="1" x14ac:dyDescent="0.25">
      <c r="A793" s="3" t="s">
        <v>49</v>
      </c>
      <c r="B793" s="3" t="s">
        <v>229</v>
      </c>
      <c r="C793" s="3">
        <v>2022</v>
      </c>
      <c r="D793" s="4">
        <v>5</v>
      </c>
      <c r="E793" s="5">
        <v>66</v>
      </c>
      <c r="F793" s="5">
        <v>46.42</v>
      </c>
      <c r="G793" s="3" t="str">
        <f>VLOOKUP(Registros[[#This Row],[Cliente]],Cliente_Region[],2,FALSE)</f>
        <v>Canada</v>
      </c>
      <c r="H793" s="3" t="str">
        <f>VLOOKUP(Registros[[#This Row],[Producto]],Producto[],2,FALSE)</f>
        <v>CHOTUS</v>
      </c>
    </row>
    <row r="794" spans="1:8" ht="20.100000000000001" customHeight="1" x14ac:dyDescent="0.25">
      <c r="A794" s="3" t="s">
        <v>136</v>
      </c>
      <c r="B794" s="3" t="s">
        <v>229</v>
      </c>
      <c r="C794" s="3">
        <v>2022</v>
      </c>
      <c r="D794" s="4">
        <v>1</v>
      </c>
      <c r="E794" s="5">
        <v>116.9</v>
      </c>
      <c r="F794" s="5">
        <v>29.66</v>
      </c>
      <c r="G794" s="3" t="str">
        <f>VLOOKUP(Registros[[#This Row],[Cliente]],Cliente_Region[],2,FALSE)</f>
        <v>Canada</v>
      </c>
      <c r="H794" s="3" t="str">
        <f>VLOOKUP(Registros[[#This Row],[Producto]],Producto[],2,FALSE)</f>
        <v>CHOTUS</v>
      </c>
    </row>
    <row r="795" spans="1:8" ht="20.100000000000001" customHeight="1" x14ac:dyDescent="0.25">
      <c r="A795" s="3" t="s">
        <v>137</v>
      </c>
      <c r="B795" s="3" t="s">
        <v>229</v>
      </c>
      <c r="C795" s="3">
        <v>2022</v>
      </c>
      <c r="D795" s="4">
        <v>2</v>
      </c>
      <c r="E795" s="5">
        <v>133.6</v>
      </c>
      <c r="F795" s="5">
        <v>33.89</v>
      </c>
      <c r="G795" s="3" t="str">
        <f>VLOOKUP(Registros[[#This Row],[Cliente]],Cliente_Region[],2,FALSE)</f>
        <v>Canada</v>
      </c>
      <c r="H795" s="3" t="str">
        <f>VLOOKUP(Registros[[#This Row],[Producto]],Producto[],2,FALSE)</f>
        <v>QUOKAR</v>
      </c>
    </row>
    <row r="796" spans="1:8" ht="20.100000000000001" customHeight="1" x14ac:dyDescent="0.25">
      <c r="A796" s="3" t="s">
        <v>137</v>
      </c>
      <c r="B796" s="3" t="s">
        <v>229</v>
      </c>
      <c r="C796" s="3">
        <v>2022</v>
      </c>
      <c r="D796" s="4">
        <v>3</v>
      </c>
      <c r="E796" s="5">
        <v>167</v>
      </c>
      <c r="F796" s="5">
        <v>42.36</v>
      </c>
      <c r="G796" s="3" t="str">
        <f>VLOOKUP(Registros[[#This Row],[Cliente]],Cliente_Region[],2,FALSE)</f>
        <v>Canada</v>
      </c>
      <c r="H796" s="3" t="str">
        <f>VLOOKUP(Registros[[#This Row],[Producto]],Producto[],2,FALSE)</f>
        <v>QUOKAR</v>
      </c>
    </row>
    <row r="797" spans="1:8" ht="20.100000000000001" customHeight="1" x14ac:dyDescent="0.25">
      <c r="A797" s="3" t="s">
        <v>137</v>
      </c>
      <c r="B797" s="3" t="s">
        <v>229</v>
      </c>
      <c r="C797" s="3">
        <v>2022</v>
      </c>
      <c r="D797" s="4">
        <v>4</v>
      </c>
      <c r="E797" s="5">
        <v>255.5</v>
      </c>
      <c r="F797" s="5">
        <v>106.72</v>
      </c>
      <c r="G797" s="3" t="str">
        <f>VLOOKUP(Registros[[#This Row],[Cliente]],Cliente_Region[],2,FALSE)</f>
        <v>Canada</v>
      </c>
      <c r="H797" s="3" t="str">
        <f>VLOOKUP(Registros[[#This Row],[Producto]],Producto[],2,FALSE)</f>
        <v>QUOKAR</v>
      </c>
    </row>
    <row r="798" spans="1:8" ht="20.100000000000001" customHeight="1" x14ac:dyDescent="0.25">
      <c r="A798" s="3" t="s">
        <v>137</v>
      </c>
      <c r="B798" s="3" t="s">
        <v>229</v>
      </c>
      <c r="C798" s="3">
        <v>2022</v>
      </c>
      <c r="D798" s="4">
        <v>5</v>
      </c>
      <c r="E798" s="5">
        <v>200.4</v>
      </c>
      <c r="F798" s="5">
        <v>50.83</v>
      </c>
      <c r="G798" s="3" t="str">
        <f>VLOOKUP(Registros[[#This Row],[Cliente]],Cliente_Region[],2,FALSE)</f>
        <v>Canada</v>
      </c>
      <c r="H798" s="3" t="str">
        <f>VLOOKUP(Registros[[#This Row],[Producto]],Producto[],2,FALSE)</f>
        <v>QUOKAR</v>
      </c>
    </row>
    <row r="799" spans="1:8" ht="20.100000000000001" customHeight="1" x14ac:dyDescent="0.25">
      <c r="A799" s="3" t="s">
        <v>74</v>
      </c>
      <c r="B799" s="3" t="s">
        <v>229</v>
      </c>
      <c r="C799" s="3">
        <v>2022</v>
      </c>
      <c r="D799" s="4">
        <v>5</v>
      </c>
      <c r="E799" s="5">
        <v>60</v>
      </c>
      <c r="F799" s="5">
        <v>13.6</v>
      </c>
      <c r="G799" s="3" t="str">
        <f>VLOOKUP(Registros[[#This Row],[Cliente]],Cliente_Region[],2,FALSE)</f>
        <v>Canada</v>
      </c>
      <c r="H799" s="3" t="str">
        <f>VLOOKUP(Registros[[#This Row],[Producto]],Producto[],2,FALSE)</f>
        <v>CHOTUS</v>
      </c>
    </row>
    <row r="800" spans="1:8" ht="20.100000000000001" customHeight="1" x14ac:dyDescent="0.25">
      <c r="A800" s="3" t="s">
        <v>75</v>
      </c>
      <c r="B800" s="3" t="s">
        <v>229</v>
      </c>
      <c r="C800" s="3">
        <v>2022</v>
      </c>
      <c r="D800" s="4">
        <v>6</v>
      </c>
      <c r="E800" s="5">
        <v>16</v>
      </c>
      <c r="F800" s="5">
        <v>4.9000000000000004</v>
      </c>
      <c r="G800" s="3" t="str">
        <f>VLOOKUP(Registros[[#This Row],[Cliente]],Cliente_Region[],2,FALSE)</f>
        <v>Canada</v>
      </c>
      <c r="H800" s="3" t="str">
        <f>VLOOKUP(Registros[[#This Row],[Producto]],Producto[],2,FALSE)</f>
        <v>DONANY</v>
      </c>
    </row>
    <row r="801" spans="1:8" ht="20.100000000000001" customHeight="1" x14ac:dyDescent="0.25">
      <c r="A801" s="3" t="s">
        <v>128</v>
      </c>
      <c r="B801" s="3" t="s">
        <v>229</v>
      </c>
      <c r="C801" s="3">
        <v>2022</v>
      </c>
      <c r="D801" s="4">
        <v>5</v>
      </c>
      <c r="E801" s="5">
        <v>0</v>
      </c>
      <c r="F801" s="5">
        <v>-8.75</v>
      </c>
      <c r="G801" s="3" t="str">
        <f>VLOOKUP(Registros[[#This Row],[Cliente]],Cliente_Region[],2,FALSE)</f>
        <v>Canada</v>
      </c>
      <c r="H801" s="3" t="str">
        <f>VLOOKUP(Registros[[#This Row],[Producto]],Producto[],2,FALSE)</f>
        <v>CHOTUS</v>
      </c>
    </row>
    <row r="802" spans="1:8" ht="20.100000000000001" customHeight="1" x14ac:dyDescent="0.25">
      <c r="A802" s="3" t="s">
        <v>48</v>
      </c>
      <c r="B802" s="3" t="s">
        <v>236</v>
      </c>
      <c r="C802" s="3">
        <v>2022</v>
      </c>
      <c r="D802" s="4">
        <v>1</v>
      </c>
      <c r="E802" s="5">
        <v>2960</v>
      </c>
      <c r="F802" s="5">
        <v>1752.87</v>
      </c>
      <c r="G802" s="3" t="str">
        <f>VLOOKUP(Registros[[#This Row],[Cliente]],Cliente_Region[],2,FALSE)</f>
        <v>Mexico</v>
      </c>
      <c r="H802" s="3" t="str">
        <f>VLOOKUP(Registros[[#This Row],[Producto]],Producto[],2,FALSE)</f>
        <v>GAMBO</v>
      </c>
    </row>
    <row r="803" spans="1:8" ht="20.100000000000001" customHeight="1" x14ac:dyDescent="0.25">
      <c r="A803" s="3" t="s">
        <v>49</v>
      </c>
      <c r="B803" s="3" t="s">
        <v>236</v>
      </c>
      <c r="C803" s="3">
        <v>2022</v>
      </c>
      <c r="D803" s="4">
        <v>2</v>
      </c>
      <c r="E803" s="5">
        <v>2800</v>
      </c>
      <c r="F803" s="5">
        <v>1658.11</v>
      </c>
      <c r="G803" s="3" t="str">
        <f>VLOOKUP(Registros[[#This Row],[Cliente]],Cliente_Region[],2,FALSE)</f>
        <v>Mexico</v>
      </c>
      <c r="H803" s="3" t="str">
        <f>VLOOKUP(Registros[[#This Row],[Producto]],Producto[],2,FALSE)</f>
        <v>CHOTUS</v>
      </c>
    </row>
    <row r="804" spans="1:8" ht="20.100000000000001" customHeight="1" x14ac:dyDescent="0.25">
      <c r="A804" s="3" t="s">
        <v>49</v>
      </c>
      <c r="B804" s="3" t="s">
        <v>236</v>
      </c>
      <c r="C804" s="3">
        <v>2022</v>
      </c>
      <c r="D804" s="4">
        <v>3</v>
      </c>
      <c r="E804" s="5">
        <v>2720</v>
      </c>
      <c r="F804" s="5">
        <v>1610.73</v>
      </c>
      <c r="G804" s="3" t="str">
        <f>VLOOKUP(Registros[[#This Row],[Cliente]],Cliente_Region[],2,FALSE)</f>
        <v>Mexico</v>
      </c>
      <c r="H804" s="3" t="str">
        <f>VLOOKUP(Registros[[#This Row],[Producto]],Producto[],2,FALSE)</f>
        <v>CHOTUS</v>
      </c>
    </row>
    <row r="805" spans="1:8" ht="20.100000000000001" customHeight="1" x14ac:dyDescent="0.25">
      <c r="A805" s="3" t="s">
        <v>49</v>
      </c>
      <c r="B805" s="3" t="s">
        <v>236</v>
      </c>
      <c r="C805" s="3">
        <v>2022</v>
      </c>
      <c r="D805" s="4">
        <v>4</v>
      </c>
      <c r="E805" s="5">
        <v>3040</v>
      </c>
      <c r="F805" s="5">
        <v>1800.23</v>
      </c>
      <c r="G805" s="3" t="str">
        <f>VLOOKUP(Registros[[#This Row],[Cliente]],Cliente_Region[],2,FALSE)</f>
        <v>Mexico</v>
      </c>
      <c r="H805" s="3" t="str">
        <f>VLOOKUP(Registros[[#This Row],[Producto]],Producto[],2,FALSE)</f>
        <v>CHOTUS</v>
      </c>
    </row>
    <row r="806" spans="1:8" ht="20.100000000000001" customHeight="1" x14ac:dyDescent="0.25">
      <c r="A806" s="3" t="s">
        <v>49</v>
      </c>
      <c r="B806" s="3" t="s">
        <v>236</v>
      </c>
      <c r="C806" s="3">
        <v>2022</v>
      </c>
      <c r="D806" s="4">
        <v>5</v>
      </c>
      <c r="E806" s="5">
        <v>3200</v>
      </c>
      <c r="F806" s="5">
        <v>1894.98</v>
      </c>
      <c r="G806" s="3" t="str">
        <f>VLOOKUP(Registros[[#This Row],[Cliente]],Cliente_Region[],2,FALSE)</f>
        <v>Mexico</v>
      </c>
      <c r="H806" s="3" t="str">
        <f>VLOOKUP(Registros[[#This Row],[Producto]],Producto[],2,FALSE)</f>
        <v>CHOTUS</v>
      </c>
    </row>
    <row r="807" spans="1:8" ht="20.100000000000001" customHeight="1" x14ac:dyDescent="0.25">
      <c r="A807" s="3" t="s">
        <v>49</v>
      </c>
      <c r="B807" s="3" t="s">
        <v>236</v>
      </c>
      <c r="C807" s="3">
        <v>2022</v>
      </c>
      <c r="D807" s="4">
        <v>6</v>
      </c>
      <c r="E807" s="5">
        <v>4820</v>
      </c>
      <c r="F807" s="5">
        <v>2927.72</v>
      </c>
      <c r="G807" s="3" t="str">
        <f>VLOOKUP(Registros[[#This Row],[Cliente]],Cliente_Region[],2,FALSE)</f>
        <v>Mexico</v>
      </c>
      <c r="H807" s="3" t="str">
        <f>VLOOKUP(Registros[[#This Row],[Producto]],Producto[],2,FALSE)</f>
        <v>CHOTUS</v>
      </c>
    </row>
    <row r="808" spans="1:8" ht="20.100000000000001" customHeight="1" x14ac:dyDescent="0.25">
      <c r="A808" s="3" t="s">
        <v>217</v>
      </c>
      <c r="B808" s="3" t="s">
        <v>236</v>
      </c>
      <c r="C808" s="3">
        <v>2022</v>
      </c>
      <c r="D808" s="4">
        <v>1</v>
      </c>
      <c r="E808" s="5">
        <v>94.68</v>
      </c>
      <c r="F808" s="5">
        <v>10.55</v>
      </c>
      <c r="G808" s="3" t="str">
        <f>VLOOKUP(Registros[[#This Row],[Cliente]],Cliente_Region[],2,FALSE)</f>
        <v>Mexico</v>
      </c>
      <c r="H808" s="3" t="str">
        <f>VLOOKUP(Registros[[#This Row],[Producto]],Producto[],2,FALSE)</f>
        <v>GAMBO</v>
      </c>
    </row>
    <row r="809" spans="1:8" ht="20.100000000000001" customHeight="1" x14ac:dyDescent="0.25">
      <c r="A809" s="3" t="s">
        <v>218</v>
      </c>
      <c r="B809" s="3" t="s">
        <v>236</v>
      </c>
      <c r="C809" s="3">
        <v>2022</v>
      </c>
      <c r="D809" s="4">
        <v>2</v>
      </c>
      <c r="E809" s="5">
        <v>284.04000000000002</v>
      </c>
      <c r="F809" s="5">
        <v>31.65</v>
      </c>
      <c r="G809" s="3" t="str">
        <f>VLOOKUP(Registros[[#This Row],[Cliente]],Cliente_Region[],2,FALSE)</f>
        <v>Mexico</v>
      </c>
      <c r="H809" s="3" t="str">
        <f>VLOOKUP(Registros[[#This Row],[Producto]],Producto[],2,FALSE)</f>
        <v>DONANY</v>
      </c>
    </row>
    <row r="810" spans="1:8" ht="20.100000000000001" customHeight="1" x14ac:dyDescent="0.25">
      <c r="A810" s="3" t="s">
        <v>218</v>
      </c>
      <c r="B810" s="3" t="s">
        <v>236</v>
      </c>
      <c r="C810" s="3">
        <v>2022</v>
      </c>
      <c r="D810" s="4">
        <v>3</v>
      </c>
      <c r="E810" s="5">
        <v>189.36</v>
      </c>
      <c r="F810" s="5">
        <v>21.1</v>
      </c>
      <c r="G810" s="3" t="str">
        <f>VLOOKUP(Registros[[#This Row],[Cliente]],Cliente_Region[],2,FALSE)</f>
        <v>Mexico</v>
      </c>
      <c r="H810" s="3" t="str">
        <f>VLOOKUP(Registros[[#This Row],[Producto]],Producto[],2,FALSE)</f>
        <v>DONANY</v>
      </c>
    </row>
    <row r="811" spans="1:8" ht="20.100000000000001" customHeight="1" x14ac:dyDescent="0.25">
      <c r="A811" s="3" t="s">
        <v>218</v>
      </c>
      <c r="B811" s="3" t="s">
        <v>236</v>
      </c>
      <c r="C811" s="3">
        <v>2022</v>
      </c>
      <c r="D811" s="4">
        <v>4</v>
      </c>
      <c r="E811" s="5">
        <v>147.28</v>
      </c>
      <c r="F811" s="5">
        <v>16.41</v>
      </c>
      <c r="G811" s="3" t="str">
        <f>VLOOKUP(Registros[[#This Row],[Cliente]],Cliente_Region[],2,FALSE)</f>
        <v>Mexico</v>
      </c>
      <c r="H811" s="3" t="str">
        <f>VLOOKUP(Registros[[#This Row],[Producto]],Producto[],2,FALSE)</f>
        <v>DONANY</v>
      </c>
    </row>
    <row r="812" spans="1:8" ht="20.100000000000001" customHeight="1" x14ac:dyDescent="0.25">
      <c r="A812" s="3" t="s">
        <v>218</v>
      </c>
      <c r="B812" s="3" t="s">
        <v>236</v>
      </c>
      <c r="C812" s="3">
        <v>2022</v>
      </c>
      <c r="D812" s="4">
        <v>5</v>
      </c>
      <c r="E812" s="5">
        <v>704.84</v>
      </c>
      <c r="F812" s="5">
        <v>78.55</v>
      </c>
      <c r="G812" s="3" t="str">
        <f>VLOOKUP(Registros[[#This Row],[Cliente]],Cliente_Region[],2,FALSE)</f>
        <v>Mexico</v>
      </c>
      <c r="H812" s="3" t="str">
        <f>VLOOKUP(Registros[[#This Row],[Producto]],Producto[],2,FALSE)</f>
        <v>DONANY</v>
      </c>
    </row>
    <row r="813" spans="1:8" ht="20.100000000000001" customHeight="1" x14ac:dyDescent="0.25">
      <c r="A813" s="3" t="s">
        <v>218</v>
      </c>
      <c r="B813" s="3" t="s">
        <v>236</v>
      </c>
      <c r="C813" s="3">
        <v>2022</v>
      </c>
      <c r="D813" s="4">
        <v>6</v>
      </c>
      <c r="E813" s="5">
        <v>557.55999999999995</v>
      </c>
      <c r="F813" s="5">
        <v>62.13</v>
      </c>
      <c r="G813" s="3" t="str">
        <f>VLOOKUP(Registros[[#This Row],[Cliente]],Cliente_Region[],2,FALSE)</f>
        <v>Mexico</v>
      </c>
      <c r="H813" s="3" t="str">
        <f>VLOOKUP(Registros[[#This Row],[Producto]],Producto[],2,FALSE)</f>
        <v>DONANY</v>
      </c>
    </row>
    <row r="814" spans="1:8" ht="20.100000000000001" customHeight="1" x14ac:dyDescent="0.25">
      <c r="A814" s="3" t="s">
        <v>65</v>
      </c>
      <c r="B814" s="3" t="s">
        <v>236</v>
      </c>
      <c r="C814" s="3">
        <v>2022</v>
      </c>
      <c r="D814" s="4">
        <v>3</v>
      </c>
      <c r="E814" s="5">
        <v>17</v>
      </c>
      <c r="F814" s="5">
        <v>11.11</v>
      </c>
      <c r="G814" s="3" t="str">
        <f>VLOOKUP(Registros[[#This Row],[Cliente]],Cliente_Region[],2,FALSE)</f>
        <v>Mexico</v>
      </c>
      <c r="H814" s="3" t="str">
        <f>VLOOKUP(Registros[[#This Row],[Producto]],Producto[],2,FALSE)</f>
        <v>DAWNE</v>
      </c>
    </row>
    <row r="815" spans="1:8" ht="20.100000000000001" customHeight="1" x14ac:dyDescent="0.25">
      <c r="A815" s="3" t="s">
        <v>95</v>
      </c>
      <c r="B815" s="3" t="s">
        <v>236</v>
      </c>
      <c r="C815" s="3">
        <v>2022</v>
      </c>
      <c r="D815" s="4">
        <v>1</v>
      </c>
      <c r="E815" s="5">
        <v>6307</v>
      </c>
      <c r="F815" s="5">
        <v>2975</v>
      </c>
      <c r="G815" s="3" t="str">
        <f>VLOOKUP(Registros[[#This Row],[Cliente]],Cliente_Region[],2,FALSE)</f>
        <v>Mexico</v>
      </c>
      <c r="H815" s="3" t="str">
        <f>VLOOKUP(Registros[[#This Row],[Producto]],Producto[],2,FALSE)</f>
        <v>CHOTUS</v>
      </c>
    </row>
    <row r="816" spans="1:8" ht="20.100000000000001" customHeight="1" x14ac:dyDescent="0.25">
      <c r="A816" s="3" t="s">
        <v>96</v>
      </c>
      <c r="B816" s="3" t="s">
        <v>236</v>
      </c>
      <c r="C816" s="3">
        <v>2022</v>
      </c>
      <c r="D816" s="4">
        <v>2</v>
      </c>
      <c r="E816" s="5">
        <v>2703</v>
      </c>
      <c r="F816" s="5">
        <v>1275</v>
      </c>
      <c r="G816" s="3" t="str">
        <f>VLOOKUP(Registros[[#This Row],[Cliente]],Cliente_Region[],2,FALSE)</f>
        <v>Mexico</v>
      </c>
      <c r="H816" s="3" t="str">
        <f>VLOOKUP(Registros[[#This Row],[Producto]],Producto[],2,FALSE)</f>
        <v>DONANY</v>
      </c>
    </row>
    <row r="817" spans="1:8" ht="20.100000000000001" customHeight="1" x14ac:dyDescent="0.25">
      <c r="A817" s="3" t="s">
        <v>96</v>
      </c>
      <c r="B817" s="3" t="s">
        <v>236</v>
      </c>
      <c r="C817" s="3">
        <v>2022</v>
      </c>
      <c r="D817" s="4">
        <v>3</v>
      </c>
      <c r="E817" s="5">
        <v>4770</v>
      </c>
      <c r="F817" s="5">
        <v>2250</v>
      </c>
      <c r="G817" s="3" t="str">
        <f>VLOOKUP(Registros[[#This Row],[Cliente]],Cliente_Region[],2,FALSE)</f>
        <v>Mexico</v>
      </c>
      <c r="H817" s="3" t="str">
        <f>VLOOKUP(Registros[[#This Row],[Producto]],Producto[],2,FALSE)</f>
        <v>DONANY</v>
      </c>
    </row>
    <row r="818" spans="1:8" ht="20.100000000000001" customHeight="1" x14ac:dyDescent="0.25">
      <c r="A818" s="3" t="s">
        <v>96</v>
      </c>
      <c r="B818" s="3" t="s">
        <v>236</v>
      </c>
      <c r="C818" s="3">
        <v>2022</v>
      </c>
      <c r="D818" s="4">
        <v>4</v>
      </c>
      <c r="E818" s="5">
        <v>6413</v>
      </c>
      <c r="F818" s="5">
        <v>2835.87</v>
      </c>
      <c r="G818" s="3" t="str">
        <f>VLOOKUP(Registros[[#This Row],[Cliente]],Cliente_Region[],2,FALSE)</f>
        <v>Mexico</v>
      </c>
      <c r="H818" s="3" t="str">
        <f>VLOOKUP(Registros[[#This Row],[Producto]],Producto[],2,FALSE)</f>
        <v>DONANY</v>
      </c>
    </row>
    <row r="819" spans="1:8" ht="20.100000000000001" customHeight="1" x14ac:dyDescent="0.25">
      <c r="A819" s="3" t="s">
        <v>96</v>
      </c>
      <c r="B819" s="3" t="s">
        <v>236</v>
      </c>
      <c r="C819" s="3">
        <v>2022</v>
      </c>
      <c r="D819" s="4">
        <v>5</v>
      </c>
      <c r="E819" s="5">
        <v>5194</v>
      </c>
      <c r="F819" s="5">
        <v>1409.51</v>
      </c>
      <c r="G819" s="3" t="str">
        <f>VLOOKUP(Registros[[#This Row],[Cliente]],Cliente_Region[],2,FALSE)</f>
        <v>Mexico</v>
      </c>
      <c r="H819" s="3" t="str">
        <f>VLOOKUP(Registros[[#This Row],[Producto]],Producto[],2,FALSE)</f>
        <v>DONANY</v>
      </c>
    </row>
    <row r="820" spans="1:8" ht="20.100000000000001" customHeight="1" x14ac:dyDescent="0.25">
      <c r="A820" s="3" t="s">
        <v>96</v>
      </c>
      <c r="B820" s="3" t="s">
        <v>236</v>
      </c>
      <c r="C820" s="3">
        <v>2022</v>
      </c>
      <c r="D820" s="4">
        <v>6</v>
      </c>
      <c r="E820" s="5">
        <v>5830</v>
      </c>
      <c r="F820" s="5">
        <v>446.38</v>
      </c>
      <c r="G820" s="3" t="str">
        <f>VLOOKUP(Registros[[#This Row],[Cliente]],Cliente_Region[],2,FALSE)</f>
        <v>Mexico</v>
      </c>
      <c r="H820" s="3" t="str">
        <f>VLOOKUP(Registros[[#This Row],[Producto]],Producto[],2,FALSE)</f>
        <v>DONANY</v>
      </c>
    </row>
    <row r="821" spans="1:8" ht="20.100000000000001" customHeight="1" x14ac:dyDescent="0.25">
      <c r="A821" s="3" t="s">
        <v>120</v>
      </c>
      <c r="B821" s="3" t="s">
        <v>236</v>
      </c>
      <c r="C821" s="3">
        <v>2022</v>
      </c>
      <c r="D821" s="4">
        <v>2</v>
      </c>
      <c r="E821" s="5">
        <v>212</v>
      </c>
      <c r="F821" s="5">
        <v>174.97</v>
      </c>
      <c r="G821" s="3" t="str">
        <f>VLOOKUP(Registros[[#This Row],[Cliente]],Cliente_Region[],2,FALSE)</f>
        <v>Mexico</v>
      </c>
      <c r="H821" s="3" t="str">
        <f>VLOOKUP(Registros[[#This Row],[Producto]],Producto[],2,FALSE)</f>
        <v>LAX</v>
      </c>
    </row>
    <row r="822" spans="1:8" ht="20.100000000000001" customHeight="1" x14ac:dyDescent="0.25">
      <c r="A822" s="3" t="s">
        <v>121</v>
      </c>
      <c r="B822" s="3" t="s">
        <v>236</v>
      </c>
      <c r="C822" s="3">
        <v>2022</v>
      </c>
      <c r="D822" s="4">
        <v>5</v>
      </c>
      <c r="E822" s="5">
        <v>100</v>
      </c>
      <c r="F822" s="5">
        <v>50.83</v>
      </c>
      <c r="G822" s="3" t="str">
        <f>VLOOKUP(Registros[[#This Row],[Cliente]],Cliente_Region[],2,FALSE)</f>
        <v>Mexico</v>
      </c>
      <c r="H822" s="3" t="str">
        <f>VLOOKUP(Registros[[#This Row],[Producto]],Producto[],2,FALSE)</f>
        <v>LAX</v>
      </c>
    </row>
    <row r="823" spans="1:8" ht="20.100000000000001" customHeight="1" x14ac:dyDescent="0.25">
      <c r="A823" s="3" t="s">
        <v>237</v>
      </c>
      <c r="B823" s="3" t="s">
        <v>236</v>
      </c>
      <c r="C823" s="3">
        <v>2022</v>
      </c>
      <c r="D823" s="4">
        <v>3</v>
      </c>
      <c r="E823" s="5">
        <v>1872</v>
      </c>
      <c r="F823" s="5">
        <v>920.7</v>
      </c>
      <c r="G823" s="3" t="str">
        <f>VLOOKUP(Registros[[#This Row],[Cliente]],Cliente_Region[],2,FALSE)</f>
        <v>Mexico</v>
      </c>
      <c r="H823" s="3" t="str">
        <f>VLOOKUP(Registros[[#This Row],[Producto]],Producto[],2,FALSE)</f>
        <v>GAMBO</v>
      </c>
    </row>
    <row r="824" spans="1:8" ht="20.100000000000001" customHeight="1" x14ac:dyDescent="0.25">
      <c r="A824" s="3" t="s">
        <v>238</v>
      </c>
      <c r="B824" s="3" t="s">
        <v>236</v>
      </c>
      <c r="C824" s="3">
        <v>2022</v>
      </c>
      <c r="D824" s="4">
        <v>5</v>
      </c>
      <c r="E824" s="5">
        <v>1591.2</v>
      </c>
      <c r="F824" s="5">
        <v>782.59</v>
      </c>
      <c r="G824" s="3" t="str">
        <f>VLOOKUP(Registros[[#This Row],[Cliente]],Cliente_Region[],2,FALSE)</f>
        <v>Mexico</v>
      </c>
      <c r="H824" s="3" t="str">
        <f>VLOOKUP(Registros[[#This Row],[Producto]],Producto[],2,FALSE)</f>
        <v>CHOTUS</v>
      </c>
    </row>
    <row r="825" spans="1:8" ht="20.100000000000001" customHeight="1" x14ac:dyDescent="0.25">
      <c r="A825" s="3" t="s">
        <v>191</v>
      </c>
      <c r="B825" s="3" t="s">
        <v>236</v>
      </c>
      <c r="C825" s="3">
        <v>2022</v>
      </c>
      <c r="D825" s="4">
        <v>5</v>
      </c>
      <c r="E825" s="5">
        <v>992</v>
      </c>
      <c r="F825" s="5">
        <v>711.64</v>
      </c>
      <c r="G825" s="3" t="str">
        <f>VLOOKUP(Registros[[#This Row],[Cliente]],Cliente_Region[],2,FALSE)</f>
        <v>Mexico</v>
      </c>
      <c r="H825" s="3" t="str">
        <f>VLOOKUP(Registros[[#This Row],[Producto]],Producto[],2,FALSE)</f>
        <v>SALF</v>
      </c>
    </row>
    <row r="826" spans="1:8" ht="20.100000000000001" customHeight="1" x14ac:dyDescent="0.25">
      <c r="A826" s="3" t="s">
        <v>155</v>
      </c>
      <c r="B826" s="3" t="s">
        <v>239</v>
      </c>
      <c r="C826" s="3">
        <v>2022</v>
      </c>
      <c r="D826" s="4">
        <v>2</v>
      </c>
      <c r="E826" s="5">
        <v>57.5</v>
      </c>
      <c r="F826" s="5">
        <v>32.049999999999997</v>
      </c>
      <c r="G826" s="3" t="str">
        <f>VLOOKUP(Registros[[#This Row],[Cliente]],Cliente_Region[],2,FALSE)</f>
        <v>Colombia</v>
      </c>
      <c r="H826" s="3" t="str">
        <f>VLOOKUP(Registros[[#This Row],[Producto]],Producto[],2,FALSE)</f>
        <v>SALF</v>
      </c>
    </row>
    <row r="827" spans="1:8" ht="20.100000000000001" customHeight="1" x14ac:dyDescent="0.25">
      <c r="A827" s="3" t="s">
        <v>156</v>
      </c>
      <c r="B827" s="3" t="s">
        <v>239</v>
      </c>
      <c r="C827" s="3">
        <v>2022</v>
      </c>
      <c r="D827" s="4">
        <v>3</v>
      </c>
      <c r="E827" s="5">
        <v>23</v>
      </c>
      <c r="F827" s="5">
        <v>12.82</v>
      </c>
      <c r="G827" s="3" t="str">
        <f>VLOOKUP(Registros[[#This Row],[Cliente]],Cliente_Region[],2,FALSE)</f>
        <v>Colombia</v>
      </c>
      <c r="H827" s="3" t="str">
        <f>VLOOKUP(Registros[[#This Row],[Producto]],Producto[],2,FALSE)</f>
        <v>QUOKAR</v>
      </c>
    </row>
    <row r="828" spans="1:8" ht="20.100000000000001" customHeight="1" x14ac:dyDescent="0.25">
      <c r="A828" s="3" t="s">
        <v>156</v>
      </c>
      <c r="B828" s="3" t="s">
        <v>239</v>
      </c>
      <c r="C828" s="3">
        <v>2022</v>
      </c>
      <c r="D828" s="4">
        <v>4</v>
      </c>
      <c r="E828" s="5">
        <v>92</v>
      </c>
      <c r="F828" s="5">
        <v>51.28</v>
      </c>
      <c r="G828" s="3" t="str">
        <f>VLOOKUP(Registros[[#This Row],[Cliente]],Cliente_Region[],2,FALSE)</f>
        <v>Colombia</v>
      </c>
      <c r="H828" s="3" t="str">
        <f>VLOOKUP(Registros[[#This Row],[Producto]],Producto[],2,FALSE)</f>
        <v>QUOKAR</v>
      </c>
    </row>
    <row r="829" spans="1:8" ht="20.100000000000001" customHeight="1" x14ac:dyDescent="0.25">
      <c r="A829" s="3" t="s">
        <v>156</v>
      </c>
      <c r="B829" s="3" t="s">
        <v>239</v>
      </c>
      <c r="C829" s="3">
        <v>2022</v>
      </c>
      <c r="D829" s="4">
        <v>5</v>
      </c>
      <c r="E829" s="5">
        <v>23</v>
      </c>
      <c r="F829" s="5">
        <v>12.82</v>
      </c>
      <c r="G829" s="3" t="str">
        <f>VLOOKUP(Registros[[#This Row],[Cliente]],Cliente_Region[],2,FALSE)</f>
        <v>Colombia</v>
      </c>
      <c r="H829" s="3" t="str">
        <f>VLOOKUP(Registros[[#This Row],[Producto]],Producto[],2,FALSE)</f>
        <v>QUOKAR</v>
      </c>
    </row>
    <row r="830" spans="1:8" ht="20.100000000000001" customHeight="1" x14ac:dyDescent="0.25">
      <c r="A830" s="3" t="s">
        <v>156</v>
      </c>
      <c r="B830" s="3" t="s">
        <v>239</v>
      </c>
      <c r="C830" s="3">
        <v>2022</v>
      </c>
      <c r="D830" s="4">
        <v>6</v>
      </c>
      <c r="E830" s="5">
        <v>46</v>
      </c>
      <c r="F830" s="5">
        <v>25.64</v>
      </c>
      <c r="G830" s="3" t="str">
        <f>VLOOKUP(Registros[[#This Row],[Cliente]],Cliente_Region[],2,FALSE)</f>
        <v>Colombia</v>
      </c>
      <c r="H830" s="3" t="str">
        <f>VLOOKUP(Registros[[#This Row],[Producto]],Producto[],2,FALSE)</f>
        <v>QUOKAR</v>
      </c>
    </row>
    <row r="831" spans="1:8" ht="20.100000000000001" customHeight="1" x14ac:dyDescent="0.25">
      <c r="A831" s="3" t="s">
        <v>30</v>
      </c>
      <c r="B831" s="3" t="s">
        <v>239</v>
      </c>
      <c r="C831" s="3">
        <v>2022</v>
      </c>
      <c r="D831" s="4">
        <v>1</v>
      </c>
      <c r="E831" s="5">
        <v>951.5</v>
      </c>
      <c r="F831" s="5">
        <v>686.93</v>
      </c>
      <c r="G831" s="3" t="str">
        <f>VLOOKUP(Registros[[#This Row],[Cliente]],Cliente_Region[],2,FALSE)</f>
        <v>Colombia</v>
      </c>
      <c r="H831" s="3" t="str">
        <f>VLOOKUP(Registros[[#This Row],[Producto]],Producto[],2,FALSE)</f>
        <v>CHOTUS</v>
      </c>
    </row>
    <row r="832" spans="1:8" ht="20.100000000000001" customHeight="1" x14ac:dyDescent="0.25">
      <c r="A832" s="3" t="s">
        <v>31</v>
      </c>
      <c r="B832" s="3" t="s">
        <v>239</v>
      </c>
      <c r="C832" s="3">
        <v>2022</v>
      </c>
      <c r="D832" s="4">
        <v>2</v>
      </c>
      <c r="E832" s="5">
        <v>709.5</v>
      </c>
      <c r="F832" s="5">
        <v>537.1</v>
      </c>
      <c r="G832" s="3" t="str">
        <f>VLOOKUP(Registros[[#This Row],[Cliente]],Cliente_Region[],2,FALSE)</f>
        <v>Colombia</v>
      </c>
      <c r="H832" s="3" t="str">
        <f>VLOOKUP(Registros[[#This Row],[Producto]],Producto[],2,FALSE)</f>
        <v>CHOTUS</v>
      </c>
    </row>
    <row r="833" spans="1:8" ht="20.100000000000001" customHeight="1" x14ac:dyDescent="0.25">
      <c r="A833" s="3" t="s">
        <v>31</v>
      </c>
      <c r="B833" s="3" t="s">
        <v>239</v>
      </c>
      <c r="C833" s="3">
        <v>2022</v>
      </c>
      <c r="D833" s="4">
        <v>3</v>
      </c>
      <c r="E833" s="5">
        <v>858</v>
      </c>
      <c r="F833" s="5">
        <v>649.54</v>
      </c>
      <c r="G833" s="3" t="str">
        <f>VLOOKUP(Registros[[#This Row],[Cliente]],Cliente_Region[],2,FALSE)</f>
        <v>Colombia</v>
      </c>
      <c r="H833" s="3" t="str">
        <f>VLOOKUP(Registros[[#This Row],[Producto]],Producto[],2,FALSE)</f>
        <v>CHOTUS</v>
      </c>
    </row>
    <row r="834" spans="1:8" ht="20.100000000000001" customHeight="1" x14ac:dyDescent="0.25">
      <c r="A834" s="3" t="s">
        <v>31</v>
      </c>
      <c r="B834" s="3" t="s">
        <v>239</v>
      </c>
      <c r="C834" s="3">
        <v>2022</v>
      </c>
      <c r="D834" s="4">
        <v>4</v>
      </c>
      <c r="E834" s="5">
        <v>330</v>
      </c>
      <c r="F834" s="5">
        <v>249.81</v>
      </c>
      <c r="G834" s="3" t="str">
        <f>VLOOKUP(Registros[[#This Row],[Cliente]],Cliente_Region[],2,FALSE)</f>
        <v>Colombia</v>
      </c>
      <c r="H834" s="3" t="str">
        <f>VLOOKUP(Registros[[#This Row],[Producto]],Producto[],2,FALSE)</f>
        <v>CHOTUS</v>
      </c>
    </row>
    <row r="835" spans="1:8" ht="20.100000000000001" customHeight="1" x14ac:dyDescent="0.25">
      <c r="A835" s="3" t="s">
        <v>31</v>
      </c>
      <c r="B835" s="3" t="s">
        <v>239</v>
      </c>
      <c r="C835" s="3">
        <v>2022</v>
      </c>
      <c r="D835" s="4">
        <v>5</v>
      </c>
      <c r="E835" s="5">
        <v>693</v>
      </c>
      <c r="F835" s="5">
        <v>524.62</v>
      </c>
      <c r="G835" s="3" t="str">
        <f>VLOOKUP(Registros[[#This Row],[Cliente]],Cliente_Region[],2,FALSE)</f>
        <v>Colombia</v>
      </c>
      <c r="H835" s="3" t="str">
        <f>VLOOKUP(Registros[[#This Row],[Producto]],Producto[],2,FALSE)</f>
        <v>CHOTUS</v>
      </c>
    </row>
    <row r="836" spans="1:8" ht="20.100000000000001" customHeight="1" x14ac:dyDescent="0.25">
      <c r="A836" s="3" t="s">
        <v>31</v>
      </c>
      <c r="B836" s="3" t="s">
        <v>239</v>
      </c>
      <c r="C836" s="3">
        <v>2022</v>
      </c>
      <c r="D836" s="4">
        <v>6</v>
      </c>
      <c r="E836" s="5">
        <v>627</v>
      </c>
      <c r="F836" s="5">
        <v>474.65</v>
      </c>
      <c r="G836" s="3" t="str">
        <f>VLOOKUP(Registros[[#This Row],[Cliente]],Cliente_Region[],2,FALSE)</f>
        <v>Colombia</v>
      </c>
      <c r="H836" s="3" t="str">
        <f>VLOOKUP(Registros[[#This Row],[Producto]],Producto[],2,FALSE)</f>
        <v>CHOTUS</v>
      </c>
    </row>
    <row r="837" spans="1:8" ht="20.100000000000001" customHeight="1" x14ac:dyDescent="0.25">
      <c r="A837" s="3" t="s">
        <v>34</v>
      </c>
      <c r="B837" s="3" t="s">
        <v>239</v>
      </c>
      <c r="C837" s="3">
        <v>2022</v>
      </c>
      <c r="D837" s="4">
        <v>1</v>
      </c>
      <c r="E837" s="5">
        <v>269.75</v>
      </c>
      <c r="F837" s="5">
        <v>203.87</v>
      </c>
      <c r="G837" s="3" t="str">
        <f>VLOOKUP(Registros[[#This Row],[Cliente]],Cliente_Region[],2,FALSE)</f>
        <v>Colombia</v>
      </c>
      <c r="H837" s="3" t="str">
        <f>VLOOKUP(Registros[[#This Row],[Producto]],Producto[],2,FALSE)</f>
        <v>DONANY</v>
      </c>
    </row>
    <row r="838" spans="1:8" ht="20.100000000000001" customHeight="1" x14ac:dyDescent="0.25">
      <c r="A838" s="3" t="s">
        <v>35</v>
      </c>
      <c r="B838" s="3" t="s">
        <v>239</v>
      </c>
      <c r="C838" s="3">
        <v>2022</v>
      </c>
      <c r="D838" s="4">
        <v>2</v>
      </c>
      <c r="E838" s="5">
        <v>365.5</v>
      </c>
      <c r="F838" s="5">
        <v>280.25</v>
      </c>
      <c r="G838" s="3" t="str">
        <f>VLOOKUP(Registros[[#This Row],[Cliente]],Cliente_Region[],2,FALSE)</f>
        <v>Colombia</v>
      </c>
      <c r="H838" s="3" t="str">
        <f>VLOOKUP(Registros[[#This Row],[Producto]],Producto[],2,FALSE)</f>
        <v>MOC</v>
      </c>
    </row>
    <row r="839" spans="1:8" ht="20.100000000000001" customHeight="1" x14ac:dyDescent="0.25">
      <c r="A839" s="3" t="s">
        <v>35</v>
      </c>
      <c r="B839" s="3" t="s">
        <v>239</v>
      </c>
      <c r="C839" s="3">
        <v>2022</v>
      </c>
      <c r="D839" s="4">
        <v>3</v>
      </c>
      <c r="E839" s="5">
        <v>217.75</v>
      </c>
      <c r="F839" s="5">
        <v>167.37</v>
      </c>
      <c r="G839" s="3" t="str">
        <f>VLOOKUP(Registros[[#This Row],[Cliente]],Cliente_Region[],2,FALSE)</f>
        <v>Colombia</v>
      </c>
      <c r="H839" s="3" t="str">
        <f>VLOOKUP(Registros[[#This Row],[Producto]],Producto[],2,FALSE)</f>
        <v>MOC</v>
      </c>
    </row>
    <row r="840" spans="1:8" ht="20.100000000000001" customHeight="1" x14ac:dyDescent="0.25">
      <c r="A840" s="3" t="s">
        <v>35</v>
      </c>
      <c r="B840" s="3" t="s">
        <v>239</v>
      </c>
      <c r="C840" s="3">
        <v>2022</v>
      </c>
      <c r="D840" s="4">
        <v>4</v>
      </c>
      <c r="E840" s="5">
        <v>167</v>
      </c>
      <c r="F840" s="5">
        <v>128.25</v>
      </c>
      <c r="G840" s="3" t="str">
        <f>VLOOKUP(Registros[[#This Row],[Cliente]],Cliente_Region[],2,FALSE)</f>
        <v>Colombia</v>
      </c>
      <c r="H840" s="3" t="str">
        <f>VLOOKUP(Registros[[#This Row],[Producto]],Producto[],2,FALSE)</f>
        <v>MOC</v>
      </c>
    </row>
    <row r="841" spans="1:8" ht="20.100000000000001" customHeight="1" x14ac:dyDescent="0.25">
      <c r="A841" s="3" t="s">
        <v>35</v>
      </c>
      <c r="B841" s="3" t="s">
        <v>239</v>
      </c>
      <c r="C841" s="3">
        <v>2022</v>
      </c>
      <c r="D841" s="4">
        <v>5</v>
      </c>
      <c r="E841" s="5">
        <v>284.25</v>
      </c>
      <c r="F841" s="5">
        <v>218.37</v>
      </c>
      <c r="G841" s="3" t="str">
        <f>VLOOKUP(Registros[[#This Row],[Cliente]],Cliente_Region[],2,FALSE)</f>
        <v>Colombia</v>
      </c>
      <c r="H841" s="3" t="str">
        <f>VLOOKUP(Registros[[#This Row],[Producto]],Producto[],2,FALSE)</f>
        <v>MOC</v>
      </c>
    </row>
    <row r="842" spans="1:8" ht="20.100000000000001" customHeight="1" x14ac:dyDescent="0.25">
      <c r="A842" s="3" t="s">
        <v>35</v>
      </c>
      <c r="B842" s="3" t="s">
        <v>239</v>
      </c>
      <c r="C842" s="3">
        <v>2022</v>
      </c>
      <c r="D842" s="4">
        <v>6</v>
      </c>
      <c r="E842" s="5">
        <v>351.75</v>
      </c>
      <c r="F842" s="5">
        <v>270.36</v>
      </c>
      <c r="G842" s="3" t="str">
        <f>VLOOKUP(Registros[[#This Row],[Cliente]],Cliente_Region[],2,FALSE)</f>
        <v>Colombia</v>
      </c>
      <c r="H842" s="3" t="str">
        <f>VLOOKUP(Registros[[#This Row],[Producto]],Producto[],2,FALSE)</f>
        <v>MOC</v>
      </c>
    </row>
    <row r="843" spans="1:8" ht="20.100000000000001" customHeight="1" x14ac:dyDescent="0.25">
      <c r="A843" s="3" t="s">
        <v>240</v>
      </c>
      <c r="B843" s="3" t="s">
        <v>239</v>
      </c>
      <c r="C843" s="3">
        <v>2022</v>
      </c>
      <c r="D843" s="4">
        <v>5</v>
      </c>
      <c r="E843" s="5">
        <v>20</v>
      </c>
      <c r="F843" s="5">
        <v>11.7</v>
      </c>
      <c r="G843" s="3" t="str">
        <f>VLOOKUP(Registros[[#This Row],[Cliente]],Cliente_Region[],2,FALSE)</f>
        <v>Colombia</v>
      </c>
      <c r="H843" s="3" t="str">
        <f>VLOOKUP(Registros[[#This Row],[Producto]],Producto[],2,FALSE)</f>
        <v>SALF</v>
      </c>
    </row>
    <row r="844" spans="1:8" ht="20.100000000000001" customHeight="1" x14ac:dyDescent="0.25">
      <c r="A844" s="3" t="s">
        <v>4</v>
      </c>
      <c r="B844" s="3" t="s">
        <v>239</v>
      </c>
      <c r="C844" s="3">
        <v>2022</v>
      </c>
      <c r="D844" s="4">
        <v>1</v>
      </c>
      <c r="E844" s="5">
        <v>1449</v>
      </c>
      <c r="F844" s="5">
        <v>894.09</v>
      </c>
      <c r="G844" s="3" t="str">
        <f>VLOOKUP(Registros[[#This Row],[Cliente]],Cliente_Region[],2,FALSE)</f>
        <v>Colombia</v>
      </c>
      <c r="H844" s="3" t="str">
        <f>VLOOKUP(Registros[[#This Row],[Producto]],Producto[],2,FALSE)</f>
        <v>QUOKAR</v>
      </c>
    </row>
    <row r="845" spans="1:8" ht="20.100000000000001" customHeight="1" x14ac:dyDescent="0.25">
      <c r="A845" s="3" t="s">
        <v>242</v>
      </c>
      <c r="B845" s="3" t="s">
        <v>239</v>
      </c>
      <c r="C845" s="3">
        <v>2022</v>
      </c>
      <c r="D845" s="4">
        <v>2</v>
      </c>
      <c r="E845" s="5">
        <v>1638</v>
      </c>
      <c r="F845" s="5">
        <v>1037.48</v>
      </c>
      <c r="G845" s="3" t="str">
        <f>VLOOKUP(Registros[[#This Row],[Cliente]],Cliente_Region[],2,FALSE)</f>
        <v>Colombia</v>
      </c>
      <c r="H845" s="3" t="str">
        <f>VLOOKUP(Registros[[#This Row],[Producto]],Producto[],2,FALSE)</f>
        <v>MOC</v>
      </c>
    </row>
    <row r="846" spans="1:8" ht="20.100000000000001" customHeight="1" x14ac:dyDescent="0.25">
      <c r="A846" s="3" t="s">
        <v>242</v>
      </c>
      <c r="B846" s="3" t="s">
        <v>239</v>
      </c>
      <c r="C846" s="3">
        <v>2022</v>
      </c>
      <c r="D846" s="4">
        <v>3</v>
      </c>
      <c r="E846" s="5">
        <v>1617</v>
      </c>
      <c r="F846" s="5">
        <v>1031.6500000000001</v>
      </c>
      <c r="G846" s="3" t="str">
        <f>VLOOKUP(Registros[[#This Row],[Cliente]],Cliente_Region[],2,FALSE)</f>
        <v>Colombia</v>
      </c>
      <c r="H846" s="3" t="str">
        <f>VLOOKUP(Registros[[#This Row],[Producto]],Producto[],2,FALSE)</f>
        <v>MOC</v>
      </c>
    </row>
    <row r="847" spans="1:8" ht="20.100000000000001" customHeight="1" x14ac:dyDescent="0.25">
      <c r="A847" s="3" t="s">
        <v>242</v>
      </c>
      <c r="B847" s="3" t="s">
        <v>239</v>
      </c>
      <c r="C847" s="3">
        <v>2022</v>
      </c>
      <c r="D847" s="4">
        <v>4</v>
      </c>
      <c r="E847" s="5">
        <v>1533</v>
      </c>
      <c r="F847" s="5">
        <v>978.09</v>
      </c>
      <c r="G847" s="3" t="str">
        <f>VLOOKUP(Registros[[#This Row],[Cliente]],Cliente_Region[],2,FALSE)</f>
        <v>Colombia</v>
      </c>
      <c r="H847" s="3" t="str">
        <f>VLOOKUP(Registros[[#This Row],[Producto]],Producto[],2,FALSE)</f>
        <v>MOC</v>
      </c>
    </row>
    <row r="848" spans="1:8" ht="20.100000000000001" customHeight="1" x14ac:dyDescent="0.25">
      <c r="A848" s="3" t="s">
        <v>242</v>
      </c>
      <c r="B848" s="3" t="s">
        <v>239</v>
      </c>
      <c r="C848" s="3">
        <v>2022</v>
      </c>
      <c r="D848" s="4">
        <v>5</v>
      </c>
      <c r="E848" s="5">
        <v>1365</v>
      </c>
      <c r="F848" s="5">
        <v>870.9</v>
      </c>
      <c r="G848" s="3" t="str">
        <f>VLOOKUP(Registros[[#This Row],[Cliente]],Cliente_Region[],2,FALSE)</f>
        <v>Colombia</v>
      </c>
      <c r="H848" s="3" t="str">
        <f>VLOOKUP(Registros[[#This Row],[Producto]],Producto[],2,FALSE)</f>
        <v>MOC</v>
      </c>
    </row>
    <row r="849" spans="1:8" ht="20.100000000000001" customHeight="1" x14ac:dyDescent="0.25">
      <c r="A849" s="3" t="s">
        <v>242</v>
      </c>
      <c r="B849" s="3" t="s">
        <v>239</v>
      </c>
      <c r="C849" s="3">
        <v>2022</v>
      </c>
      <c r="D849" s="4">
        <v>6</v>
      </c>
      <c r="E849" s="5">
        <v>1260</v>
      </c>
      <c r="F849" s="5">
        <v>803.91</v>
      </c>
      <c r="G849" s="3" t="str">
        <f>VLOOKUP(Registros[[#This Row],[Cliente]],Cliente_Region[],2,FALSE)</f>
        <v>Colombia</v>
      </c>
      <c r="H849" s="3" t="str">
        <f>VLOOKUP(Registros[[#This Row],[Producto]],Producto[],2,FALSE)</f>
        <v>MOC</v>
      </c>
    </row>
    <row r="850" spans="1:8" ht="20.100000000000001" customHeight="1" x14ac:dyDescent="0.25">
      <c r="A850" s="3" t="s">
        <v>48</v>
      </c>
      <c r="B850" s="3" t="s">
        <v>239</v>
      </c>
      <c r="C850" s="3">
        <v>2022</v>
      </c>
      <c r="D850" s="4">
        <v>1</v>
      </c>
      <c r="E850" s="5">
        <v>6314</v>
      </c>
      <c r="F850" s="5">
        <v>4146.25</v>
      </c>
      <c r="G850" s="3" t="str">
        <f>VLOOKUP(Registros[[#This Row],[Cliente]],Cliente_Region[],2,FALSE)</f>
        <v>Colombia</v>
      </c>
      <c r="H850" s="3" t="str">
        <f>VLOOKUP(Registros[[#This Row],[Producto]],Producto[],2,FALSE)</f>
        <v>GAMBO</v>
      </c>
    </row>
    <row r="851" spans="1:8" ht="20.100000000000001" customHeight="1" x14ac:dyDescent="0.25">
      <c r="A851" s="3" t="s">
        <v>49</v>
      </c>
      <c r="B851" s="3" t="s">
        <v>239</v>
      </c>
      <c r="C851" s="3">
        <v>2022</v>
      </c>
      <c r="D851" s="4">
        <v>2</v>
      </c>
      <c r="E851" s="5">
        <v>5978</v>
      </c>
      <c r="F851" s="5">
        <v>4105.3</v>
      </c>
      <c r="G851" s="3" t="str">
        <f>VLOOKUP(Registros[[#This Row],[Cliente]],Cliente_Region[],2,FALSE)</f>
        <v>Colombia</v>
      </c>
      <c r="H851" s="3" t="str">
        <f>VLOOKUP(Registros[[#This Row],[Producto]],Producto[],2,FALSE)</f>
        <v>CHOTUS</v>
      </c>
    </row>
    <row r="852" spans="1:8" ht="20.100000000000001" customHeight="1" x14ac:dyDescent="0.25">
      <c r="A852" s="3" t="s">
        <v>49</v>
      </c>
      <c r="B852" s="3" t="s">
        <v>239</v>
      </c>
      <c r="C852" s="3">
        <v>2022</v>
      </c>
      <c r="D852" s="4">
        <v>3</v>
      </c>
      <c r="E852" s="5">
        <v>6457.5</v>
      </c>
      <c r="F852" s="5">
        <v>4402.09</v>
      </c>
      <c r="G852" s="3" t="str">
        <f>VLOOKUP(Registros[[#This Row],[Cliente]],Cliente_Region[],2,FALSE)</f>
        <v>Colombia</v>
      </c>
      <c r="H852" s="3" t="str">
        <f>VLOOKUP(Registros[[#This Row],[Producto]],Producto[],2,FALSE)</f>
        <v>CHOTUS</v>
      </c>
    </row>
    <row r="853" spans="1:8" ht="20.100000000000001" customHeight="1" x14ac:dyDescent="0.25">
      <c r="A853" s="3" t="s">
        <v>49</v>
      </c>
      <c r="B853" s="3" t="s">
        <v>239</v>
      </c>
      <c r="C853" s="3">
        <v>2022</v>
      </c>
      <c r="D853" s="4">
        <v>4</v>
      </c>
      <c r="E853" s="5">
        <v>4735.5</v>
      </c>
      <c r="F853" s="5">
        <v>3228.19</v>
      </c>
      <c r="G853" s="3" t="str">
        <f>VLOOKUP(Registros[[#This Row],[Cliente]],Cliente_Region[],2,FALSE)</f>
        <v>Colombia</v>
      </c>
      <c r="H853" s="3" t="str">
        <f>VLOOKUP(Registros[[#This Row],[Producto]],Producto[],2,FALSE)</f>
        <v>CHOTUS</v>
      </c>
    </row>
    <row r="854" spans="1:8" ht="20.100000000000001" customHeight="1" x14ac:dyDescent="0.25">
      <c r="A854" s="3" t="s">
        <v>49</v>
      </c>
      <c r="B854" s="3" t="s">
        <v>239</v>
      </c>
      <c r="C854" s="3">
        <v>2022</v>
      </c>
      <c r="D854" s="4">
        <v>5</v>
      </c>
      <c r="E854" s="5">
        <v>7523.5</v>
      </c>
      <c r="F854" s="5">
        <v>5128.8</v>
      </c>
      <c r="G854" s="3" t="str">
        <f>VLOOKUP(Registros[[#This Row],[Cliente]],Cliente_Region[],2,FALSE)</f>
        <v>Colombia</v>
      </c>
      <c r="H854" s="3" t="str">
        <f>VLOOKUP(Registros[[#This Row],[Producto]],Producto[],2,FALSE)</f>
        <v>CHOTUS</v>
      </c>
    </row>
    <row r="855" spans="1:8" ht="20.100000000000001" customHeight="1" x14ac:dyDescent="0.25">
      <c r="A855" s="3" t="s">
        <v>49</v>
      </c>
      <c r="B855" s="3" t="s">
        <v>239</v>
      </c>
      <c r="C855" s="3">
        <v>2022</v>
      </c>
      <c r="D855" s="4">
        <v>6</v>
      </c>
      <c r="E855" s="5">
        <v>5883.5</v>
      </c>
      <c r="F855" s="5">
        <v>4010.81</v>
      </c>
      <c r="G855" s="3" t="str">
        <f>VLOOKUP(Registros[[#This Row],[Cliente]],Cliente_Region[],2,FALSE)</f>
        <v>Colombia</v>
      </c>
      <c r="H855" s="3" t="str">
        <f>VLOOKUP(Registros[[#This Row],[Producto]],Producto[],2,FALSE)</f>
        <v>CHOTUS</v>
      </c>
    </row>
    <row r="856" spans="1:8" ht="20.100000000000001" customHeight="1" x14ac:dyDescent="0.25">
      <c r="A856" s="3" t="s">
        <v>243</v>
      </c>
      <c r="B856" s="3" t="s">
        <v>239</v>
      </c>
      <c r="C856" s="3">
        <v>2022</v>
      </c>
      <c r="D856" s="4">
        <v>2</v>
      </c>
      <c r="E856" s="5">
        <v>36.5</v>
      </c>
      <c r="F856" s="5">
        <v>22.3</v>
      </c>
      <c r="G856" s="3" t="str">
        <f>VLOOKUP(Registros[[#This Row],[Cliente]],Cliente_Region[],2,FALSE)</f>
        <v>Colombia</v>
      </c>
      <c r="H856" s="3" t="str">
        <f>VLOOKUP(Registros[[#This Row],[Producto]],Producto[],2,FALSE)</f>
        <v>CHOTUS</v>
      </c>
    </row>
    <row r="857" spans="1:8" ht="20.100000000000001" customHeight="1" x14ac:dyDescent="0.25">
      <c r="A857" s="3" t="s">
        <v>244</v>
      </c>
      <c r="B857" s="3" t="s">
        <v>239</v>
      </c>
      <c r="C857" s="3">
        <v>2022</v>
      </c>
      <c r="D857" s="4">
        <v>1</v>
      </c>
      <c r="E857" s="5">
        <v>59.25</v>
      </c>
      <c r="F857" s="5">
        <v>40.29</v>
      </c>
      <c r="G857" s="3" t="str">
        <f>VLOOKUP(Registros[[#This Row],[Cliente]],Cliente_Region[],2,FALSE)</f>
        <v>Colombia</v>
      </c>
      <c r="H857" s="3" t="str">
        <f>VLOOKUP(Registros[[#This Row],[Producto]],Producto[],2,FALSE)</f>
        <v>QUOKAR</v>
      </c>
    </row>
    <row r="858" spans="1:8" ht="20.100000000000001" customHeight="1" x14ac:dyDescent="0.25">
      <c r="A858" s="3" t="s">
        <v>164</v>
      </c>
      <c r="B858" s="3" t="s">
        <v>239</v>
      </c>
      <c r="C858" s="3">
        <v>2022</v>
      </c>
      <c r="D858" s="4">
        <v>1</v>
      </c>
      <c r="E858" s="5">
        <v>43.5</v>
      </c>
      <c r="F858" s="5">
        <v>26.42</v>
      </c>
      <c r="G858" s="3" t="str">
        <f>VLOOKUP(Registros[[#This Row],[Cliente]],Cliente_Region[],2,FALSE)</f>
        <v>Colombia</v>
      </c>
      <c r="H858" s="3" t="str">
        <f>VLOOKUP(Registros[[#This Row],[Producto]],Producto[],2,FALSE)</f>
        <v>MOC</v>
      </c>
    </row>
    <row r="859" spans="1:8" ht="20.100000000000001" customHeight="1" x14ac:dyDescent="0.25">
      <c r="A859" s="3" t="s">
        <v>165</v>
      </c>
      <c r="B859" s="3" t="s">
        <v>239</v>
      </c>
      <c r="C859" s="3">
        <v>2022</v>
      </c>
      <c r="D859" s="4">
        <v>2</v>
      </c>
      <c r="E859" s="5">
        <v>87</v>
      </c>
      <c r="F859" s="5">
        <v>52.72</v>
      </c>
      <c r="G859" s="3" t="str">
        <f>VLOOKUP(Registros[[#This Row],[Cliente]],Cliente_Region[],2,FALSE)</f>
        <v>Colombia</v>
      </c>
      <c r="H859" s="3" t="str">
        <f>VLOOKUP(Registros[[#This Row],[Producto]],Producto[],2,FALSE)</f>
        <v>DONANY</v>
      </c>
    </row>
    <row r="860" spans="1:8" ht="20.100000000000001" customHeight="1" x14ac:dyDescent="0.25">
      <c r="A860" s="3" t="s">
        <v>165</v>
      </c>
      <c r="B860" s="3" t="s">
        <v>239</v>
      </c>
      <c r="C860" s="3">
        <v>2022</v>
      </c>
      <c r="D860" s="4">
        <v>3</v>
      </c>
      <c r="E860" s="5">
        <v>65.25</v>
      </c>
      <c r="F860" s="5">
        <v>39.51</v>
      </c>
      <c r="G860" s="3" t="str">
        <f>VLOOKUP(Registros[[#This Row],[Cliente]],Cliente_Region[],2,FALSE)</f>
        <v>Colombia</v>
      </c>
      <c r="H860" s="3" t="str">
        <f>VLOOKUP(Registros[[#This Row],[Producto]],Producto[],2,FALSE)</f>
        <v>DONANY</v>
      </c>
    </row>
    <row r="861" spans="1:8" ht="20.100000000000001" customHeight="1" x14ac:dyDescent="0.25">
      <c r="A861" s="3" t="s">
        <v>165</v>
      </c>
      <c r="B861" s="3" t="s">
        <v>239</v>
      </c>
      <c r="C861" s="3">
        <v>2022</v>
      </c>
      <c r="D861" s="4">
        <v>5</v>
      </c>
      <c r="E861" s="5">
        <v>65.25</v>
      </c>
      <c r="F861" s="5">
        <v>39.479999999999997</v>
      </c>
      <c r="G861" s="3" t="str">
        <f>VLOOKUP(Registros[[#This Row],[Cliente]],Cliente_Region[],2,FALSE)</f>
        <v>Colombia</v>
      </c>
      <c r="H861" s="3" t="str">
        <f>VLOOKUP(Registros[[#This Row],[Producto]],Producto[],2,FALSE)</f>
        <v>DONANY</v>
      </c>
    </row>
    <row r="862" spans="1:8" ht="20.100000000000001" customHeight="1" x14ac:dyDescent="0.25">
      <c r="A862" s="3" t="s">
        <v>245</v>
      </c>
      <c r="B862" s="3" t="s">
        <v>239</v>
      </c>
      <c r="C862" s="3">
        <v>2022</v>
      </c>
      <c r="D862" s="4">
        <v>3</v>
      </c>
      <c r="E862" s="5">
        <v>72.75</v>
      </c>
      <c r="F862" s="5">
        <v>25.03</v>
      </c>
      <c r="G862" s="3" t="str">
        <f>VLOOKUP(Registros[[#This Row],[Cliente]],Cliente_Region[],2,FALSE)</f>
        <v>Colombia</v>
      </c>
      <c r="H862" s="3" t="str">
        <f>VLOOKUP(Registros[[#This Row],[Producto]],Producto[],2,FALSE)</f>
        <v>CHOTUS</v>
      </c>
    </row>
    <row r="863" spans="1:8" ht="20.100000000000001" customHeight="1" x14ac:dyDescent="0.25">
      <c r="A863" s="3" t="s">
        <v>138</v>
      </c>
      <c r="B863" s="3" t="s">
        <v>239</v>
      </c>
      <c r="C863" s="3">
        <v>2022</v>
      </c>
      <c r="D863" s="4">
        <v>1</v>
      </c>
      <c r="E863" s="5">
        <v>58.75</v>
      </c>
      <c r="F863" s="5">
        <v>35.93</v>
      </c>
      <c r="G863" s="3" t="str">
        <f>VLOOKUP(Registros[[#This Row],[Cliente]],Cliente_Region[],2,FALSE)</f>
        <v>Colombia</v>
      </c>
      <c r="H863" s="3" t="str">
        <f>VLOOKUP(Registros[[#This Row],[Producto]],Producto[],2,FALSE)</f>
        <v>SALF</v>
      </c>
    </row>
    <row r="864" spans="1:8" ht="20.100000000000001" customHeight="1" x14ac:dyDescent="0.25">
      <c r="A864" s="3" t="s">
        <v>140</v>
      </c>
      <c r="B864" s="3" t="s">
        <v>239</v>
      </c>
      <c r="C864" s="3">
        <v>2022</v>
      </c>
      <c r="D864" s="4">
        <v>1</v>
      </c>
      <c r="E864" s="5">
        <v>0</v>
      </c>
      <c r="F864" s="5">
        <v>-15.79</v>
      </c>
      <c r="G864" s="3" t="str">
        <f>VLOOKUP(Registros[[#This Row],[Cliente]],Cliente_Region[],2,FALSE)</f>
        <v>Colombia</v>
      </c>
      <c r="H864" s="3" t="str">
        <f>VLOOKUP(Registros[[#This Row],[Producto]],Producto[],2,FALSE)</f>
        <v>DAWNE</v>
      </c>
    </row>
    <row r="865" spans="1:8" ht="20.100000000000001" customHeight="1" x14ac:dyDescent="0.25">
      <c r="A865" s="3" t="s">
        <v>141</v>
      </c>
      <c r="B865" s="3" t="s">
        <v>239</v>
      </c>
      <c r="C865" s="3">
        <v>2022</v>
      </c>
      <c r="D865" s="4">
        <v>4</v>
      </c>
      <c r="E865" s="5">
        <v>36</v>
      </c>
      <c r="F865" s="5">
        <v>17.23</v>
      </c>
      <c r="G865" s="3" t="str">
        <f>VLOOKUP(Registros[[#This Row],[Cliente]],Cliente_Region[],2,FALSE)</f>
        <v>Colombia</v>
      </c>
      <c r="H865" s="3" t="str">
        <f>VLOOKUP(Registros[[#This Row],[Producto]],Producto[],2,FALSE)</f>
        <v>QUOKAR</v>
      </c>
    </row>
    <row r="866" spans="1:8" ht="20.100000000000001" customHeight="1" x14ac:dyDescent="0.25">
      <c r="A866" s="3" t="s">
        <v>141</v>
      </c>
      <c r="B866" s="3" t="s">
        <v>239</v>
      </c>
      <c r="C866" s="3">
        <v>2022</v>
      </c>
      <c r="D866" s="4">
        <v>6</v>
      </c>
      <c r="E866" s="5">
        <v>36</v>
      </c>
      <c r="F866" s="5">
        <v>17.579999999999998</v>
      </c>
      <c r="G866" s="3" t="str">
        <f>VLOOKUP(Registros[[#This Row],[Cliente]],Cliente_Region[],2,FALSE)</f>
        <v>Colombia</v>
      </c>
      <c r="H866" s="3" t="str">
        <f>VLOOKUP(Registros[[#This Row],[Producto]],Producto[],2,FALSE)</f>
        <v>QUOKAR</v>
      </c>
    </row>
    <row r="867" spans="1:8" ht="20.100000000000001" customHeight="1" x14ac:dyDescent="0.25">
      <c r="A867" s="3" t="s">
        <v>114</v>
      </c>
      <c r="B867" s="3" t="s">
        <v>239</v>
      </c>
      <c r="C867" s="3">
        <v>2022</v>
      </c>
      <c r="D867" s="4">
        <v>2</v>
      </c>
      <c r="E867" s="5">
        <v>50</v>
      </c>
      <c r="F867" s="5">
        <v>29.92</v>
      </c>
      <c r="G867" s="3" t="str">
        <f>VLOOKUP(Registros[[#This Row],[Cliente]],Cliente_Region[],2,FALSE)</f>
        <v>Colombia</v>
      </c>
      <c r="H867" s="3" t="str">
        <f>VLOOKUP(Registros[[#This Row],[Producto]],Producto[],2,FALSE)</f>
        <v>DAWNE</v>
      </c>
    </row>
    <row r="868" spans="1:8" ht="20.100000000000001" customHeight="1" x14ac:dyDescent="0.25">
      <c r="A868" s="3" t="s">
        <v>115</v>
      </c>
      <c r="B868" s="3" t="s">
        <v>239</v>
      </c>
      <c r="C868" s="3">
        <v>2022</v>
      </c>
      <c r="D868" s="4">
        <v>3</v>
      </c>
      <c r="E868" s="5">
        <v>25</v>
      </c>
      <c r="F868" s="5">
        <v>13.94</v>
      </c>
      <c r="G868" s="3" t="str">
        <f>VLOOKUP(Registros[[#This Row],[Cliente]],Cliente_Region[],2,FALSE)</f>
        <v>Colombia</v>
      </c>
      <c r="H868" s="3" t="str">
        <f>VLOOKUP(Registros[[#This Row],[Producto]],Producto[],2,FALSE)</f>
        <v>GAMBO</v>
      </c>
    </row>
    <row r="869" spans="1:8" ht="20.100000000000001" customHeight="1" x14ac:dyDescent="0.25">
      <c r="A869" s="3" t="s">
        <v>115</v>
      </c>
      <c r="B869" s="3" t="s">
        <v>239</v>
      </c>
      <c r="C869" s="3">
        <v>2022</v>
      </c>
      <c r="D869" s="4">
        <v>4</v>
      </c>
      <c r="E869" s="5">
        <v>100</v>
      </c>
      <c r="F869" s="5">
        <v>22.6</v>
      </c>
      <c r="G869" s="3" t="str">
        <f>VLOOKUP(Registros[[#This Row],[Cliente]],Cliente_Region[],2,FALSE)</f>
        <v>Colombia</v>
      </c>
      <c r="H869" s="3" t="str">
        <f>VLOOKUP(Registros[[#This Row],[Producto]],Producto[],2,FALSE)</f>
        <v>GAMBO</v>
      </c>
    </row>
    <row r="870" spans="1:8" ht="20.100000000000001" customHeight="1" x14ac:dyDescent="0.25">
      <c r="A870" s="3" t="s">
        <v>246</v>
      </c>
      <c r="B870" s="3" t="s">
        <v>239</v>
      </c>
      <c r="C870" s="3">
        <v>2022</v>
      </c>
      <c r="D870" s="4">
        <v>1</v>
      </c>
      <c r="E870" s="5">
        <v>39.799999999999997</v>
      </c>
      <c r="F870" s="5">
        <v>15.6</v>
      </c>
      <c r="G870" s="3" t="str">
        <f>VLOOKUP(Registros[[#This Row],[Cliente]],Cliente_Region[],2,FALSE)</f>
        <v>Colombia</v>
      </c>
      <c r="H870" s="3" t="str">
        <f>VLOOKUP(Registros[[#This Row],[Producto]],Producto[],2,FALSE)</f>
        <v>LAX</v>
      </c>
    </row>
    <row r="871" spans="1:8" ht="20.100000000000001" customHeight="1" x14ac:dyDescent="0.25">
      <c r="A871" s="3" t="s">
        <v>247</v>
      </c>
      <c r="B871" s="3" t="s">
        <v>239</v>
      </c>
      <c r="C871" s="3">
        <v>2022</v>
      </c>
      <c r="D871" s="4">
        <v>2</v>
      </c>
      <c r="E871" s="5">
        <v>49.75</v>
      </c>
      <c r="F871" s="5">
        <v>25.55</v>
      </c>
      <c r="G871" s="3" t="str">
        <f>VLOOKUP(Registros[[#This Row],[Cliente]],Cliente_Region[],2,FALSE)</f>
        <v>Colombia</v>
      </c>
      <c r="H871" s="3" t="str">
        <f>VLOOKUP(Registros[[#This Row],[Producto]],Producto[],2,FALSE)</f>
        <v>DAWNE</v>
      </c>
    </row>
    <row r="872" spans="1:8" ht="20.100000000000001" customHeight="1" x14ac:dyDescent="0.25">
      <c r="A872" s="3" t="s">
        <v>247</v>
      </c>
      <c r="B872" s="3" t="s">
        <v>239</v>
      </c>
      <c r="C872" s="3">
        <v>2022</v>
      </c>
      <c r="D872" s="4">
        <v>3</v>
      </c>
      <c r="E872" s="5">
        <v>99.5</v>
      </c>
      <c r="F872" s="5">
        <v>51.1</v>
      </c>
      <c r="G872" s="3" t="str">
        <f>VLOOKUP(Registros[[#This Row],[Cliente]],Cliente_Region[],2,FALSE)</f>
        <v>Colombia</v>
      </c>
      <c r="H872" s="3" t="str">
        <f>VLOOKUP(Registros[[#This Row],[Producto]],Producto[],2,FALSE)</f>
        <v>DAWNE</v>
      </c>
    </row>
    <row r="873" spans="1:8" ht="20.100000000000001" customHeight="1" x14ac:dyDescent="0.25">
      <c r="A873" s="3" t="s">
        <v>247</v>
      </c>
      <c r="B873" s="3" t="s">
        <v>239</v>
      </c>
      <c r="C873" s="3">
        <v>2022</v>
      </c>
      <c r="D873" s="4">
        <v>6</v>
      </c>
      <c r="E873" s="5">
        <v>49.75</v>
      </c>
      <c r="F873" s="5">
        <v>25.55</v>
      </c>
      <c r="G873" s="3" t="str">
        <f>VLOOKUP(Registros[[#This Row],[Cliente]],Cliente_Region[],2,FALSE)</f>
        <v>Colombia</v>
      </c>
      <c r="H873" s="3" t="str">
        <f>VLOOKUP(Registros[[#This Row],[Producto]],Producto[],2,FALSE)</f>
        <v>DAWNE</v>
      </c>
    </row>
    <row r="874" spans="1:8" ht="20.100000000000001" customHeight="1" x14ac:dyDescent="0.25">
      <c r="A874" s="3" t="s">
        <v>65</v>
      </c>
      <c r="B874" s="3" t="s">
        <v>239</v>
      </c>
      <c r="C874" s="3">
        <v>2022</v>
      </c>
      <c r="D874" s="4">
        <v>1</v>
      </c>
      <c r="E874" s="5">
        <v>103.5</v>
      </c>
      <c r="F874" s="5">
        <v>68.16</v>
      </c>
      <c r="G874" s="3" t="str">
        <f>VLOOKUP(Registros[[#This Row],[Cliente]],Cliente_Region[],2,FALSE)</f>
        <v>Colombia</v>
      </c>
      <c r="H874" s="3" t="str">
        <f>VLOOKUP(Registros[[#This Row],[Producto]],Producto[],2,FALSE)</f>
        <v>DAWNE</v>
      </c>
    </row>
    <row r="875" spans="1:8" ht="20.100000000000001" customHeight="1" x14ac:dyDescent="0.25">
      <c r="A875" s="3" t="s">
        <v>66</v>
      </c>
      <c r="B875" s="3" t="s">
        <v>239</v>
      </c>
      <c r="C875" s="3">
        <v>2022</v>
      </c>
      <c r="D875" s="4">
        <v>2</v>
      </c>
      <c r="E875" s="5">
        <v>0</v>
      </c>
      <c r="F875" s="5">
        <v>-5.89</v>
      </c>
      <c r="G875" s="3" t="str">
        <f>VLOOKUP(Registros[[#This Row],[Cliente]],Cliente_Region[],2,FALSE)</f>
        <v>Colombia</v>
      </c>
      <c r="H875" s="3" t="str">
        <f>VLOOKUP(Registros[[#This Row],[Producto]],Producto[],2,FALSE)</f>
        <v>LAX</v>
      </c>
    </row>
    <row r="876" spans="1:8" ht="20.100000000000001" customHeight="1" x14ac:dyDescent="0.25">
      <c r="A876" s="3" t="s">
        <v>66</v>
      </c>
      <c r="B876" s="3" t="s">
        <v>239</v>
      </c>
      <c r="C876" s="3">
        <v>2022</v>
      </c>
      <c r="D876" s="4">
        <v>3</v>
      </c>
      <c r="E876" s="5">
        <v>138</v>
      </c>
      <c r="F876" s="5">
        <v>90.88</v>
      </c>
      <c r="G876" s="3" t="str">
        <f>VLOOKUP(Registros[[#This Row],[Cliente]],Cliente_Region[],2,FALSE)</f>
        <v>Colombia</v>
      </c>
      <c r="H876" s="3" t="str">
        <f>VLOOKUP(Registros[[#This Row],[Producto]],Producto[],2,FALSE)</f>
        <v>LAX</v>
      </c>
    </row>
    <row r="877" spans="1:8" ht="20.100000000000001" customHeight="1" x14ac:dyDescent="0.25">
      <c r="A877" s="3" t="s">
        <v>66</v>
      </c>
      <c r="B877" s="3" t="s">
        <v>239</v>
      </c>
      <c r="C877" s="3">
        <v>2022</v>
      </c>
      <c r="D877" s="4">
        <v>4</v>
      </c>
      <c r="E877" s="5">
        <v>69</v>
      </c>
      <c r="F877" s="5">
        <v>45.44</v>
      </c>
      <c r="G877" s="3" t="str">
        <f>VLOOKUP(Registros[[#This Row],[Cliente]],Cliente_Region[],2,FALSE)</f>
        <v>Colombia</v>
      </c>
      <c r="H877" s="3" t="str">
        <f>VLOOKUP(Registros[[#This Row],[Producto]],Producto[],2,FALSE)</f>
        <v>LAX</v>
      </c>
    </row>
    <row r="878" spans="1:8" ht="20.100000000000001" customHeight="1" x14ac:dyDescent="0.25">
      <c r="A878" s="3" t="s">
        <v>66</v>
      </c>
      <c r="B878" s="3" t="s">
        <v>239</v>
      </c>
      <c r="C878" s="3">
        <v>2022</v>
      </c>
      <c r="D878" s="4">
        <v>5</v>
      </c>
      <c r="E878" s="5">
        <v>172.5</v>
      </c>
      <c r="F878" s="5">
        <v>113.6</v>
      </c>
      <c r="G878" s="3" t="str">
        <f>VLOOKUP(Registros[[#This Row],[Cliente]],Cliente_Region[],2,FALSE)</f>
        <v>Colombia</v>
      </c>
      <c r="H878" s="3" t="str">
        <f>VLOOKUP(Registros[[#This Row],[Producto]],Producto[],2,FALSE)</f>
        <v>LAX</v>
      </c>
    </row>
    <row r="879" spans="1:8" ht="20.100000000000001" customHeight="1" x14ac:dyDescent="0.25">
      <c r="A879" s="3" t="s">
        <v>66</v>
      </c>
      <c r="B879" s="3" t="s">
        <v>239</v>
      </c>
      <c r="C879" s="3">
        <v>2022</v>
      </c>
      <c r="D879" s="4">
        <v>6</v>
      </c>
      <c r="E879" s="5">
        <v>69</v>
      </c>
      <c r="F879" s="5">
        <v>45.44</v>
      </c>
      <c r="G879" s="3" t="str">
        <f>VLOOKUP(Registros[[#This Row],[Cliente]],Cliente_Region[],2,FALSE)</f>
        <v>Colombia</v>
      </c>
      <c r="H879" s="3" t="str">
        <f>VLOOKUP(Registros[[#This Row],[Producto]],Producto[],2,FALSE)</f>
        <v>LAX</v>
      </c>
    </row>
    <row r="880" spans="1:8" ht="20.100000000000001" customHeight="1" x14ac:dyDescent="0.25">
      <c r="A880" s="3" t="s">
        <v>146</v>
      </c>
      <c r="B880" s="3" t="s">
        <v>239</v>
      </c>
      <c r="C880" s="3">
        <v>2022</v>
      </c>
      <c r="D880" s="4">
        <v>4</v>
      </c>
      <c r="E880" s="5">
        <v>45.75</v>
      </c>
      <c r="F880" s="5">
        <v>21.68</v>
      </c>
      <c r="G880" s="3" t="str">
        <f>VLOOKUP(Registros[[#This Row],[Cliente]],Cliente_Region[],2,FALSE)</f>
        <v>Colombia</v>
      </c>
      <c r="H880" s="3" t="str">
        <f>VLOOKUP(Registros[[#This Row],[Producto]],Producto[],2,FALSE)</f>
        <v>DAWNE</v>
      </c>
    </row>
    <row r="881" spans="1:8" ht="20.100000000000001" customHeight="1" x14ac:dyDescent="0.25">
      <c r="A881" s="3" t="s">
        <v>147</v>
      </c>
      <c r="B881" s="3" t="s">
        <v>239</v>
      </c>
      <c r="C881" s="3">
        <v>2022</v>
      </c>
      <c r="D881" s="4">
        <v>5</v>
      </c>
      <c r="E881" s="5">
        <v>213.75</v>
      </c>
      <c r="F881" s="5">
        <v>117.48</v>
      </c>
      <c r="G881" s="3" t="str">
        <f>VLOOKUP(Registros[[#This Row],[Cliente]],Cliente_Region[],2,FALSE)</f>
        <v>Colombia</v>
      </c>
      <c r="H881" s="3" t="str">
        <f>VLOOKUP(Registros[[#This Row],[Producto]],Producto[],2,FALSE)</f>
        <v>DONANY</v>
      </c>
    </row>
    <row r="882" spans="1:8" ht="20.100000000000001" customHeight="1" x14ac:dyDescent="0.25">
      <c r="A882" s="3" t="s">
        <v>120</v>
      </c>
      <c r="B882" s="3" t="s">
        <v>239</v>
      </c>
      <c r="C882" s="3">
        <v>2022</v>
      </c>
      <c r="D882" s="4">
        <v>1</v>
      </c>
      <c r="E882" s="5">
        <v>305</v>
      </c>
      <c r="F882" s="5">
        <v>175.44</v>
      </c>
      <c r="G882" s="3" t="str">
        <f>VLOOKUP(Registros[[#This Row],[Cliente]],Cliente_Region[],2,FALSE)</f>
        <v>Colombia</v>
      </c>
      <c r="H882" s="3" t="str">
        <f>VLOOKUP(Registros[[#This Row],[Producto]],Producto[],2,FALSE)</f>
        <v>LAX</v>
      </c>
    </row>
    <row r="883" spans="1:8" ht="20.100000000000001" customHeight="1" x14ac:dyDescent="0.25">
      <c r="A883" s="3" t="s">
        <v>121</v>
      </c>
      <c r="B883" s="3" t="s">
        <v>239</v>
      </c>
      <c r="C883" s="3">
        <v>2022</v>
      </c>
      <c r="D883" s="4">
        <v>2</v>
      </c>
      <c r="E883" s="5">
        <v>292.5</v>
      </c>
      <c r="F883" s="5">
        <v>172.15</v>
      </c>
      <c r="G883" s="3" t="str">
        <f>VLOOKUP(Registros[[#This Row],[Cliente]],Cliente_Region[],2,FALSE)</f>
        <v>Colombia</v>
      </c>
      <c r="H883" s="3" t="str">
        <f>VLOOKUP(Registros[[#This Row],[Producto]],Producto[],2,FALSE)</f>
        <v>LAX</v>
      </c>
    </row>
    <row r="884" spans="1:8" ht="20.100000000000001" customHeight="1" x14ac:dyDescent="0.25">
      <c r="A884" s="3" t="s">
        <v>121</v>
      </c>
      <c r="B884" s="3" t="s">
        <v>239</v>
      </c>
      <c r="C884" s="3">
        <v>2022</v>
      </c>
      <c r="D884" s="4">
        <v>3</v>
      </c>
      <c r="E884" s="5">
        <v>270</v>
      </c>
      <c r="F884" s="5">
        <v>136.09</v>
      </c>
      <c r="G884" s="3" t="str">
        <f>VLOOKUP(Registros[[#This Row],[Cliente]],Cliente_Region[],2,FALSE)</f>
        <v>Colombia</v>
      </c>
      <c r="H884" s="3" t="str">
        <f>VLOOKUP(Registros[[#This Row],[Producto]],Producto[],2,FALSE)</f>
        <v>LAX</v>
      </c>
    </row>
    <row r="885" spans="1:8" ht="20.100000000000001" customHeight="1" x14ac:dyDescent="0.25">
      <c r="A885" s="3" t="s">
        <v>121</v>
      </c>
      <c r="B885" s="3" t="s">
        <v>239</v>
      </c>
      <c r="C885" s="3">
        <v>2022</v>
      </c>
      <c r="D885" s="4">
        <v>4</v>
      </c>
      <c r="E885" s="5">
        <v>360</v>
      </c>
      <c r="F885" s="5">
        <v>202.63</v>
      </c>
      <c r="G885" s="3" t="str">
        <f>VLOOKUP(Registros[[#This Row],[Cliente]],Cliente_Region[],2,FALSE)</f>
        <v>Colombia</v>
      </c>
      <c r="H885" s="3" t="str">
        <f>VLOOKUP(Registros[[#This Row],[Producto]],Producto[],2,FALSE)</f>
        <v>LAX</v>
      </c>
    </row>
    <row r="886" spans="1:8" ht="20.100000000000001" customHeight="1" x14ac:dyDescent="0.25">
      <c r="A886" s="3" t="s">
        <v>121</v>
      </c>
      <c r="B886" s="3" t="s">
        <v>239</v>
      </c>
      <c r="C886" s="3">
        <v>2022</v>
      </c>
      <c r="D886" s="4">
        <v>5</v>
      </c>
      <c r="E886" s="5">
        <v>360</v>
      </c>
      <c r="F886" s="5">
        <v>205.4</v>
      </c>
      <c r="G886" s="3" t="str">
        <f>VLOOKUP(Registros[[#This Row],[Cliente]],Cliente_Region[],2,FALSE)</f>
        <v>Colombia</v>
      </c>
      <c r="H886" s="3" t="str">
        <f>VLOOKUP(Registros[[#This Row],[Producto]],Producto[],2,FALSE)</f>
        <v>LAX</v>
      </c>
    </row>
    <row r="887" spans="1:8" ht="20.100000000000001" customHeight="1" x14ac:dyDescent="0.25">
      <c r="A887" s="3" t="s">
        <v>121</v>
      </c>
      <c r="B887" s="3" t="s">
        <v>239</v>
      </c>
      <c r="C887" s="3">
        <v>2022</v>
      </c>
      <c r="D887" s="4">
        <v>6</v>
      </c>
      <c r="E887" s="5">
        <v>112.5</v>
      </c>
      <c r="F887" s="5">
        <v>64.569999999999993</v>
      </c>
      <c r="G887" s="3" t="str">
        <f>VLOOKUP(Registros[[#This Row],[Cliente]],Cliente_Region[],2,FALSE)</f>
        <v>Colombia</v>
      </c>
      <c r="H887" s="3" t="str">
        <f>VLOOKUP(Registros[[#This Row],[Producto]],Producto[],2,FALSE)</f>
        <v>LAX</v>
      </c>
    </row>
    <row r="888" spans="1:8" ht="20.100000000000001" customHeight="1" x14ac:dyDescent="0.25">
      <c r="A888" s="3" t="s">
        <v>74</v>
      </c>
      <c r="B888" s="3" t="s">
        <v>239</v>
      </c>
      <c r="C888" s="3">
        <v>2022</v>
      </c>
      <c r="D888" s="4">
        <v>1</v>
      </c>
      <c r="E888" s="5">
        <v>2775</v>
      </c>
      <c r="F888" s="5">
        <v>309.08</v>
      </c>
      <c r="G888" s="3" t="str">
        <f>VLOOKUP(Registros[[#This Row],[Cliente]],Cliente_Region[],2,FALSE)</f>
        <v>Colombia</v>
      </c>
      <c r="H888" s="3" t="str">
        <f>VLOOKUP(Registros[[#This Row],[Producto]],Producto[],2,FALSE)</f>
        <v>CHOTUS</v>
      </c>
    </row>
    <row r="889" spans="1:8" ht="20.100000000000001" customHeight="1" x14ac:dyDescent="0.25">
      <c r="A889" s="3" t="s">
        <v>75</v>
      </c>
      <c r="B889" s="3" t="s">
        <v>239</v>
      </c>
      <c r="C889" s="3">
        <v>2022</v>
      </c>
      <c r="D889" s="4">
        <v>2</v>
      </c>
      <c r="E889" s="5">
        <v>1850</v>
      </c>
      <c r="F889" s="5">
        <v>594.02</v>
      </c>
      <c r="G889" s="3" t="str">
        <f>VLOOKUP(Registros[[#This Row],[Cliente]],Cliente_Region[],2,FALSE)</f>
        <v>Colombia</v>
      </c>
      <c r="H889" s="3" t="str">
        <f>VLOOKUP(Registros[[#This Row],[Producto]],Producto[],2,FALSE)</f>
        <v>DONANY</v>
      </c>
    </row>
    <row r="890" spans="1:8" ht="20.100000000000001" customHeight="1" x14ac:dyDescent="0.25">
      <c r="A890" s="3" t="s">
        <v>75</v>
      </c>
      <c r="B890" s="3" t="s">
        <v>239</v>
      </c>
      <c r="C890" s="3">
        <v>2022</v>
      </c>
      <c r="D890" s="4">
        <v>3</v>
      </c>
      <c r="E890" s="5">
        <v>2125</v>
      </c>
      <c r="F890" s="5">
        <v>675</v>
      </c>
      <c r="G890" s="3" t="str">
        <f>VLOOKUP(Registros[[#This Row],[Cliente]],Cliente_Region[],2,FALSE)</f>
        <v>Colombia</v>
      </c>
      <c r="H890" s="3" t="str">
        <f>VLOOKUP(Registros[[#This Row],[Producto]],Producto[],2,FALSE)</f>
        <v>DONANY</v>
      </c>
    </row>
    <row r="891" spans="1:8" ht="20.100000000000001" customHeight="1" x14ac:dyDescent="0.25">
      <c r="A891" s="3" t="s">
        <v>75</v>
      </c>
      <c r="B891" s="3" t="s">
        <v>239</v>
      </c>
      <c r="C891" s="3">
        <v>2022</v>
      </c>
      <c r="D891" s="4">
        <v>4</v>
      </c>
      <c r="E891" s="5">
        <v>1062.5</v>
      </c>
      <c r="F891" s="5">
        <v>337.5</v>
      </c>
      <c r="G891" s="3" t="str">
        <f>VLOOKUP(Registros[[#This Row],[Cliente]],Cliente_Region[],2,FALSE)</f>
        <v>Colombia</v>
      </c>
      <c r="H891" s="3" t="str">
        <f>VLOOKUP(Registros[[#This Row],[Producto]],Producto[],2,FALSE)</f>
        <v>DONANY</v>
      </c>
    </row>
    <row r="892" spans="1:8" ht="20.100000000000001" customHeight="1" x14ac:dyDescent="0.25">
      <c r="A892" s="3" t="s">
        <v>75</v>
      </c>
      <c r="B892" s="3" t="s">
        <v>239</v>
      </c>
      <c r="C892" s="3">
        <v>2022</v>
      </c>
      <c r="D892" s="4">
        <v>5</v>
      </c>
      <c r="E892" s="5">
        <v>2167.5</v>
      </c>
      <c r="F892" s="5">
        <v>825.03</v>
      </c>
      <c r="G892" s="3" t="str">
        <f>VLOOKUP(Registros[[#This Row],[Cliente]],Cliente_Region[],2,FALSE)</f>
        <v>Colombia</v>
      </c>
      <c r="H892" s="3" t="str">
        <f>VLOOKUP(Registros[[#This Row],[Producto]],Producto[],2,FALSE)</f>
        <v>DONANY</v>
      </c>
    </row>
    <row r="893" spans="1:8" ht="20.100000000000001" customHeight="1" x14ac:dyDescent="0.25">
      <c r="A893" s="3" t="s">
        <v>75</v>
      </c>
      <c r="B893" s="3" t="s">
        <v>239</v>
      </c>
      <c r="C893" s="3">
        <v>2022</v>
      </c>
      <c r="D893" s="4">
        <v>6</v>
      </c>
      <c r="E893" s="5">
        <v>1997.5</v>
      </c>
      <c r="F893" s="5">
        <v>714.5</v>
      </c>
      <c r="G893" s="3" t="str">
        <f>VLOOKUP(Registros[[#This Row],[Cliente]],Cliente_Region[],2,FALSE)</f>
        <v>Colombia</v>
      </c>
      <c r="H893" s="3" t="str">
        <f>VLOOKUP(Registros[[#This Row],[Producto]],Producto[],2,FALSE)</f>
        <v>DONANY</v>
      </c>
    </row>
    <row r="894" spans="1:8" ht="20.100000000000001" customHeight="1" x14ac:dyDescent="0.25">
      <c r="A894" s="3" t="s">
        <v>62</v>
      </c>
      <c r="B894" s="3" t="s">
        <v>239</v>
      </c>
      <c r="C894" s="3">
        <v>2022</v>
      </c>
      <c r="D894" s="4">
        <v>1</v>
      </c>
      <c r="E894" s="5">
        <v>844</v>
      </c>
      <c r="F894" s="5">
        <v>251.05</v>
      </c>
      <c r="G894" s="3" t="str">
        <f>VLOOKUP(Registros[[#This Row],[Cliente]],Cliente_Region[],2,FALSE)</f>
        <v>Colombia</v>
      </c>
      <c r="H894" s="3" t="str">
        <f>VLOOKUP(Registros[[#This Row],[Producto]],Producto[],2,FALSE)</f>
        <v>MOC</v>
      </c>
    </row>
    <row r="895" spans="1:8" ht="20.100000000000001" customHeight="1" x14ac:dyDescent="0.25">
      <c r="A895" s="3" t="s">
        <v>63</v>
      </c>
      <c r="B895" s="3" t="s">
        <v>239</v>
      </c>
      <c r="C895" s="3">
        <v>2022</v>
      </c>
      <c r="D895" s="4">
        <v>2</v>
      </c>
      <c r="E895" s="5">
        <v>713</v>
      </c>
      <c r="F895" s="5">
        <v>293.93</v>
      </c>
      <c r="G895" s="3" t="str">
        <f>VLOOKUP(Registros[[#This Row],[Cliente]],Cliente_Region[],2,FALSE)</f>
        <v>Colombia</v>
      </c>
      <c r="H895" s="3" t="str">
        <f>VLOOKUP(Registros[[#This Row],[Producto]],Producto[],2,FALSE)</f>
        <v>SALF</v>
      </c>
    </row>
    <row r="896" spans="1:8" ht="20.100000000000001" customHeight="1" x14ac:dyDescent="0.25">
      <c r="A896" s="3" t="s">
        <v>63</v>
      </c>
      <c r="B896" s="3" t="s">
        <v>239</v>
      </c>
      <c r="C896" s="3">
        <v>2022</v>
      </c>
      <c r="D896" s="4">
        <v>3</v>
      </c>
      <c r="E896" s="5">
        <v>552</v>
      </c>
      <c r="F896" s="5">
        <v>227.87</v>
      </c>
      <c r="G896" s="3" t="str">
        <f>VLOOKUP(Registros[[#This Row],[Cliente]],Cliente_Region[],2,FALSE)</f>
        <v>Colombia</v>
      </c>
      <c r="H896" s="3" t="str">
        <f>VLOOKUP(Registros[[#This Row],[Producto]],Producto[],2,FALSE)</f>
        <v>SALF</v>
      </c>
    </row>
    <row r="897" spans="1:8" ht="20.100000000000001" customHeight="1" x14ac:dyDescent="0.25">
      <c r="A897" s="3" t="s">
        <v>63</v>
      </c>
      <c r="B897" s="3" t="s">
        <v>239</v>
      </c>
      <c r="C897" s="3">
        <v>2022</v>
      </c>
      <c r="D897" s="4">
        <v>4</v>
      </c>
      <c r="E897" s="5">
        <v>414</v>
      </c>
      <c r="F897" s="5">
        <v>170.91</v>
      </c>
      <c r="G897" s="3" t="str">
        <f>VLOOKUP(Registros[[#This Row],[Cliente]],Cliente_Region[],2,FALSE)</f>
        <v>Colombia</v>
      </c>
      <c r="H897" s="3" t="str">
        <f>VLOOKUP(Registros[[#This Row],[Producto]],Producto[],2,FALSE)</f>
        <v>SALF</v>
      </c>
    </row>
    <row r="898" spans="1:8" ht="20.100000000000001" customHeight="1" x14ac:dyDescent="0.25">
      <c r="A898" s="3" t="s">
        <v>63</v>
      </c>
      <c r="B898" s="3" t="s">
        <v>239</v>
      </c>
      <c r="C898" s="3">
        <v>2022</v>
      </c>
      <c r="D898" s="4">
        <v>5</v>
      </c>
      <c r="E898" s="5">
        <v>690</v>
      </c>
      <c r="F898" s="5">
        <v>339.45</v>
      </c>
      <c r="G898" s="3" t="str">
        <f>VLOOKUP(Registros[[#This Row],[Cliente]],Cliente_Region[],2,FALSE)</f>
        <v>Colombia</v>
      </c>
      <c r="H898" s="3" t="str">
        <f>VLOOKUP(Registros[[#This Row],[Producto]],Producto[],2,FALSE)</f>
        <v>SALF</v>
      </c>
    </row>
    <row r="899" spans="1:8" ht="20.100000000000001" customHeight="1" x14ac:dyDescent="0.25">
      <c r="A899" s="3" t="s">
        <v>63</v>
      </c>
      <c r="B899" s="3" t="s">
        <v>239</v>
      </c>
      <c r="C899" s="3">
        <v>2022</v>
      </c>
      <c r="D899" s="4">
        <v>6</v>
      </c>
      <c r="E899" s="5">
        <v>782</v>
      </c>
      <c r="F899" s="5">
        <v>348.58</v>
      </c>
      <c r="G899" s="3" t="str">
        <f>VLOOKUP(Registros[[#This Row],[Cliente]],Cliente_Region[],2,FALSE)</f>
        <v>Colombia</v>
      </c>
      <c r="H899" s="3" t="str">
        <f>VLOOKUP(Registros[[#This Row],[Producto]],Producto[],2,FALSE)</f>
        <v>SALF</v>
      </c>
    </row>
    <row r="900" spans="1:8" ht="20.100000000000001" customHeight="1" x14ac:dyDescent="0.25">
      <c r="A900" s="3" t="s">
        <v>248</v>
      </c>
      <c r="B900" s="3" t="s">
        <v>239</v>
      </c>
      <c r="C900" s="3">
        <v>2022</v>
      </c>
      <c r="D900" s="4">
        <v>1</v>
      </c>
      <c r="E900" s="5">
        <v>45</v>
      </c>
      <c r="F900" s="5">
        <v>23.69</v>
      </c>
      <c r="G900" s="3" t="str">
        <f>VLOOKUP(Registros[[#This Row],[Cliente]],Cliente_Region[],2,FALSE)</f>
        <v>Colombia</v>
      </c>
      <c r="H900" s="3" t="str">
        <f>VLOOKUP(Registros[[#This Row],[Producto]],Producto[],2,FALSE)</f>
        <v>DONANY</v>
      </c>
    </row>
    <row r="901" spans="1:8" ht="20.100000000000001" customHeight="1" x14ac:dyDescent="0.25">
      <c r="A901" s="3" t="s">
        <v>249</v>
      </c>
      <c r="B901" s="3" t="s">
        <v>239</v>
      </c>
      <c r="C901" s="3">
        <v>2022</v>
      </c>
      <c r="D901" s="4">
        <v>2</v>
      </c>
      <c r="E901" s="5">
        <v>90</v>
      </c>
      <c r="F901" s="5">
        <v>47.37</v>
      </c>
      <c r="G901" s="3" t="str">
        <f>VLOOKUP(Registros[[#This Row],[Cliente]],Cliente_Region[],2,FALSE)</f>
        <v>Colombia</v>
      </c>
      <c r="H901" s="3" t="str">
        <f>VLOOKUP(Registros[[#This Row],[Producto]],Producto[],2,FALSE)</f>
        <v>MOC</v>
      </c>
    </row>
    <row r="902" spans="1:8" ht="20.100000000000001" customHeight="1" x14ac:dyDescent="0.25">
      <c r="A902" s="3" t="s">
        <v>249</v>
      </c>
      <c r="B902" s="3" t="s">
        <v>239</v>
      </c>
      <c r="C902" s="3">
        <v>2022</v>
      </c>
      <c r="D902" s="4">
        <v>3</v>
      </c>
      <c r="E902" s="5">
        <v>324</v>
      </c>
      <c r="F902" s="5">
        <v>196.14</v>
      </c>
      <c r="G902" s="3" t="str">
        <f>VLOOKUP(Registros[[#This Row],[Cliente]],Cliente_Region[],2,FALSE)</f>
        <v>Colombia</v>
      </c>
      <c r="H902" s="3" t="str">
        <f>VLOOKUP(Registros[[#This Row],[Producto]],Producto[],2,FALSE)</f>
        <v>MOC</v>
      </c>
    </row>
    <row r="903" spans="1:8" ht="20.100000000000001" customHeight="1" x14ac:dyDescent="0.25">
      <c r="A903" s="3" t="s">
        <v>249</v>
      </c>
      <c r="B903" s="3" t="s">
        <v>239</v>
      </c>
      <c r="C903" s="3">
        <v>2022</v>
      </c>
      <c r="D903" s="4">
        <v>4</v>
      </c>
      <c r="E903" s="5">
        <v>135</v>
      </c>
      <c r="F903" s="5">
        <v>75.31</v>
      </c>
      <c r="G903" s="3" t="str">
        <f>VLOOKUP(Registros[[#This Row],[Cliente]],Cliente_Region[],2,FALSE)</f>
        <v>Colombia</v>
      </c>
      <c r="H903" s="3" t="str">
        <f>VLOOKUP(Registros[[#This Row],[Producto]],Producto[],2,FALSE)</f>
        <v>MOC</v>
      </c>
    </row>
    <row r="904" spans="1:8" ht="20.100000000000001" customHeight="1" x14ac:dyDescent="0.25">
      <c r="A904" s="3" t="s">
        <v>149</v>
      </c>
      <c r="B904" s="3" t="s">
        <v>239</v>
      </c>
      <c r="C904" s="3">
        <v>2022</v>
      </c>
      <c r="D904" s="4">
        <v>1</v>
      </c>
      <c r="E904" s="5">
        <v>175</v>
      </c>
      <c r="F904" s="5">
        <v>75.3</v>
      </c>
      <c r="G904" s="3" t="str">
        <f>VLOOKUP(Registros[[#This Row],[Cliente]],Cliente_Region[],2,FALSE)</f>
        <v>Colombia</v>
      </c>
      <c r="H904" s="3" t="str">
        <f>VLOOKUP(Registros[[#This Row],[Producto]],Producto[],2,FALSE)</f>
        <v>QUOKAR</v>
      </c>
    </row>
    <row r="905" spans="1:8" ht="20.100000000000001" customHeight="1" x14ac:dyDescent="0.25">
      <c r="A905" s="3" t="s">
        <v>151</v>
      </c>
      <c r="B905" s="3" t="s">
        <v>239</v>
      </c>
      <c r="C905" s="3">
        <v>2022</v>
      </c>
      <c r="D905" s="4">
        <v>1</v>
      </c>
      <c r="E905" s="5">
        <v>875</v>
      </c>
      <c r="F905" s="5">
        <v>346.75</v>
      </c>
      <c r="G905" s="3" t="str">
        <f>VLOOKUP(Registros[[#This Row],[Cliente]],Cliente_Region[],2,FALSE)</f>
        <v>Colombia</v>
      </c>
      <c r="H905" s="3" t="str">
        <f>VLOOKUP(Registros[[#This Row],[Producto]],Producto[],2,FALSE)</f>
        <v>MOC</v>
      </c>
    </row>
    <row r="906" spans="1:8" ht="20.100000000000001" customHeight="1" x14ac:dyDescent="0.25">
      <c r="A906" s="3" t="s">
        <v>5</v>
      </c>
      <c r="B906" s="3" t="s">
        <v>239</v>
      </c>
      <c r="C906" s="3">
        <v>2022</v>
      </c>
      <c r="D906" s="4">
        <v>2</v>
      </c>
      <c r="E906" s="5">
        <v>1050</v>
      </c>
      <c r="F906" s="5">
        <v>281.39999999999998</v>
      </c>
      <c r="G906" s="3" t="str">
        <f>VLOOKUP(Registros[[#This Row],[Cliente]],Cliente_Region[],2,FALSE)</f>
        <v>Colombia</v>
      </c>
      <c r="H906" s="3" t="str">
        <f>VLOOKUP(Registros[[#This Row],[Producto]],Producto[],2,FALSE)</f>
        <v>CHOTUS</v>
      </c>
    </row>
    <row r="907" spans="1:8" ht="20.100000000000001" customHeight="1" x14ac:dyDescent="0.25">
      <c r="A907" s="3" t="s">
        <v>5</v>
      </c>
      <c r="B907" s="3" t="s">
        <v>239</v>
      </c>
      <c r="C907" s="3">
        <v>2022</v>
      </c>
      <c r="D907" s="4">
        <v>3</v>
      </c>
      <c r="E907" s="5">
        <v>1050</v>
      </c>
      <c r="F907" s="5">
        <v>281.41000000000003</v>
      </c>
      <c r="G907" s="3" t="str">
        <f>VLOOKUP(Registros[[#This Row],[Cliente]],Cliente_Region[],2,FALSE)</f>
        <v>Colombia</v>
      </c>
      <c r="H907" s="3" t="str">
        <f>VLOOKUP(Registros[[#This Row],[Producto]],Producto[],2,FALSE)</f>
        <v>CHOTUS</v>
      </c>
    </row>
    <row r="908" spans="1:8" ht="20.100000000000001" customHeight="1" x14ac:dyDescent="0.25">
      <c r="A908" s="3" t="s">
        <v>5</v>
      </c>
      <c r="B908" s="3" t="s">
        <v>239</v>
      </c>
      <c r="C908" s="3">
        <v>2022</v>
      </c>
      <c r="D908" s="4">
        <v>4</v>
      </c>
      <c r="E908" s="5">
        <v>1050</v>
      </c>
      <c r="F908" s="5">
        <v>281.41000000000003</v>
      </c>
      <c r="G908" s="3" t="str">
        <f>VLOOKUP(Registros[[#This Row],[Cliente]],Cliente_Region[],2,FALSE)</f>
        <v>Colombia</v>
      </c>
      <c r="H908" s="3" t="str">
        <f>VLOOKUP(Registros[[#This Row],[Producto]],Producto[],2,FALSE)</f>
        <v>CHOTUS</v>
      </c>
    </row>
    <row r="909" spans="1:8" ht="20.100000000000001" customHeight="1" x14ac:dyDescent="0.25">
      <c r="A909" s="3" t="s">
        <v>5</v>
      </c>
      <c r="B909" s="3" t="s">
        <v>239</v>
      </c>
      <c r="C909" s="3">
        <v>2022</v>
      </c>
      <c r="D909" s="4">
        <v>5</v>
      </c>
      <c r="E909" s="5">
        <v>2275</v>
      </c>
      <c r="F909" s="5">
        <v>600.80999999999995</v>
      </c>
      <c r="G909" s="3" t="str">
        <f>VLOOKUP(Registros[[#This Row],[Cliente]],Cliente_Region[],2,FALSE)</f>
        <v>Colombia</v>
      </c>
      <c r="H909" s="3" t="str">
        <f>VLOOKUP(Registros[[#This Row],[Producto]],Producto[],2,FALSE)</f>
        <v>CHOTUS</v>
      </c>
    </row>
    <row r="910" spans="1:8" ht="20.100000000000001" customHeight="1" x14ac:dyDescent="0.25">
      <c r="A910" s="3" t="s">
        <v>5</v>
      </c>
      <c r="B910" s="3" t="s">
        <v>239</v>
      </c>
      <c r="C910" s="3">
        <v>2022</v>
      </c>
      <c r="D910" s="4">
        <v>6</v>
      </c>
      <c r="E910" s="5">
        <v>1925</v>
      </c>
      <c r="F910" s="5">
        <v>461.89</v>
      </c>
      <c r="G910" s="3" t="str">
        <f>VLOOKUP(Registros[[#This Row],[Cliente]],Cliente_Region[],2,FALSE)</f>
        <v>Colombia</v>
      </c>
      <c r="H910" s="3" t="str">
        <f>VLOOKUP(Registros[[#This Row],[Producto]],Producto[],2,FALSE)</f>
        <v>CHOTUS</v>
      </c>
    </row>
    <row r="911" spans="1:8" ht="20.100000000000001" customHeight="1" x14ac:dyDescent="0.25">
      <c r="A911" s="3" t="s">
        <v>251</v>
      </c>
      <c r="B911" s="3" t="s">
        <v>250</v>
      </c>
      <c r="C911" s="3">
        <v>2022</v>
      </c>
      <c r="D911" s="4">
        <v>1</v>
      </c>
      <c r="E911" s="5">
        <v>35260.5</v>
      </c>
      <c r="F911" s="5">
        <v>29084.82</v>
      </c>
      <c r="G911" s="3" t="str">
        <f>VLOOKUP(Registros[[#This Row],[Cliente]],Cliente_Region[],2,FALSE)</f>
        <v>Chile</v>
      </c>
      <c r="H911" s="3" t="str">
        <f>VLOOKUP(Registros[[#This Row],[Producto]],Producto[],2,FALSE)</f>
        <v>GAMBO</v>
      </c>
    </row>
    <row r="912" spans="1:8" ht="20.100000000000001" customHeight="1" x14ac:dyDescent="0.25">
      <c r="A912" s="3" t="s">
        <v>252</v>
      </c>
      <c r="B912" s="3" t="s">
        <v>250</v>
      </c>
      <c r="C912" s="3">
        <v>2022</v>
      </c>
      <c r="D912" s="4">
        <v>2</v>
      </c>
      <c r="E912" s="5">
        <v>24717</v>
      </c>
      <c r="F912" s="5">
        <v>24511.03</v>
      </c>
      <c r="G912" s="3" t="str">
        <f>VLOOKUP(Registros[[#This Row],[Cliente]],Cliente_Region[],2,FALSE)</f>
        <v>Chile</v>
      </c>
      <c r="H912" s="3" t="str">
        <f>VLOOKUP(Registros[[#This Row],[Producto]],Producto[],2,FALSE)</f>
        <v>QUOKAR</v>
      </c>
    </row>
    <row r="913" spans="1:8" ht="20.100000000000001" customHeight="1" x14ac:dyDescent="0.25">
      <c r="A913" s="3" t="s">
        <v>252</v>
      </c>
      <c r="B913" s="3" t="s">
        <v>250</v>
      </c>
      <c r="C913" s="3">
        <v>2022</v>
      </c>
      <c r="D913" s="4">
        <v>3</v>
      </c>
      <c r="E913" s="5">
        <v>30376.5</v>
      </c>
      <c r="F913" s="5">
        <v>28585.27</v>
      </c>
      <c r="G913" s="3" t="str">
        <f>VLOOKUP(Registros[[#This Row],[Cliente]],Cliente_Region[],2,FALSE)</f>
        <v>Chile</v>
      </c>
      <c r="H913" s="3" t="str">
        <f>VLOOKUP(Registros[[#This Row],[Producto]],Producto[],2,FALSE)</f>
        <v>QUOKAR</v>
      </c>
    </row>
    <row r="914" spans="1:8" ht="20.100000000000001" customHeight="1" x14ac:dyDescent="0.25">
      <c r="A914" s="3" t="s">
        <v>252</v>
      </c>
      <c r="B914" s="3" t="s">
        <v>250</v>
      </c>
      <c r="C914" s="3">
        <v>2022</v>
      </c>
      <c r="D914" s="4">
        <v>4</v>
      </c>
      <c r="E914" s="5">
        <v>30376.5</v>
      </c>
      <c r="F914" s="5">
        <v>30123.360000000001</v>
      </c>
      <c r="G914" s="3" t="str">
        <f>VLOOKUP(Registros[[#This Row],[Cliente]],Cliente_Region[],2,FALSE)</f>
        <v>Chile</v>
      </c>
      <c r="H914" s="3" t="str">
        <f>VLOOKUP(Registros[[#This Row],[Producto]],Producto[],2,FALSE)</f>
        <v>QUOKAR</v>
      </c>
    </row>
    <row r="915" spans="1:8" ht="20.100000000000001" customHeight="1" x14ac:dyDescent="0.25">
      <c r="A915" s="3" t="s">
        <v>252</v>
      </c>
      <c r="B915" s="3" t="s">
        <v>250</v>
      </c>
      <c r="C915" s="3">
        <v>2022</v>
      </c>
      <c r="D915" s="4">
        <v>5</v>
      </c>
      <c r="E915" s="5">
        <v>36270</v>
      </c>
      <c r="F915" s="5">
        <v>35997.75</v>
      </c>
      <c r="G915" s="3" t="str">
        <f>VLOOKUP(Registros[[#This Row],[Cliente]],Cliente_Region[],2,FALSE)</f>
        <v>Chile</v>
      </c>
      <c r="H915" s="3" t="str">
        <f>VLOOKUP(Registros[[#This Row],[Producto]],Producto[],2,FALSE)</f>
        <v>QUOKAR</v>
      </c>
    </row>
    <row r="916" spans="1:8" ht="20.100000000000001" customHeight="1" x14ac:dyDescent="0.25">
      <c r="A916" s="3" t="s">
        <v>252</v>
      </c>
      <c r="B916" s="3" t="s">
        <v>250</v>
      </c>
      <c r="C916" s="3">
        <v>2022</v>
      </c>
      <c r="D916" s="4">
        <v>6</v>
      </c>
      <c r="E916" s="5">
        <v>33300</v>
      </c>
      <c r="F916" s="5">
        <v>33052.5</v>
      </c>
      <c r="G916" s="3" t="str">
        <f>VLOOKUP(Registros[[#This Row],[Cliente]],Cliente_Region[],2,FALSE)</f>
        <v>Chile</v>
      </c>
      <c r="H916" s="3" t="str">
        <f>VLOOKUP(Registros[[#This Row],[Producto]],Producto[],2,FALSE)</f>
        <v>QUOKAR</v>
      </c>
    </row>
    <row r="917" spans="1:8" ht="20.100000000000001" customHeight="1" x14ac:dyDescent="0.25">
      <c r="A917" s="3" t="s">
        <v>253</v>
      </c>
      <c r="B917" s="3" t="s">
        <v>250</v>
      </c>
      <c r="C917" s="3">
        <v>2022</v>
      </c>
      <c r="D917" s="4">
        <v>2</v>
      </c>
      <c r="E917" s="5">
        <v>20.28</v>
      </c>
      <c r="F917" s="5">
        <v>0.26</v>
      </c>
      <c r="G917" s="3" t="str">
        <f>VLOOKUP(Registros[[#This Row],[Cliente]],Cliente_Region[],2,FALSE)</f>
        <v>Chile</v>
      </c>
      <c r="H917" s="3" t="str">
        <f>VLOOKUP(Registros[[#This Row],[Producto]],Producto[],2,FALSE)</f>
        <v>LAX</v>
      </c>
    </row>
    <row r="918" spans="1:8" ht="20.100000000000001" customHeight="1" x14ac:dyDescent="0.25">
      <c r="A918" s="3" t="s">
        <v>14</v>
      </c>
      <c r="B918" s="3" t="s">
        <v>250</v>
      </c>
      <c r="C918" s="3">
        <v>2022</v>
      </c>
      <c r="D918" s="4">
        <v>5</v>
      </c>
      <c r="E918" s="5">
        <v>10.14</v>
      </c>
      <c r="F918" s="5">
        <v>0.19</v>
      </c>
      <c r="G918" s="3" t="str">
        <f>VLOOKUP(Registros[[#This Row],[Cliente]],Cliente_Region[],2,FALSE)</f>
        <v>Chile</v>
      </c>
      <c r="H918" s="3" t="str">
        <f>VLOOKUP(Registros[[#This Row],[Producto]],Producto[],2,FALSE)</f>
        <v>SALF</v>
      </c>
    </row>
    <row r="919" spans="1:8" ht="20.100000000000001" customHeight="1" x14ac:dyDescent="0.25">
      <c r="A919" s="3" t="s">
        <v>14</v>
      </c>
      <c r="B919" s="3" t="s">
        <v>250</v>
      </c>
      <c r="C919" s="3">
        <v>2022</v>
      </c>
      <c r="D919" s="4">
        <v>6</v>
      </c>
      <c r="E919" s="5">
        <v>20.28</v>
      </c>
      <c r="F919" s="5">
        <v>0.39</v>
      </c>
      <c r="G919" s="3" t="str">
        <f>VLOOKUP(Registros[[#This Row],[Cliente]],Cliente_Region[],2,FALSE)</f>
        <v>Chile</v>
      </c>
      <c r="H919" s="3" t="str">
        <f>VLOOKUP(Registros[[#This Row],[Producto]],Producto[],2,FALSE)</f>
        <v>SALF</v>
      </c>
    </row>
    <row r="920" spans="1:8" ht="20.100000000000001" customHeight="1" x14ac:dyDescent="0.25">
      <c r="A920" s="3" t="s">
        <v>254</v>
      </c>
      <c r="B920" s="3" t="s">
        <v>250</v>
      </c>
      <c r="C920" s="3">
        <v>2022</v>
      </c>
      <c r="D920" s="4">
        <v>1</v>
      </c>
      <c r="E920" s="5">
        <v>9438</v>
      </c>
      <c r="F920" s="5">
        <v>1498.89</v>
      </c>
      <c r="G920" s="3" t="str">
        <f>VLOOKUP(Registros[[#This Row],[Cliente]],Cliente_Region[],2,FALSE)</f>
        <v>Chile</v>
      </c>
      <c r="H920" s="3" t="str">
        <f>VLOOKUP(Registros[[#This Row],[Producto]],Producto[],2,FALSE)</f>
        <v>SALF</v>
      </c>
    </row>
    <row r="921" spans="1:8" ht="20.100000000000001" customHeight="1" x14ac:dyDescent="0.25">
      <c r="A921" s="3" t="s">
        <v>255</v>
      </c>
      <c r="B921" s="3" t="s">
        <v>250</v>
      </c>
      <c r="C921" s="3">
        <v>2022</v>
      </c>
      <c r="D921" s="4">
        <v>2</v>
      </c>
      <c r="E921" s="5">
        <v>6633</v>
      </c>
      <c r="F921" s="5">
        <v>1055.25</v>
      </c>
      <c r="G921" s="3" t="str">
        <f>VLOOKUP(Registros[[#This Row],[Cliente]],Cliente_Region[],2,FALSE)</f>
        <v>Chile</v>
      </c>
      <c r="H921" s="3" t="str">
        <f>VLOOKUP(Registros[[#This Row],[Producto]],Producto[],2,FALSE)</f>
        <v>MOC</v>
      </c>
    </row>
    <row r="922" spans="1:8" ht="20.100000000000001" customHeight="1" x14ac:dyDescent="0.25">
      <c r="A922" s="3" t="s">
        <v>255</v>
      </c>
      <c r="B922" s="3" t="s">
        <v>250</v>
      </c>
      <c r="C922" s="3">
        <v>2022</v>
      </c>
      <c r="D922" s="4">
        <v>3</v>
      </c>
      <c r="E922" s="5">
        <v>7623</v>
      </c>
      <c r="F922" s="5">
        <v>1212.75</v>
      </c>
      <c r="G922" s="3" t="str">
        <f>VLOOKUP(Registros[[#This Row],[Cliente]],Cliente_Region[],2,FALSE)</f>
        <v>Chile</v>
      </c>
      <c r="H922" s="3" t="str">
        <f>VLOOKUP(Registros[[#This Row],[Producto]],Producto[],2,FALSE)</f>
        <v>MOC</v>
      </c>
    </row>
    <row r="923" spans="1:8" ht="20.100000000000001" customHeight="1" x14ac:dyDescent="0.25">
      <c r="A923" s="3" t="s">
        <v>255</v>
      </c>
      <c r="B923" s="3" t="s">
        <v>250</v>
      </c>
      <c r="C923" s="3">
        <v>2022</v>
      </c>
      <c r="D923" s="4">
        <v>4</v>
      </c>
      <c r="E923" s="5">
        <v>7029</v>
      </c>
      <c r="F923" s="5">
        <v>1118.25</v>
      </c>
      <c r="G923" s="3" t="str">
        <f>VLOOKUP(Registros[[#This Row],[Cliente]],Cliente_Region[],2,FALSE)</f>
        <v>Chile</v>
      </c>
      <c r="H923" s="3" t="str">
        <f>VLOOKUP(Registros[[#This Row],[Producto]],Producto[],2,FALSE)</f>
        <v>MOC</v>
      </c>
    </row>
    <row r="924" spans="1:8" ht="20.100000000000001" customHeight="1" x14ac:dyDescent="0.25">
      <c r="A924" s="3" t="s">
        <v>255</v>
      </c>
      <c r="B924" s="3" t="s">
        <v>250</v>
      </c>
      <c r="C924" s="3">
        <v>2022</v>
      </c>
      <c r="D924" s="4">
        <v>5</v>
      </c>
      <c r="E924" s="5">
        <v>9255.5</v>
      </c>
      <c r="F924" s="5">
        <v>2336.5</v>
      </c>
      <c r="G924" s="3" t="str">
        <f>VLOOKUP(Registros[[#This Row],[Cliente]],Cliente_Region[],2,FALSE)</f>
        <v>Chile</v>
      </c>
      <c r="H924" s="3" t="str">
        <f>VLOOKUP(Registros[[#This Row],[Producto]],Producto[],2,FALSE)</f>
        <v>MOC</v>
      </c>
    </row>
    <row r="925" spans="1:8" ht="20.100000000000001" customHeight="1" x14ac:dyDescent="0.25">
      <c r="A925" s="3" t="s">
        <v>255</v>
      </c>
      <c r="B925" s="3" t="s">
        <v>250</v>
      </c>
      <c r="C925" s="3">
        <v>2022</v>
      </c>
      <c r="D925" s="4">
        <v>6</v>
      </c>
      <c r="E925" s="5">
        <v>9787.5</v>
      </c>
      <c r="F925" s="5">
        <v>2544.75</v>
      </c>
      <c r="G925" s="3" t="str">
        <f>VLOOKUP(Registros[[#This Row],[Cliente]],Cliente_Region[],2,FALSE)</f>
        <v>Chile</v>
      </c>
      <c r="H925" s="3" t="str">
        <f>VLOOKUP(Registros[[#This Row],[Producto]],Producto[],2,FALSE)</f>
        <v>MOC</v>
      </c>
    </row>
    <row r="926" spans="1:8" ht="20.100000000000001" customHeight="1" x14ac:dyDescent="0.25">
      <c r="A926" s="3" t="s">
        <v>256</v>
      </c>
      <c r="B926" s="3" t="s">
        <v>250</v>
      </c>
      <c r="C926" s="3">
        <v>2022</v>
      </c>
      <c r="D926" s="4">
        <v>5</v>
      </c>
      <c r="E926" s="5">
        <v>10.14</v>
      </c>
      <c r="F926" s="5">
        <v>2.1</v>
      </c>
      <c r="G926" s="3" t="str">
        <f>VLOOKUP(Registros[[#This Row],[Cliente]],Cliente_Region[],2,FALSE)</f>
        <v>Chile</v>
      </c>
      <c r="H926" s="3" t="str">
        <f>VLOOKUP(Registros[[#This Row],[Producto]],Producto[],2,FALSE)</f>
        <v>DONANY</v>
      </c>
    </row>
    <row r="927" spans="1:8" ht="20.100000000000001" customHeight="1" x14ac:dyDescent="0.25">
      <c r="A927" s="3" t="s">
        <v>72</v>
      </c>
      <c r="B927" s="3" t="s">
        <v>250</v>
      </c>
      <c r="C927" s="3">
        <v>2022</v>
      </c>
      <c r="D927" s="4">
        <v>1</v>
      </c>
      <c r="E927" s="5">
        <v>40</v>
      </c>
      <c r="F927" s="5">
        <v>5.97</v>
      </c>
      <c r="G927" s="3" t="str">
        <f>VLOOKUP(Registros[[#This Row],[Cliente]],Cliente_Region[],2,FALSE)</f>
        <v>Chile</v>
      </c>
      <c r="H927" s="3" t="str">
        <f>VLOOKUP(Registros[[#This Row],[Producto]],Producto[],2,FALSE)</f>
        <v>LAX</v>
      </c>
    </row>
    <row r="928" spans="1:8" ht="20.100000000000001" customHeight="1" x14ac:dyDescent="0.25">
      <c r="A928" s="3" t="s">
        <v>155</v>
      </c>
      <c r="B928" s="3" t="s">
        <v>250</v>
      </c>
      <c r="C928" s="3">
        <v>2022</v>
      </c>
      <c r="D928" s="4">
        <v>4</v>
      </c>
      <c r="E928" s="5">
        <v>10.6</v>
      </c>
      <c r="F928" s="5">
        <v>5.51</v>
      </c>
      <c r="G928" s="3" t="str">
        <f>VLOOKUP(Registros[[#This Row],[Cliente]],Cliente_Region[],2,FALSE)</f>
        <v>Chile</v>
      </c>
      <c r="H928" s="3" t="str">
        <f>VLOOKUP(Registros[[#This Row],[Producto]],Producto[],2,FALSE)</f>
        <v>SALF</v>
      </c>
    </row>
    <row r="929" spans="1:8" ht="20.100000000000001" customHeight="1" x14ac:dyDescent="0.25">
      <c r="A929" s="3" t="s">
        <v>30</v>
      </c>
      <c r="B929" s="3" t="s">
        <v>250</v>
      </c>
      <c r="C929" s="3">
        <v>2022</v>
      </c>
      <c r="D929" s="4">
        <v>1</v>
      </c>
      <c r="E929" s="5">
        <v>2015</v>
      </c>
      <c r="F929" s="5">
        <v>1513.86</v>
      </c>
      <c r="G929" s="3" t="str">
        <f>VLOOKUP(Registros[[#This Row],[Cliente]],Cliente_Region[],2,FALSE)</f>
        <v>Chile</v>
      </c>
      <c r="H929" s="3" t="str">
        <f>VLOOKUP(Registros[[#This Row],[Producto]],Producto[],2,FALSE)</f>
        <v>CHOTUS</v>
      </c>
    </row>
    <row r="930" spans="1:8" ht="20.100000000000001" customHeight="1" x14ac:dyDescent="0.25">
      <c r="A930" s="3" t="s">
        <v>31</v>
      </c>
      <c r="B930" s="3" t="s">
        <v>250</v>
      </c>
      <c r="C930" s="3">
        <v>2022</v>
      </c>
      <c r="D930" s="4">
        <v>2</v>
      </c>
      <c r="E930" s="5">
        <v>322.39999999999998</v>
      </c>
      <c r="F930" s="5">
        <v>242.2</v>
      </c>
      <c r="G930" s="3" t="str">
        <f>VLOOKUP(Registros[[#This Row],[Cliente]],Cliente_Region[],2,FALSE)</f>
        <v>Chile</v>
      </c>
      <c r="H930" s="3" t="str">
        <f>VLOOKUP(Registros[[#This Row],[Producto]],Producto[],2,FALSE)</f>
        <v>CHOTUS</v>
      </c>
    </row>
    <row r="931" spans="1:8" ht="20.100000000000001" customHeight="1" x14ac:dyDescent="0.25">
      <c r="A931" s="3" t="s">
        <v>31</v>
      </c>
      <c r="B931" s="3" t="s">
        <v>250</v>
      </c>
      <c r="C931" s="3">
        <v>2022</v>
      </c>
      <c r="D931" s="4">
        <v>3</v>
      </c>
      <c r="E931" s="5">
        <v>564.20000000000005</v>
      </c>
      <c r="F931" s="5">
        <v>423.86</v>
      </c>
      <c r="G931" s="3" t="str">
        <f>VLOOKUP(Registros[[#This Row],[Cliente]],Cliente_Region[],2,FALSE)</f>
        <v>Chile</v>
      </c>
      <c r="H931" s="3" t="str">
        <f>VLOOKUP(Registros[[#This Row],[Producto]],Producto[],2,FALSE)</f>
        <v>CHOTUS</v>
      </c>
    </row>
    <row r="932" spans="1:8" ht="20.100000000000001" customHeight="1" x14ac:dyDescent="0.25">
      <c r="A932" s="3" t="s">
        <v>31</v>
      </c>
      <c r="B932" s="3" t="s">
        <v>250</v>
      </c>
      <c r="C932" s="3">
        <v>2022</v>
      </c>
      <c r="D932" s="4">
        <v>4</v>
      </c>
      <c r="E932" s="5">
        <v>806</v>
      </c>
      <c r="F932" s="5">
        <v>605.51</v>
      </c>
      <c r="G932" s="3" t="str">
        <f>VLOOKUP(Registros[[#This Row],[Cliente]],Cliente_Region[],2,FALSE)</f>
        <v>Chile</v>
      </c>
      <c r="H932" s="3" t="str">
        <f>VLOOKUP(Registros[[#This Row],[Producto]],Producto[],2,FALSE)</f>
        <v>CHOTUS</v>
      </c>
    </row>
    <row r="933" spans="1:8" ht="20.100000000000001" customHeight="1" x14ac:dyDescent="0.25">
      <c r="A933" s="3" t="s">
        <v>31</v>
      </c>
      <c r="B933" s="3" t="s">
        <v>250</v>
      </c>
      <c r="C933" s="3">
        <v>2022</v>
      </c>
      <c r="D933" s="4">
        <v>5</v>
      </c>
      <c r="E933" s="5">
        <v>1128.4000000000001</v>
      </c>
      <c r="F933" s="5">
        <v>847.73</v>
      </c>
      <c r="G933" s="3" t="str">
        <f>VLOOKUP(Registros[[#This Row],[Cliente]],Cliente_Region[],2,FALSE)</f>
        <v>Chile</v>
      </c>
      <c r="H933" s="3" t="str">
        <f>VLOOKUP(Registros[[#This Row],[Producto]],Producto[],2,FALSE)</f>
        <v>CHOTUS</v>
      </c>
    </row>
    <row r="934" spans="1:8" ht="20.100000000000001" customHeight="1" x14ac:dyDescent="0.25">
      <c r="A934" s="3" t="s">
        <v>31</v>
      </c>
      <c r="B934" s="3" t="s">
        <v>250</v>
      </c>
      <c r="C934" s="3">
        <v>2022</v>
      </c>
      <c r="D934" s="4">
        <v>6</v>
      </c>
      <c r="E934" s="5">
        <v>1047.8</v>
      </c>
      <c r="F934" s="5">
        <v>787.17</v>
      </c>
      <c r="G934" s="3" t="str">
        <f>VLOOKUP(Registros[[#This Row],[Cliente]],Cliente_Region[],2,FALSE)</f>
        <v>Chile</v>
      </c>
      <c r="H934" s="3" t="str">
        <f>VLOOKUP(Registros[[#This Row],[Producto]],Producto[],2,FALSE)</f>
        <v>CHOTUS</v>
      </c>
    </row>
    <row r="935" spans="1:8" ht="20.100000000000001" customHeight="1" x14ac:dyDescent="0.25">
      <c r="A935" s="3" t="s">
        <v>34</v>
      </c>
      <c r="B935" s="3" t="s">
        <v>250</v>
      </c>
      <c r="C935" s="3">
        <v>2022</v>
      </c>
      <c r="D935" s="4">
        <v>1</v>
      </c>
      <c r="E935" s="5">
        <v>531.96</v>
      </c>
      <c r="F935" s="5">
        <v>404.08</v>
      </c>
      <c r="G935" s="3" t="str">
        <f>VLOOKUP(Registros[[#This Row],[Cliente]],Cliente_Region[],2,FALSE)</f>
        <v>Chile</v>
      </c>
      <c r="H935" s="3" t="str">
        <f>VLOOKUP(Registros[[#This Row],[Producto]],Producto[],2,FALSE)</f>
        <v>DONANY</v>
      </c>
    </row>
    <row r="936" spans="1:8" ht="20.100000000000001" customHeight="1" x14ac:dyDescent="0.25">
      <c r="A936" s="3" t="s">
        <v>35</v>
      </c>
      <c r="B936" s="3" t="s">
        <v>250</v>
      </c>
      <c r="C936" s="3">
        <v>2022</v>
      </c>
      <c r="D936" s="4">
        <v>2</v>
      </c>
      <c r="E936" s="5">
        <v>644.79999999999995</v>
      </c>
      <c r="F936" s="5">
        <v>489.77</v>
      </c>
      <c r="G936" s="3" t="str">
        <f>VLOOKUP(Registros[[#This Row],[Cliente]],Cliente_Region[],2,FALSE)</f>
        <v>Chile</v>
      </c>
      <c r="H936" s="3" t="str">
        <f>VLOOKUP(Registros[[#This Row],[Producto]],Producto[],2,FALSE)</f>
        <v>MOC</v>
      </c>
    </row>
    <row r="937" spans="1:8" ht="20.100000000000001" customHeight="1" x14ac:dyDescent="0.25">
      <c r="A937" s="3" t="s">
        <v>35</v>
      </c>
      <c r="B937" s="3" t="s">
        <v>250</v>
      </c>
      <c r="C937" s="3">
        <v>2022</v>
      </c>
      <c r="D937" s="4">
        <v>3</v>
      </c>
      <c r="E937" s="5">
        <v>644.79999999999995</v>
      </c>
      <c r="F937" s="5">
        <v>489.76</v>
      </c>
      <c r="G937" s="3" t="str">
        <f>VLOOKUP(Registros[[#This Row],[Cliente]],Cliente_Region[],2,FALSE)</f>
        <v>Chile</v>
      </c>
      <c r="H937" s="3" t="str">
        <f>VLOOKUP(Registros[[#This Row],[Producto]],Producto[],2,FALSE)</f>
        <v>MOC</v>
      </c>
    </row>
    <row r="938" spans="1:8" ht="20.100000000000001" customHeight="1" x14ac:dyDescent="0.25">
      <c r="A938" s="3" t="s">
        <v>35</v>
      </c>
      <c r="B938" s="3" t="s">
        <v>250</v>
      </c>
      <c r="C938" s="3">
        <v>2022</v>
      </c>
      <c r="D938" s="4">
        <v>4</v>
      </c>
      <c r="E938" s="5">
        <v>725.4</v>
      </c>
      <c r="F938" s="5">
        <v>550.98</v>
      </c>
      <c r="G938" s="3" t="str">
        <f>VLOOKUP(Registros[[#This Row],[Cliente]],Cliente_Region[],2,FALSE)</f>
        <v>Chile</v>
      </c>
      <c r="H938" s="3" t="str">
        <f>VLOOKUP(Registros[[#This Row],[Producto]],Producto[],2,FALSE)</f>
        <v>MOC</v>
      </c>
    </row>
    <row r="939" spans="1:8" ht="20.100000000000001" customHeight="1" x14ac:dyDescent="0.25">
      <c r="A939" s="3" t="s">
        <v>35</v>
      </c>
      <c r="B939" s="3" t="s">
        <v>250</v>
      </c>
      <c r="C939" s="3">
        <v>2022</v>
      </c>
      <c r="D939" s="4">
        <v>5</v>
      </c>
      <c r="E939" s="5">
        <v>967.2</v>
      </c>
      <c r="F939" s="5">
        <v>734.65</v>
      </c>
      <c r="G939" s="3" t="str">
        <f>VLOOKUP(Registros[[#This Row],[Cliente]],Cliente_Region[],2,FALSE)</f>
        <v>Chile</v>
      </c>
      <c r="H939" s="3" t="str">
        <f>VLOOKUP(Registros[[#This Row],[Producto]],Producto[],2,FALSE)</f>
        <v>MOC</v>
      </c>
    </row>
    <row r="940" spans="1:8" ht="20.100000000000001" customHeight="1" x14ac:dyDescent="0.25">
      <c r="A940" s="3" t="s">
        <v>35</v>
      </c>
      <c r="B940" s="3" t="s">
        <v>250</v>
      </c>
      <c r="C940" s="3">
        <v>2022</v>
      </c>
      <c r="D940" s="4">
        <v>6</v>
      </c>
      <c r="E940" s="5">
        <v>725.4</v>
      </c>
      <c r="F940" s="5">
        <v>550.98</v>
      </c>
      <c r="G940" s="3" t="str">
        <f>VLOOKUP(Registros[[#This Row],[Cliente]],Cliente_Region[],2,FALSE)</f>
        <v>Chile</v>
      </c>
      <c r="H940" s="3" t="str">
        <f>VLOOKUP(Registros[[#This Row],[Producto]],Producto[],2,FALSE)</f>
        <v>MOC</v>
      </c>
    </row>
    <row r="941" spans="1:8" ht="20.100000000000001" customHeight="1" x14ac:dyDescent="0.25">
      <c r="A941" s="3" t="s">
        <v>106</v>
      </c>
      <c r="B941" s="3" t="s">
        <v>250</v>
      </c>
      <c r="C941" s="3">
        <v>2022</v>
      </c>
      <c r="D941" s="4">
        <v>1</v>
      </c>
      <c r="E941" s="5">
        <v>2060</v>
      </c>
      <c r="F941" s="5">
        <v>1075.26</v>
      </c>
      <c r="G941" s="3" t="str">
        <f>VLOOKUP(Registros[[#This Row],[Cliente]],Cliente_Region[],2,FALSE)</f>
        <v>Chile</v>
      </c>
      <c r="H941" s="3" t="str">
        <f>VLOOKUP(Registros[[#This Row],[Producto]],Producto[],2,FALSE)</f>
        <v>MOC</v>
      </c>
    </row>
    <row r="942" spans="1:8" ht="20.100000000000001" customHeight="1" x14ac:dyDescent="0.25">
      <c r="A942" s="3" t="s">
        <v>107</v>
      </c>
      <c r="B942" s="3" t="s">
        <v>250</v>
      </c>
      <c r="C942" s="3">
        <v>2022</v>
      </c>
      <c r="D942" s="4">
        <v>2</v>
      </c>
      <c r="E942" s="5">
        <v>980</v>
      </c>
      <c r="F942" s="5">
        <v>585.41</v>
      </c>
      <c r="G942" s="3" t="str">
        <f>VLOOKUP(Registros[[#This Row],[Cliente]],Cliente_Region[],2,FALSE)</f>
        <v>Chile</v>
      </c>
      <c r="H942" s="3" t="str">
        <f>VLOOKUP(Registros[[#This Row],[Producto]],Producto[],2,FALSE)</f>
        <v>LAX</v>
      </c>
    </row>
    <row r="943" spans="1:8" ht="20.100000000000001" customHeight="1" x14ac:dyDescent="0.25">
      <c r="A943" s="3" t="s">
        <v>107</v>
      </c>
      <c r="B943" s="3" t="s">
        <v>250</v>
      </c>
      <c r="C943" s="3">
        <v>2022</v>
      </c>
      <c r="D943" s="4">
        <v>3</v>
      </c>
      <c r="E943" s="5">
        <v>980</v>
      </c>
      <c r="F943" s="5">
        <v>585.42999999999995</v>
      </c>
      <c r="G943" s="3" t="str">
        <f>VLOOKUP(Registros[[#This Row],[Cliente]],Cliente_Region[],2,FALSE)</f>
        <v>Chile</v>
      </c>
      <c r="H943" s="3" t="str">
        <f>VLOOKUP(Registros[[#This Row],[Producto]],Producto[],2,FALSE)</f>
        <v>LAX</v>
      </c>
    </row>
    <row r="944" spans="1:8" ht="20.100000000000001" customHeight="1" x14ac:dyDescent="0.25">
      <c r="A944" s="3" t="s">
        <v>107</v>
      </c>
      <c r="B944" s="3" t="s">
        <v>250</v>
      </c>
      <c r="C944" s="3">
        <v>2022</v>
      </c>
      <c r="D944" s="4">
        <v>4</v>
      </c>
      <c r="E944" s="5">
        <v>1000</v>
      </c>
      <c r="F944" s="5">
        <v>597.39</v>
      </c>
      <c r="G944" s="3" t="str">
        <f>VLOOKUP(Registros[[#This Row],[Cliente]],Cliente_Region[],2,FALSE)</f>
        <v>Chile</v>
      </c>
      <c r="H944" s="3" t="str">
        <f>VLOOKUP(Registros[[#This Row],[Producto]],Producto[],2,FALSE)</f>
        <v>LAX</v>
      </c>
    </row>
    <row r="945" spans="1:8" ht="20.100000000000001" customHeight="1" x14ac:dyDescent="0.25">
      <c r="A945" s="3" t="s">
        <v>107</v>
      </c>
      <c r="B945" s="3" t="s">
        <v>250</v>
      </c>
      <c r="C945" s="3">
        <v>2022</v>
      </c>
      <c r="D945" s="4">
        <v>5</v>
      </c>
      <c r="E945" s="5">
        <v>1100</v>
      </c>
      <c r="F945" s="5">
        <v>657.12</v>
      </c>
      <c r="G945" s="3" t="str">
        <f>VLOOKUP(Registros[[#This Row],[Cliente]],Cliente_Region[],2,FALSE)</f>
        <v>Chile</v>
      </c>
      <c r="H945" s="3" t="str">
        <f>VLOOKUP(Registros[[#This Row],[Producto]],Producto[],2,FALSE)</f>
        <v>LAX</v>
      </c>
    </row>
    <row r="946" spans="1:8" ht="20.100000000000001" customHeight="1" x14ac:dyDescent="0.25">
      <c r="A946" s="3" t="s">
        <v>107</v>
      </c>
      <c r="B946" s="3" t="s">
        <v>250</v>
      </c>
      <c r="C946" s="3">
        <v>2022</v>
      </c>
      <c r="D946" s="4">
        <v>6</v>
      </c>
      <c r="E946" s="5">
        <v>500</v>
      </c>
      <c r="F946" s="5">
        <v>298.69</v>
      </c>
      <c r="G946" s="3" t="str">
        <f>VLOOKUP(Registros[[#This Row],[Cliente]],Cliente_Region[],2,FALSE)</f>
        <v>Chile</v>
      </c>
      <c r="H946" s="3" t="str">
        <f>VLOOKUP(Registros[[#This Row],[Producto]],Producto[],2,FALSE)</f>
        <v>LAX</v>
      </c>
    </row>
    <row r="947" spans="1:8" ht="20.100000000000001" customHeight="1" x14ac:dyDescent="0.25">
      <c r="A947" s="3" t="s">
        <v>44</v>
      </c>
      <c r="B947" s="3" t="s">
        <v>250</v>
      </c>
      <c r="C947" s="3">
        <v>2022</v>
      </c>
      <c r="D947" s="4">
        <v>5</v>
      </c>
      <c r="E947" s="5">
        <v>250</v>
      </c>
      <c r="F947" s="5">
        <v>117.66</v>
      </c>
      <c r="G947" s="3" t="str">
        <f>VLOOKUP(Registros[[#This Row],[Cliente]],Cliente_Region[],2,FALSE)</f>
        <v>Chile</v>
      </c>
      <c r="H947" s="3" t="str">
        <f>VLOOKUP(Registros[[#This Row],[Producto]],Producto[],2,FALSE)</f>
        <v>DAWNE</v>
      </c>
    </row>
    <row r="948" spans="1:8" ht="20.100000000000001" customHeight="1" x14ac:dyDescent="0.25">
      <c r="A948" s="3" t="s">
        <v>45</v>
      </c>
      <c r="B948" s="3" t="s">
        <v>250</v>
      </c>
      <c r="C948" s="3">
        <v>2022</v>
      </c>
      <c r="D948" s="4">
        <v>6</v>
      </c>
      <c r="E948" s="5">
        <v>382</v>
      </c>
      <c r="F948" s="5">
        <v>90.85</v>
      </c>
      <c r="G948" s="3" t="str">
        <f>VLOOKUP(Registros[[#This Row],[Cliente]],Cliente_Region[],2,FALSE)</f>
        <v>Chile</v>
      </c>
      <c r="H948" s="3" t="str">
        <f>VLOOKUP(Registros[[#This Row],[Producto]],Producto[],2,FALSE)</f>
        <v>DONANY</v>
      </c>
    </row>
    <row r="949" spans="1:8" ht="20.100000000000001" customHeight="1" x14ac:dyDescent="0.25">
      <c r="A949" s="3" t="s">
        <v>157</v>
      </c>
      <c r="B949" s="3" t="s">
        <v>250</v>
      </c>
      <c r="C949" s="3">
        <v>2022</v>
      </c>
      <c r="D949" s="4">
        <v>1</v>
      </c>
      <c r="E949" s="5">
        <v>0</v>
      </c>
      <c r="F949" s="5">
        <v>-100</v>
      </c>
      <c r="G949" s="3" t="str">
        <f>VLOOKUP(Registros[[#This Row],[Cliente]],Cliente_Region[],2,FALSE)</f>
        <v>Chile</v>
      </c>
      <c r="H949" s="3" t="str">
        <f>VLOOKUP(Registros[[#This Row],[Producto]],Producto[],2,FALSE)</f>
        <v>GAMBO</v>
      </c>
    </row>
    <row r="950" spans="1:8" ht="20.100000000000001" customHeight="1" x14ac:dyDescent="0.25">
      <c r="A950" s="3" t="s">
        <v>257</v>
      </c>
      <c r="B950" s="3" t="s">
        <v>250</v>
      </c>
      <c r="C950" s="3">
        <v>2022</v>
      </c>
      <c r="D950" s="4">
        <v>2</v>
      </c>
      <c r="E950" s="5">
        <v>135</v>
      </c>
      <c r="F950" s="5">
        <v>100</v>
      </c>
      <c r="G950" s="3" t="str">
        <f>VLOOKUP(Registros[[#This Row],[Cliente]],Cliente_Region[],2,FALSE)</f>
        <v>Chile</v>
      </c>
      <c r="H950" s="3" t="str">
        <f>VLOOKUP(Registros[[#This Row],[Producto]],Producto[],2,FALSE)</f>
        <v>DONANY</v>
      </c>
    </row>
    <row r="951" spans="1:8" ht="20.100000000000001" customHeight="1" x14ac:dyDescent="0.25">
      <c r="A951" s="3" t="s">
        <v>2</v>
      </c>
      <c r="B951" s="3" t="s">
        <v>250</v>
      </c>
      <c r="C951" s="3">
        <v>2022</v>
      </c>
      <c r="D951" s="4">
        <v>1</v>
      </c>
      <c r="E951" s="5">
        <v>6600</v>
      </c>
      <c r="F951" s="5">
        <v>3400.45</v>
      </c>
      <c r="G951" s="3" t="str">
        <f>VLOOKUP(Registros[[#This Row],[Cliente]],Cliente_Region[],2,FALSE)</f>
        <v>Chile</v>
      </c>
      <c r="H951" s="3" t="str">
        <f>VLOOKUP(Registros[[#This Row],[Producto]],Producto[],2,FALSE)</f>
        <v>SALF</v>
      </c>
    </row>
    <row r="952" spans="1:8" ht="20.100000000000001" customHeight="1" x14ac:dyDescent="0.25">
      <c r="A952" s="3" t="s">
        <v>3</v>
      </c>
      <c r="B952" s="3" t="s">
        <v>250</v>
      </c>
      <c r="C952" s="3">
        <v>2022</v>
      </c>
      <c r="D952" s="4">
        <v>2</v>
      </c>
      <c r="E952" s="5">
        <v>6400</v>
      </c>
      <c r="F952" s="5">
        <v>3289.14</v>
      </c>
      <c r="G952" s="3" t="str">
        <f>VLOOKUP(Registros[[#This Row],[Cliente]],Cliente_Region[],2,FALSE)</f>
        <v>Chile</v>
      </c>
      <c r="H952" s="3" t="str">
        <f>VLOOKUP(Registros[[#This Row],[Producto]],Producto[],2,FALSE)</f>
        <v>DAWNE</v>
      </c>
    </row>
    <row r="953" spans="1:8" ht="20.100000000000001" customHeight="1" x14ac:dyDescent="0.25">
      <c r="A953" s="3" t="s">
        <v>3</v>
      </c>
      <c r="B953" s="3" t="s">
        <v>250</v>
      </c>
      <c r="C953" s="3">
        <v>2022</v>
      </c>
      <c r="D953" s="4">
        <v>3</v>
      </c>
      <c r="E953" s="5">
        <v>6400</v>
      </c>
      <c r="F953" s="5">
        <v>3289.12</v>
      </c>
      <c r="G953" s="3" t="str">
        <f>VLOOKUP(Registros[[#This Row],[Cliente]],Cliente_Region[],2,FALSE)</f>
        <v>Chile</v>
      </c>
      <c r="H953" s="3" t="str">
        <f>VLOOKUP(Registros[[#This Row],[Producto]],Producto[],2,FALSE)</f>
        <v>DAWNE</v>
      </c>
    </row>
    <row r="954" spans="1:8" ht="20.100000000000001" customHeight="1" x14ac:dyDescent="0.25">
      <c r="A954" s="3" t="s">
        <v>3</v>
      </c>
      <c r="B954" s="3" t="s">
        <v>250</v>
      </c>
      <c r="C954" s="3">
        <v>2022</v>
      </c>
      <c r="D954" s="4">
        <v>4</v>
      </c>
      <c r="E954" s="5">
        <v>7200</v>
      </c>
      <c r="F954" s="5">
        <v>3700.27</v>
      </c>
      <c r="G954" s="3" t="str">
        <f>VLOOKUP(Registros[[#This Row],[Cliente]],Cliente_Region[],2,FALSE)</f>
        <v>Chile</v>
      </c>
      <c r="H954" s="3" t="str">
        <f>VLOOKUP(Registros[[#This Row],[Producto]],Producto[],2,FALSE)</f>
        <v>DAWNE</v>
      </c>
    </row>
    <row r="955" spans="1:8" ht="20.100000000000001" customHeight="1" x14ac:dyDescent="0.25">
      <c r="A955" s="3" t="s">
        <v>3</v>
      </c>
      <c r="B955" s="3" t="s">
        <v>250</v>
      </c>
      <c r="C955" s="3">
        <v>2022</v>
      </c>
      <c r="D955" s="4">
        <v>5</v>
      </c>
      <c r="E955" s="5">
        <v>7600</v>
      </c>
      <c r="F955" s="5">
        <v>3905.84</v>
      </c>
      <c r="G955" s="3" t="str">
        <f>VLOOKUP(Registros[[#This Row],[Cliente]],Cliente_Region[],2,FALSE)</f>
        <v>Chile</v>
      </c>
      <c r="H955" s="3" t="str">
        <f>VLOOKUP(Registros[[#This Row],[Producto]],Producto[],2,FALSE)</f>
        <v>DAWNE</v>
      </c>
    </row>
    <row r="956" spans="1:8" ht="20.100000000000001" customHeight="1" x14ac:dyDescent="0.25">
      <c r="A956" s="3" t="s">
        <v>3</v>
      </c>
      <c r="B956" s="3" t="s">
        <v>250</v>
      </c>
      <c r="C956" s="3">
        <v>2022</v>
      </c>
      <c r="D956" s="4">
        <v>6</v>
      </c>
      <c r="E956" s="5">
        <v>7200</v>
      </c>
      <c r="F956" s="5">
        <v>3700.26</v>
      </c>
      <c r="G956" s="3" t="str">
        <f>VLOOKUP(Registros[[#This Row],[Cliente]],Cliente_Region[],2,FALSE)</f>
        <v>Chile</v>
      </c>
      <c r="H956" s="3" t="str">
        <f>VLOOKUP(Registros[[#This Row],[Producto]],Producto[],2,FALSE)</f>
        <v>DAWNE</v>
      </c>
    </row>
    <row r="957" spans="1:8" ht="20.100000000000001" customHeight="1" x14ac:dyDescent="0.25">
      <c r="A957" s="3" t="s">
        <v>4</v>
      </c>
      <c r="B957" s="3" t="s">
        <v>250</v>
      </c>
      <c r="C957" s="3">
        <v>2022</v>
      </c>
      <c r="D957" s="4">
        <v>1</v>
      </c>
      <c r="E957" s="5">
        <v>3420</v>
      </c>
      <c r="F957" s="5">
        <v>1927.09</v>
      </c>
      <c r="G957" s="3" t="str">
        <f>VLOOKUP(Registros[[#This Row],[Cliente]],Cliente_Region[],2,FALSE)</f>
        <v>Chile</v>
      </c>
      <c r="H957" s="3" t="str">
        <f>VLOOKUP(Registros[[#This Row],[Producto]],Producto[],2,FALSE)</f>
        <v>QUOKAR</v>
      </c>
    </row>
    <row r="958" spans="1:8" ht="20.100000000000001" customHeight="1" x14ac:dyDescent="0.25">
      <c r="A958" s="3" t="s">
        <v>242</v>
      </c>
      <c r="B958" s="3" t="s">
        <v>250</v>
      </c>
      <c r="C958" s="3">
        <v>2022</v>
      </c>
      <c r="D958" s="4">
        <v>2</v>
      </c>
      <c r="E958" s="5">
        <v>2850</v>
      </c>
      <c r="F958" s="5">
        <v>1709.75</v>
      </c>
      <c r="G958" s="3" t="str">
        <f>VLOOKUP(Registros[[#This Row],[Cliente]],Cliente_Region[],2,FALSE)</f>
        <v>Chile</v>
      </c>
      <c r="H958" s="3" t="str">
        <f>VLOOKUP(Registros[[#This Row],[Producto]],Producto[],2,FALSE)</f>
        <v>MOC</v>
      </c>
    </row>
    <row r="959" spans="1:8" ht="20.100000000000001" customHeight="1" x14ac:dyDescent="0.25">
      <c r="A959" s="3" t="s">
        <v>242</v>
      </c>
      <c r="B959" s="3" t="s">
        <v>250</v>
      </c>
      <c r="C959" s="3">
        <v>2022</v>
      </c>
      <c r="D959" s="4">
        <v>3</v>
      </c>
      <c r="E959" s="5">
        <v>2850</v>
      </c>
      <c r="F959" s="5">
        <v>1709.75</v>
      </c>
      <c r="G959" s="3" t="str">
        <f>VLOOKUP(Registros[[#This Row],[Cliente]],Cliente_Region[],2,FALSE)</f>
        <v>Chile</v>
      </c>
      <c r="H959" s="3" t="str">
        <f>VLOOKUP(Registros[[#This Row],[Producto]],Producto[],2,FALSE)</f>
        <v>MOC</v>
      </c>
    </row>
    <row r="960" spans="1:8" ht="20.100000000000001" customHeight="1" x14ac:dyDescent="0.25">
      <c r="A960" s="3" t="s">
        <v>242</v>
      </c>
      <c r="B960" s="3" t="s">
        <v>250</v>
      </c>
      <c r="C960" s="3">
        <v>2022</v>
      </c>
      <c r="D960" s="4">
        <v>4</v>
      </c>
      <c r="E960" s="5">
        <v>3040</v>
      </c>
      <c r="F960" s="5">
        <v>1761.42</v>
      </c>
      <c r="G960" s="3" t="str">
        <f>VLOOKUP(Registros[[#This Row],[Cliente]],Cliente_Region[],2,FALSE)</f>
        <v>Chile</v>
      </c>
      <c r="H960" s="3" t="str">
        <f>VLOOKUP(Registros[[#This Row],[Producto]],Producto[],2,FALSE)</f>
        <v>MOC</v>
      </c>
    </row>
    <row r="961" spans="1:8" ht="20.100000000000001" customHeight="1" x14ac:dyDescent="0.25">
      <c r="A961" s="3" t="s">
        <v>242</v>
      </c>
      <c r="B961" s="3" t="s">
        <v>250</v>
      </c>
      <c r="C961" s="3">
        <v>2022</v>
      </c>
      <c r="D961" s="4">
        <v>5</v>
      </c>
      <c r="E961" s="5">
        <v>3800</v>
      </c>
      <c r="F961" s="5">
        <v>2279.65</v>
      </c>
      <c r="G961" s="3" t="str">
        <f>VLOOKUP(Registros[[#This Row],[Cliente]],Cliente_Region[],2,FALSE)</f>
        <v>Chile</v>
      </c>
      <c r="H961" s="3" t="str">
        <f>VLOOKUP(Registros[[#This Row],[Producto]],Producto[],2,FALSE)</f>
        <v>MOC</v>
      </c>
    </row>
    <row r="962" spans="1:8" ht="20.100000000000001" customHeight="1" x14ac:dyDescent="0.25">
      <c r="A962" s="3" t="s">
        <v>242</v>
      </c>
      <c r="B962" s="3" t="s">
        <v>250</v>
      </c>
      <c r="C962" s="3">
        <v>2022</v>
      </c>
      <c r="D962" s="4">
        <v>6</v>
      </c>
      <c r="E962" s="5">
        <v>5130</v>
      </c>
      <c r="F962" s="5">
        <v>3077.55</v>
      </c>
      <c r="G962" s="3" t="str">
        <f>VLOOKUP(Registros[[#This Row],[Cliente]],Cliente_Region[],2,FALSE)</f>
        <v>Chile</v>
      </c>
      <c r="H962" s="3" t="str">
        <f>VLOOKUP(Registros[[#This Row],[Producto]],Producto[],2,FALSE)</f>
        <v>MOC</v>
      </c>
    </row>
    <row r="963" spans="1:8" ht="20.100000000000001" customHeight="1" x14ac:dyDescent="0.25">
      <c r="A963" s="3" t="s">
        <v>164</v>
      </c>
      <c r="B963" s="3" t="s">
        <v>250</v>
      </c>
      <c r="C963" s="3">
        <v>2022</v>
      </c>
      <c r="D963" s="4">
        <v>1</v>
      </c>
      <c r="E963" s="5">
        <v>41</v>
      </c>
      <c r="F963" s="5">
        <v>23.92</v>
      </c>
      <c r="G963" s="3" t="str">
        <f>VLOOKUP(Registros[[#This Row],[Cliente]],Cliente_Region[],2,FALSE)</f>
        <v>Chile</v>
      </c>
      <c r="H963" s="3" t="str">
        <f>VLOOKUP(Registros[[#This Row],[Producto]],Producto[],2,FALSE)</f>
        <v>MOC</v>
      </c>
    </row>
    <row r="964" spans="1:8" ht="20.100000000000001" customHeight="1" x14ac:dyDescent="0.25">
      <c r="A964" s="3" t="s">
        <v>165</v>
      </c>
      <c r="B964" s="3" t="s">
        <v>250</v>
      </c>
      <c r="C964" s="3">
        <v>2022</v>
      </c>
      <c r="D964" s="4">
        <v>6</v>
      </c>
      <c r="E964" s="5">
        <v>20.5</v>
      </c>
      <c r="F964" s="5">
        <v>11.91</v>
      </c>
      <c r="G964" s="3" t="str">
        <f>VLOOKUP(Registros[[#This Row],[Cliente]],Cliente_Region[],2,FALSE)</f>
        <v>Chile</v>
      </c>
      <c r="H964" s="3" t="str">
        <f>VLOOKUP(Registros[[#This Row],[Producto]],Producto[],2,FALSE)</f>
        <v>DONANY</v>
      </c>
    </row>
    <row r="965" spans="1:8" ht="20.100000000000001" customHeight="1" x14ac:dyDescent="0.25">
      <c r="A965" s="3" t="s">
        <v>138</v>
      </c>
      <c r="B965" s="3" t="s">
        <v>250</v>
      </c>
      <c r="C965" s="3">
        <v>2022</v>
      </c>
      <c r="D965" s="4">
        <v>1</v>
      </c>
      <c r="E965" s="5">
        <v>60</v>
      </c>
      <c r="F965" s="5">
        <v>37.18</v>
      </c>
      <c r="G965" s="3" t="str">
        <f>VLOOKUP(Registros[[#This Row],[Cliente]],Cliente_Region[],2,FALSE)</f>
        <v>Chile</v>
      </c>
      <c r="H965" s="3" t="str">
        <f>VLOOKUP(Registros[[#This Row],[Producto]],Producto[],2,FALSE)</f>
        <v>SALF</v>
      </c>
    </row>
    <row r="966" spans="1:8" ht="20.100000000000001" customHeight="1" x14ac:dyDescent="0.25">
      <c r="A966" s="3" t="s">
        <v>139</v>
      </c>
      <c r="B966" s="3" t="s">
        <v>250</v>
      </c>
      <c r="C966" s="3">
        <v>2022</v>
      </c>
      <c r="D966" s="4">
        <v>2</v>
      </c>
      <c r="E966" s="5">
        <v>60</v>
      </c>
      <c r="F966" s="5">
        <v>38.04</v>
      </c>
      <c r="G966" s="3" t="str">
        <f>VLOOKUP(Registros[[#This Row],[Cliente]],Cliente_Region[],2,FALSE)</f>
        <v>Chile</v>
      </c>
      <c r="H966" s="3" t="str">
        <f>VLOOKUP(Registros[[#This Row],[Producto]],Producto[],2,FALSE)</f>
        <v>MOC</v>
      </c>
    </row>
    <row r="967" spans="1:8" ht="20.100000000000001" customHeight="1" x14ac:dyDescent="0.25">
      <c r="A967" s="3" t="s">
        <v>139</v>
      </c>
      <c r="B967" s="3" t="s">
        <v>250</v>
      </c>
      <c r="C967" s="3">
        <v>2022</v>
      </c>
      <c r="D967" s="4">
        <v>3</v>
      </c>
      <c r="E967" s="5">
        <v>120</v>
      </c>
      <c r="F967" s="5">
        <v>76.540000000000006</v>
      </c>
      <c r="G967" s="3" t="str">
        <f>VLOOKUP(Registros[[#This Row],[Cliente]],Cliente_Region[],2,FALSE)</f>
        <v>Chile</v>
      </c>
      <c r="H967" s="3" t="str">
        <f>VLOOKUP(Registros[[#This Row],[Producto]],Producto[],2,FALSE)</f>
        <v>MOC</v>
      </c>
    </row>
    <row r="968" spans="1:8" ht="20.100000000000001" customHeight="1" x14ac:dyDescent="0.25">
      <c r="A968" s="3" t="s">
        <v>139</v>
      </c>
      <c r="B968" s="3" t="s">
        <v>250</v>
      </c>
      <c r="C968" s="3">
        <v>2022</v>
      </c>
      <c r="D968" s="4">
        <v>4</v>
      </c>
      <c r="E968" s="5">
        <v>66</v>
      </c>
      <c r="F968" s="5">
        <v>22.54</v>
      </c>
      <c r="G968" s="3" t="str">
        <f>VLOOKUP(Registros[[#This Row],[Cliente]],Cliente_Region[],2,FALSE)</f>
        <v>Chile</v>
      </c>
      <c r="H968" s="3" t="str">
        <f>VLOOKUP(Registros[[#This Row],[Producto]],Producto[],2,FALSE)</f>
        <v>MOC</v>
      </c>
    </row>
    <row r="969" spans="1:8" ht="20.100000000000001" customHeight="1" x14ac:dyDescent="0.25">
      <c r="A969" s="3" t="s">
        <v>139</v>
      </c>
      <c r="B969" s="3" t="s">
        <v>250</v>
      </c>
      <c r="C969" s="3">
        <v>2022</v>
      </c>
      <c r="D969" s="4">
        <v>5</v>
      </c>
      <c r="E969" s="5">
        <v>60</v>
      </c>
      <c r="F969" s="5">
        <v>38.340000000000003</v>
      </c>
      <c r="G969" s="3" t="str">
        <f>VLOOKUP(Registros[[#This Row],[Cliente]],Cliente_Region[],2,FALSE)</f>
        <v>Chile</v>
      </c>
      <c r="H969" s="3" t="str">
        <f>VLOOKUP(Registros[[#This Row],[Producto]],Producto[],2,FALSE)</f>
        <v>MOC</v>
      </c>
    </row>
    <row r="970" spans="1:8" ht="20.100000000000001" customHeight="1" x14ac:dyDescent="0.25">
      <c r="A970" s="3" t="s">
        <v>140</v>
      </c>
      <c r="B970" s="3" t="s">
        <v>250</v>
      </c>
      <c r="C970" s="3">
        <v>2022</v>
      </c>
      <c r="D970" s="4">
        <v>1</v>
      </c>
      <c r="E970" s="5">
        <v>66</v>
      </c>
      <c r="F970" s="5">
        <v>33.99</v>
      </c>
      <c r="G970" s="3" t="str">
        <f>VLOOKUP(Registros[[#This Row],[Cliente]],Cliente_Region[],2,FALSE)</f>
        <v>Chile</v>
      </c>
      <c r="H970" s="3" t="str">
        <f>VLOOKUP(Registros[[#This Row],[Producto]],Producto[],2,FALSE)</f>
        <v>DAWNE</v>
      </c>
    </row>
    <row r="971" spans="1:8" ht="20.100000000000001" customHeight="1" x14ac:dyDescent="0.25">
      <c r="A971" s="3" t="s">
        <v>141</v>
      </c>
      <c r="B971" s="3" t="s">
        <v>250</v>
      </c>
      <c r="C971" s="3">
        <v>2022</v>
      </c>
      <c r="D971" s="4">
        <v>3</v>
      </c>
      <c r="E971" s="5">
        <v>33</v>
      </c>
      <c r="F971" s="5">
        <v>13.89</v>
      </c>
      <c r="G971" s="3" t="str">
        <f>VLOOKUP(Registros[[#This Row],[Cliente]],Cliente_Region[],2,FALSE)</f>
        <v>Chile</v>
      </c>
      <c r="H971" s="3" t="str">
        <f>VLOOKUP(Registros[[#This Row],[Producto]],Producto[],2,FALSE)</f>
        <v>QUOKAR</v>
      </c>
    </row>
    <row r="972" spans="1:8" ht="20.100000000000001" customHeight="1" x14ac:dyDescent="0.25">
      <c r="A972" s="3" t="s">
        <v>141</v>
      </c>
      <c r="B972" s="3" t="s">
        <v>250</v>
      </c>
      <c r="C972" s="3">
        <v>2022</v>
      </c>
      <c r="D972" s="4">
        <v>4</v>
      </c>
      <c r="E972" s="5">
        <v>66</v>
      </c>
      <c r="F972" s="5">
        <v>28.47</v>
      </c>
      <c r="G972" s="3" t="str">
        <f>VLOOKUP(Registros[[#This Row],[Cliente]],Cliente_Region[],2,FALSE)</f>
        <v>Chile</v>
      </c>
      <c r="H972" s="3" t="str">
        <f>VLOOKUP(Registros[[#This Row],[Producto]],Producto[],2,FALSE)</f>
        <v>QUOKAR</v>
      </c>
    </row>
    <row r="973" spans="1:8" ht="20.100000000000001" customHeight="1" x14ac:dyDescent="0.25">
      <c r="A973" s="3" t="s">
        <v>141</v>
      </c>
      <c r="B973" s="3" t="s">
        <v>250</v>
      </c>
      <c r="C973" s="3">
        <v>2022</v>
      </c>
      <c r="D973" s="4">
        <v>6</v>
      </c>
      <c r="E973" s="5">
        <v>165</v>
      </c>
      <c r="F973" s="5">
        <v>72.92</v>
      </c>
      <c r="G973" s="3" t="str">
        <f>VLOOKUP(Registros[[#This Row],[Cliente]],Cliente_Region[],2,FALSE)</f>
        <v>Chile</v>
      </c>
      <c r="H973" s="3" t="str">
        <f>VLOOKUP(Registros[[#This Row],[Producto]],Producto[],2,FALSE)</f>
        <v>QUOKAR</v>
      </c>
    </row>
    <row r="974" spans="1:8" ht="20.100000000000001" customHeight="1" x14ac:dyDescent="0.25">
      <c r="A974" s="3" t="s">
        <v>196</v>
      </c>
      <c r="B974" s="3" t="s">
        <v>250</v>
      </c>
      <c r="C974" s="3">
        <v>2022</v>
      </c>
      <c r="D974" s="4">
        <v>1</v>
      </c>
      <c r="E974" s="5">
        <v>121.8</v>
      </c>
      <c r="F974" s="5">
        <v>24.23</v>
      </c>
      <c r="G974" s="3" t="str">
        <f>VLOOKUP(Registros[[#This Row],[Cliente]],Cliente_Region[],2,FALSE)</f>
        <v>Chile</v>
      </c>
      <c r="H974" s="3" t="str">
        <f>VLOOKUP(Registros[[#This Row],[Producto]],Producto[],2,FALSE)</f>
        <v>CHOTUS</v>
      </c>
    </row>
    <row r="975" spans="1:8" ht="20.100000000000001" customHeight="1" x14ac:dyDescent="0.25">
      <c r="A975" s="3" t="s">
        <v>26</v>
      </c>
      <c r="B975" s="3" t="s">
        <v>250</v>
      </c>
      <c r="C975" s="3">
        <v>2022</v>
      </c>
      <c r="D975" s="4">
        <v>1</v>
      </c>
      <c r="E975" s="5">
        <v>800</v>
      </c>
      <c r="F975" s="5">
        <v>500.92</v>
      </c>
      <c r="G975" s="3" t="str">
        <f>VLOOKUP(Registros[[#This Row],[Cliente]],Cliente_Region[],2,FALSE)</f>
        <v>Chile</v>
      </c>
      <c r="H975" s="3" t="str">
        <f>VLOOKUP(Registros[[#This Row],[Producto]],Producto[],2,FALSE)</f>
        <v>CHOTUS</v>
      </c>
    </row>
    <row r="976" spans="1:8" ht="20.100000000000001" customHeight="1" x14ac:dyDescent="0.25">
      <c r="A976" s="3" t="s">
        <v>187</v>
      </c>
      <c r="B976" s="3" t="s">
        <v>250</v>
      </c>
      <c r="C976" s="3">
        <v>2022</v>
      </c>
      <c r="D976" s="4">
        <v>2</v>
      </c>
      <c r="E976" s="5">
        <v>1200</v>
      </c>
      <c r="F976" s="5">
        <v>751.44</v>
      </c>
      <c r="G976" s="3" t="str">
        <f>VLOOKUP(Registros[[#This Row],[Cliente]],Cliente_Region[],2,FALSE)</f>
        <v>Chile</v>
      </c>
      <c r="H976" s="3" t="str">
        <f>VLOOKUP(Registros[[#This Row],[Producto]],Producto[],2,FALSE)</f>
        <v>SALF</v>
      </c>
    </row>
    <row r="977" spans="1:8" ht="20.100000000000001" customHeight="1" x14ac:dyDescent="0.25">
      <c r="A977" s="3" t="s">
        <v>187</v>
      </c>
      <c r="B977" s="3" t="s">
        <v>250</v>
      </c>
      <c r="C977" s="3">
        <v>2022</v>
      </c>
      <c r="D977" s="4">
        <v>3</v>
      </c>
      <c r="E977" s="5">
        <v>400</v>
      </c>
      <c r="F977" s="5">
        <v>250.48</v>
      </c>
      <c r="G977" s="3" t="str">
        <f>VLOOKUP(Registros[[#This Row],[Cliente]],Cliente_Region[],2,FALSE)</f>
        <v>Chile</v>
      </c>
      <c r="H977" s="3" t="str">
        <f>VLOOKUP(Registros[[#This Row],[Producto]],Producto[],2,FALSE)</f>
        <v>SALF</v>
      </c>
    </row>
    <row r="978" spans="1:8" ht="20.100000000000001" customHeight="1" x14ac:dyDescent="0.25">
      <c r="A978" s="3" t="s">
        <v>187</v>
      </c>
      <c r="B978" s="3" t="s">
        <v>250</v>
      </c>
      <c r="C978" s="3">
        <v>2022</v>
      </c>
      <c r="D978" s="4">
        <v>4</v>
      </c>
      <c r="E978" s="5">
        <v>400</v>
      </c>
      <c r="F978" s="5">
        <v>250.48</v>
      </c>
      <c r="G978" s="3" t="str">
        <f>VLOOKUP(Registros[[#This Row],[Cliente]],Cliente_Region[],2,FALSE)</f>
        <v>Chile</v>
      </c>
      <c r="H978" s="3" t="str">
        <f>VLOOKUP(Registros[[#This Row],[Producto]],Producto[],2,FALSE)</f>
        <v>SALF</v>
      </c>
    </row>
    <row r="979" spans="1:8" ht="20.100000000000001" customHeight="1" x14ac:dyDescent="0.25">
      <c r="A979" s="3" t="s">
        <v>187</v>
      </c>
      <c r="B979" s="3" t="s">
        <v>250</v>
      </c>
      <c r="C979" s="3">
        <v>2022</v>
      </c>
      <c r="D979" s="4">
        <v>5</v>
      </c>
      <c r="E979" s="5">
        <v>500</v>
      </c>
      <c r="F979" s="5">
        <v>313.10000000000002</v>
      </c>
      <c r="G979" s="3" t="str">
        <f>VLOOKUP(Registros[[#This Row],[Cliente]],Cliente_Region[],2,FALSE)</f>
        <v>Chile</v>
      </c>
      <c r="H979" s="3" t="str">
        <f>VLOOKUP(Registros[[#This Row],[Producto]],Producto[],2,FALSE)</f>
        <v>SALF</v>
      </c>
    </row>
    <row r="980" spans="1:8" ht="20.100000000000001" customHeight="1" x14ac:dyDescent="0.25">
      <c r="A980" s="3" t="s">
        <v>187</v>
      </c>
      <c r="B980" s="3" t="s">
        <v>250</v>
      </c>
      <c r="C980" s="3">
        <v>2022</v>
      </c>
      <c r="D980" s="4">
        <v>6</v>
      </c>
      <c r="E980" s="5">
        <v>950</v>
      </c>
      <c r="F980" s="5">
        <v>594.89</v>
      </c>
      <c r="G980" s="3" t="str">
        <f>VLOOKUP(Registros[[#This Row],[Cliente]],Cliente_Region[],2,FALSE)</f>
        <v>Chile</v>
      </c>
      <c r="H980" s="3" t="str">
        <f>VLOOKUP(Registros[[#This Row],[Producto]],Producto[],2,FALSE)</f>
        <v>SALF</v>
      </c>
    </row>
    <row r="981" spans="1:8" ht="20.100000000000001" customHeight="1" x14ac:dyDescent="0.25">
      <c r="A981" s="3" t="s">
        <v>258</v>
      </c>
      <c r="B981" s="3" t="s">
        <v>250</v>
      </c>
      <c r="C981" s="3">
        <v>2022</v>
      </c>
      <c r="D981" s="4">
        <v>2</v>
      </c>
      <c r="E981" s="5">
        <v>32.35</v>
      </c>
      <c r="F981" s="5">
        <v>20.78</v>
      </c>
      <c r="G981" s="3" t="str">
        <f>VLOOKUP(Registros[[#This Row],[Cliente]],Cliente_Region[],2,FALSE)</f>
        <v>Chile</v>
      </c>
      <c r="H981" s="3" t="str">
        <f>VLOOKUP(Registros[[#This Row],[Producto]],Producto[],2,FALSE)</f>
        <v>CHOTUS</v>
      </c>
    </row>
    <row r="982" spans="1:8" ht="20.100000000000001" customHeight="1" x14ac:dyDescent="0.25">
      <c r="A982" s="3" t="s">
        <v>259</v>
      </c>
      <c r="B982" s="3" t="s">
        <v>250</v>
      </c>
      <c r="C982" s="3">
        <v>2022</v>
      </c>
      <c r="D982" s="4">
        <v>4</v>
      </c>
      <c r="E982" s="5">
        <v>32.35</v>
      </c>
      <c r="F982" s="5">
        <v>20.51</v>
      </c>
      <c r="G982" s="3" t="str">
        <f>VLOOKUP(Registros[[#This Row],[Cliente]],Cliente_Region[],2,FALSE)</f>
        <v>Chile</v>
      </c>
      <c r="H982" s="3" t="str">
        <f>VLOOKUP(Registros[[#This Row],[Producto]],Producto[],2,FALSE)</f>
        <v>DONANY</v>
      </c>
    </row>
    <row r="983" spans="1:8" ht="20.100000000000001" customHeight="1" x14ac:dyDescent="0.25">
      <c r="A983" s="3" t="s">
        <v>259</v>
      </c>
      <c r="B983" s="3" t="s">
        <v>250</v>
      </c>
      <c r="C983" s="3">
        <v>2022</v>
      </c>
      <c r="D983" s="4">
        <v>5</v>
      </c>
      <c r="E983" s="5">
        <v>64.7</v>
      </c>
      <c r="F983" s="5">
        <v>41.02</v>
      </c>
      <c r="G983" s="3" t="str">
        <f>VLOOKUP(Registros[[#This Row],[Cliente]],Cliente_Region[],2,FALSE)</f>
        <v>Chile</v>
      </c>
      <c r="H983" s="3" t="str">
        <f>VLOOKUP(Registros[[#This Row],[Producto]],Producto[],2,FALSE)</f>
        <v>DONANY</v>
      </c>
    </row>
    <row r="984" spans="1:8" ht="20.100000000000001" customHeight="1" x14ac:dyDescent="0.25">
      <c r="A984" s="3" t="s">
        <v>259</v>
      </c>
      <c r="B984" s="3" t="s">
        <v>250</v>
      </c>
      <c r="C984" s="3">
        <v>2022</v>
      </c>
      <c r="D984" s="4">
        <v>6</v>
      </c>
      <c r="E984" s="5">
        <v>97.05</v>
      </c>
      <c r="F984" s="5">
        <v>61.53</v>
      </c>
      <c r="G984" s="3" t="str">
        <f>VLOOKUP(Registros[[#This Row],[Cliente]],Cliente_Region[],2,FALSE)</f>
        <v>Chile</v>
      </c>
      <c r="H984" s="3" t="str">
        <f>VLOOKUP(Registros[[#This Row],[Producto]],Producto[],2,FALSE)</f>
        <v>DONANY</v>
      </c>
    </row>
    <row r="985" spans="1:8" ht="20.100000000000001" customHeight="1" x14ac:dyDescent="0.25">
      <c r="A985" s="3" t="s">
        <v>176</v>
      </c>
      <c r="B985" s="3" t="s">
        <v>250</v>
      </c>
      <c r="C985" s="3">
        <v>2022</v>
      </c>
      <c r="D985" s="4">
        <v>3</v>
      </c>
      <c r="E985" s="5">
        <v>15.9</v>
      </c>
      <c r="F985" s="5">
        <v>8.06</v>
      </c>
      <c r="G985" s="3" t="str">
        <f>VLOOKUP(Registros[[#This Row],[Cliente]],Cliente_Region[],2,FALSE)</f>
        <v>Chile</v>
      </c>
      <c r="H985" s="3" t="str">
        <f>VLOOKUP(Registros[[#This Row],[Producto]],Producto[],2,FALSE)</f>
        <v>CHOTUS</v>
      </c>
    </row>
    <row r="986" spans="1:8" ht="20.100000000000001" customHeight="1" x14ac:dyDescent="0.25">
      <c r="A986" s="3" t="s">
        <v>114</v>
      </c>
      <c r="B986" s="3" t="s">
        <v>250</v>
      </c>
      <c r="C986" s="3">
        <v>2022</v>
      </c>
      <c r="D986" s="4">
        <v>1</v>
      </c>
      <c r="E986" s="5">
        <v>11.6</v>
      </c>
      <c r="F986" s="5">
        <v>1.56</v>
      </c>
      <c r="G986" s="3" t="str">
        <f>VLOOKUP(Registros[[#This Row],[Cliente]],Cliente_Region[],2,FALSE)</f>
        <v>Chile</v>
      </c>
      <c r="H986" s="3" t="str">
        <f>VLOOKUP(Registros[[#This Row],[Producto]],Producto[],2,FALSE)</f>
        <v>DAWNE</v>
      </c>
    </row>
    <row r="987" spans="1:8" ht="20.100000000000001" customHeight="1" x14ac:dyDescent="0.25">
      <c r="A987" s="3" t="s">
        <v>115</v>
      </c>
      <c r="B987" s="3" t="s">
        <v>250</v>
      </c>
      <c r="C987" s="3">
        <v>2022</v>
      </c>
      <c r="D987" s="4">
        <v>3</v>
      </c>
      <c r="E987" s="5">
        <v>11.6</v>
      </c>
      <c r="F987" s="5">
        <v>1.56</v>
      </c>
      <c r="G987" s="3" t="str">
        <f>VLOOKUP(Registros[[#This Row],[Cliente]],Cliente_Region[],2,FALSE)</f>
        <v>Chile</v>
      </c>
      <c r="H987" s="3" t="str">
        <f>VLOOKUP(Registros[[#This Row],[Producto]],Producto[],2,FALSE)</f>
        <v>GAMBO</v>
      </c>
    </row>
    <row r="988" spans="1:8" ht="20.100000000000001" customHeight="1" x14ac:dyDescent="0.25">
      <c r="A988" s="3" t="s">
        <v>115</v>
      </c>
      <c r="B988" s="3" t="s">
        <v>250</v>
      </c>
      <c r="C988" s="3">
        <v>2022</v>
      </c>
      <c r="D988" s="4">
        <v>5</v>
      </c>
      <c r="E988" s="5">
        <v>11.6</v>
      </c>
      <c r="F988" s="5">
        <v>0.54</v>
      </c>
      <c r="G988" s="3" t="str">
        <f>VLOOKUP(Registros[[#This Row],[Cliente]],Cliente_Region[],2,FALSE)</f>
        <v>Chile</v>
      </c>
      <c r="H988" s="3" t="str">
        <f>VLOOKUP(Registros[[#This Row],[Producto]],Producto[],2,FALSE)</f>
        <v>GAMBO</v>
      </c>
    </row>
    <row r="989" spans="1:8" ht="20.100000000000001" customHeight="1" x14ac:dyDescent="0.25">
      <c r="A989" s="3" t="s">
        <v>260</v>
      </c>
      <c r="B989" s="3" t="s">
        <v>250</v>
      </c>
      <c r="C989" s="3">
        <v>2022</v>
      </c>
      <c r="D989" s="4">
        <v>1</v>
      </c>
      <c r="E989" s="5">
        <v>30</v>
      </c>
      <c r="F989" s="5">
        <v>-11.72</v>
      </c>
      <c r="G989" s="3" t="str">
        <f>VLOOKUP(Registros[[#This Row],[Cliente]],Cliente_Region[],2,FALSE)</f>
        <v>Chile</v>
      </c>
      <c r="H989" s="3" t="str">
        <f>VLOOKUP(Registros[[#This Row],[Producto]],Producto[],2,FALSE)</f>
        <v>MOC</v>
      </c>
    </row>
    <row r="990" spans="1:8" ht="20.100000000000001" customHeight="1" x14ac:dyDescent="0.25">
      <c r="A990" s="3" t="s">
        <v>261</v>
      </c>
      <c r="B990" s="3" t="s">
        <v>250</v>
      </c>
      <c r="C990" s="3">
        <v>2022</v>
      </c>
      <c r="D990" s="4">
        <v>3</v>
      </c>
      <c r="E990" s="5">
        <v>30</v>
      </c>
      <c r="F990" s="5">
        <v>18.36</v>
      </c>
      <c r="G990" s="3" t="str">
        <f>VLOOKUP(Registros[[#This Row],[Cliente]],Cliente_Region[],2,FALSE)</f>
        <v>Chile</v>
      </c>
      <c r="H990" s="3" t="str">
        <f>VLOOKUP(Registros[[#This Row],[Producto]],Producto[],2,FALSE)</f>
        <v>MOC</v>
      </c>
    </row>
    <row r="991" spans="1:8" ht="20.100000000000001" customHeight="1" x14ac:dyDescent="0.25">
      <c r="A991" s="3" t="s">
        <v>261</v>
      </c>
      <c r="B991" s="3" t="s">
        <v>250</v>
      </c>
      <c r="C991" s="3">
        <v>2022</v>
      </c>
      <c r="D991" s="4">
        <v>6</v>
      </c>
      <c r="E991" s="5">
        <v>30</v>
      </c>
      <c r="F991" s="5">
        <v>17.25</v>
      </c>
      <c r="G991" s="3" t="str">
        <f>VLOOKUP(Registros[[#This Row],[Cliente]],Cliente_Region[],2,FALSE)</f>
        <v>Chile</v>
      </c>
      <c r="H991" s="3" t="str">
        <f>VLOOKUP(Registros[[#This Row],[Producto]],Producto[],2,FALSE)</f>
        <v>MOC</v>
      </c>
    </row>
    <row r="992" spans="1:8" ht="20.100000000000001" customHeight="1" x14ac:dyDescent="0.25">
      <c r="A992" s="3" t="s">
        <v>65</v>
      </c>
      <c r="B992" s="3" t="s">
        <v>250</v>
      </c>
      <c r="C992" s="3">
        <v>2022</v>
      </c>
      <c r="D992" s="4">
        <v>6</v>
      </c>
      <c r="E992" s="5">
        <v>17.5</v>
      </c>
      <c r="F992" s="5">
        <v>11.61</v>
      </c>
      <c r="G992" s="3" t="str">
        <f>VLOOKUP(Registros[[#This Row],[Cliente]],Cliente_Region[],2,FALSE)</f>
        <v>Chile</v>
      </c>
      <c r="H992" s="3" t="str">
        <f>VLOOKUP(Registros[[#This Row],[Producto]],Producto[],2,FALSE)</f>
        <v>DAWNE</v>
      </c>
    </row>
    <row r="993" spans="1:8" ht="20.100000000000001" customHeight="1" x14ac:dyDescent="0.25">
      <c r="A993" s="3" t="s">
        <v>262</v>
      </c>
      <c r="B993" s="3" t="s">
        <v>250</v>
      </c>
      <c r="C993" s="3">
        <v>2022</v>
      </c>
      <c r="D993" s="4">
        <v>5</v>
      </c>
      <c r="E993" s="5">
        <v>47.7</v>
      </c>
      <c r="F993" s="5">
        <v>24.18</v>
      </c>
      <c r="G993" s="3" t="str">
        <f>VLOOKUP(Registros[[#This Row],[Cliente]],Cliente_Region[],2,FALSE)</f>
        <v>Chile</v>
      </c>
      <c r="H993" s="3" t="str">
        <f>VLOOKUP(Registros[[#This Row],[Producto]],Producto[],2,FALSE)</f>
        <v>LAX</v>
      </c>
    </row>
    <row r="994" spans="1:8" ht="20.100000000000001" customHeight="1" x14ac:dyDescent="0.25">
      <c r="A994" s="3" t="s">
        <v>120</v>
      </c>
      <c r="B994" s="3" t="s">
        <v>250</v>
      </c>
      <c r="C994" s="3">
        <v>2022</v>
      </c>
      <c r="D994" s="4">
        <v>1</v>
      </c>
      <c r="E994" s="5">
        <v>600</v>
      </c>
      <c r="F994" s="5">
        <v>322.39</v>
      </c>
      <c r="G994" s="3" t="str">
        <f>VLOOKUP(Registros[[#This Row],[Cliente]],Cliente_Region[],2,FALSE)</f>
        <v>Chile</v>
      </c>
      <c r="H994" s="3" t="str">
        <f>VLOOKUP(Registros[[#This Row],[Producto]],Producto[],2,FALSE)</f>
        <v>LAX</v>
      </c>
    </row>
    <row r="995" spans="1:8" ht="20.100000000000001" customHeight="1" x14ac:dyDescent="0.25">
      <c r="A995" s="3" t="s">
        <v>121</v>
      </c>
      <c r="B995" s="3" t="s">
        <v>250</v>
      </c>
      <c r="C995" s="3">
        <v>2022</v>
      </c>
      <c r="D995" s="4">
        <v>2</v>
      </c>
      <c r="E995" s="5">
        <v>200</v>
      </c>
      <c r="F995" s="5">
        <v>107.42</v>
      </c>
      <c r="G995" s="3" t="str">
        <f>VLOOKUP(Registros[[#This Row],[Cliente]],Cliente_Region[],2,FALSE)</f>
        <v>Chile</v>
      </c>
      <c r="H995" s="3" t="str">
        <f>VLOOKUP(Registros[[#This Row],[Producto]],Producto[],2,FALSE)</f>
        <v>LAX</v>
      </c>
    </row>
    <row r="996" spans="1:8" ht="20.100000000000001" customHeight="1" x14ac:dyDescent="0.25">
      <c r="A996" s="3" t="s">
        <v>121</v>
      </c>
      <c r="B996" s="3" t="s">
        <v>250</v>
      </c>
      <c r="C996" s="3">
        <v>2022</v>
      </c>
      <c r="D996" s="4">
        <v>3</v>
      </c>
      <c r="E996" s="5">
        <v>260</v>
      </c>
      <c r="F996" s="5">
        <v>120.79</v>
      </c>
      <c r="G996" s="3" t="str">
        <f>VLOOKUP(Registros[[#This Row],[Cliente]],Cliente_Region[],2,FALSE)</f>
        <v>Chile</v>
      </c>
      <c r="H996" s="3" t="str">
        <f>VLOOKUP(Registros[[#This Row],[Producto]],Producto[],2,FALSE)</f>
        <v>LAX</v>
      </c>
    </row>
    <row r="997" spans="1:8" ht="20.100000000000001" customHeight="1" x14ac:dyDescent="0.25">
      <c r="A997" s="3" t="s">
        <v>121</v>
      </c>
      <c r="B997" s="3" t="s">
        <v>250</v>
      </c>
      <c r="C997" s="3">
        <v>2022</v>
      </c>
      <c r="D997" s="4">
        <v>4</v>
      </c>
      <c r="E997" s="5">
        <v>160</v>
      </c>
      <c r="F997" s="5">
        <v>70.349999999999994</v>
      </c>
      <c r="G997" s="3" t="str">
        <f>VLOOKUP(Registros[[#This Row],[Cliente]],Cliente_Region[],2,FALSE)</f>
        <v>Chile</v>
      </c>
      <c r="H997" s="3" t="str">
        <f>VLOOKUP(Registros[[#This Row],[Producto]],Producto[],2,FALSE)</f>
        <v>LAX</v>
      </c>
    </row>
    <row r="998" spans="1:8" ht="20.100000000000001" customHeight="1" x14ac:dyDescent="0.25">
      <c r="A998" s="3" t="s">
        <v>121</v>
      </c>
      <c r="B998" s="3" t="s">
        <v>250</v>
      </c>
      <c r="C998" s="3">
        <v>2022</v>
      </c>
      <c r="D998" s="4">
        <v>5</v>
      </c>
      <c r="E998" s="5">
        <v>160</v>
      </c>
      <c r="F998" s="5">
        <v>81.34</v>
      </c>
      <c r="G998" s="3" t="str">
        <f>VLOOKUP(Registros[[#This Row],[Cliente]],Cliente_Region[],2,FALSE)</f>
        <v>Chile</v>
      </c>
      <c r="H998" s="3" t="str">
        <f>VLOOKUP(Registros[[#This Row],[Producto]],Producto[],2,FALSE)</f>
        <v>LAX</v>
      </c>
    </row>
    <row r="999" spans="1:8" ht="20.100000000000001" customHeight="1" x14ac:dyDescent="0.25">
      <c r="A999" s="3" t="s">
        <v>74</v>
      </c>
      <c r="B999" s="3" t="s">
        <v>250</v>
      </c>
      <c r="C999" s="3">
        <v>2022</v>
      </c>
      <c r="D999" s="4">
        <v>1</v>
      </c>
      <c r="E999" s="5">
        <v>3330</v>
      </c>
      <c r="F999" s="5">
        <v>210.29</v>
      </c>
      <c r="G999" s="3" t="str">
        <f>VLOOKUP(Registros[[#This Row],[Cliente]],Cliente_Region[],2,FALSE)</f>
        <v>Chile</v>
      </c>
      <c r="H999" s="3" t="str">
        <f>VLOOKUP(Registros[[#This Row],[Producto]],Producto[],2,FALSE)</f>
        <v>CHOTUS</v>
      </c>
    </row>
    <row r="1000" spans="1:8" ht="20.100000000000001" customHeight="1" x14ac:dyDescent="0.25">
      <c r="A1000" s="3" t="s">
        <v>75</v>
      </c>
      <c r="B1000" s="3" t="s">
        <v>250</v>
      </c>
      <c r="C1000" s="3">
        <v>2022</v>
      </c>
      <c r="D1000" s="4">
        <v>2</v>
      </c>
      <c r="E1000" s="5">
        <v>2070</v>
      </c>
      <c r="F1000" s="5">
        <v>539.19000000000005</v>
      </c>
      <c r="G1000" s="3" t="str">
        <f>VLOOKUP(Registros[[#This Row],[Cliente]],Cliente_Region[],2,FALSE)</f>
        <v>Chile</v>
      </c>
      <c r="H1000" s="3" t="str">
        <f>VLOOKUP(Registros[[#This Row],[Producto]],Producto[],2,FALSE)</f>
        <v>DONANY</v>
      </c>
    </row>
    <row r="1001" spans="1:8" ht="20.100000000000001" customHeight="1" x14ac:dyDescent="0.25">
      <c r="A1001" s="3" t="s">
        <v>75</v>
      </c>
      <c r="B1001" s="3" t="s">
        <v>250</v>
      </c>
      <c r="C1001" s="3">
        <v>2022</v>
      </c>
      <c r="D1001" s="4">
        <v>3</v>
      </c>
      <c r="E1001" s="5">
        <v>3330</v>
      </c>
      <c r="F1001" s="5">
        <v>754.8</v>
      </c>
      <c r="G1001" s="3" t="str">
        <f>VLOOKUP(Registros[[#This Row],[Cliente]],Cliente_Region[],2,FALSE)</f>
        <v>Chile</v>
      </c>
      <c r="H1001" s="3" t="str">
        <f>VLOOKUP(Registros[[#This Row],[Producto]],Producto[],2,FALSE)</f>
        <v>DONANY</v>
      </c>
    </row>
    <row r="1002" spans="1:8" ht="20.100000000000001" customHeight="1" x14ac:dyDescent="0.25">
      <c r="A1002" s="3" t="s">
        <v>75</v>
      </c>
      <c r="B1002" s="3" t="s">
        <v>250</v>
      </c>
      <c r="C1002" s="3">
        <v>2022</v>
      </c>
      <c r="D1002" s="4">
        <v>4</v>
      </c>
      <c r="E1002" s="5">
        <v>3240</v>
      </c>
      <c r="F1002" s="5">
        <v>1039.3</v>
      </c>
      <c r="G1002" s="3" t="str">
        <f>VLOOKUP(Registros[[#This Row],[Cliente]],Cliente_Region[],2,FALSE)</f>
        <v>Chile</v>
      </c>
      <c r="H1002" s="3" t="str">
        <f>VLOOKUP(Registros[[#This Row],[Producto]],Producto[],2,FALSE)</f>
        <v>DONANY</v>
      </c>
    </row>
    <row r="1003" spans="1:8" ht="20.100000000000001" customHeight="1" x14ac:dyDescent="0.25">
      <c r="A1003" s="3" t="s">
        <v>75</v>
      </c>
      <c r="B1003" s="3" t="s">
        <v>250</v>
      </c>
      <c r="C1003" s="3">
        <v>2022</v>
      </c>
      <c r="D1003" s="4">
        <v>5</v>
      </c>
      <c r="E1003" s="5">
        <v>3484.08</v>
      </c>
      <c r="F1003" s="5">
        <v>947.28</v>
      </c>
      <c r="G1003" s="3" t="str">
        <f>VLOOKUP(Registros[[#This Row],[Cliente]],Cliente_Region[],2,FALSE)</f>
        <v>Chile</v>
      </c>
      <c r="H1003" s="3" t="str">
        <f>VLOOKUP(Registros[[#This Row],[Producto]],Producto[],2,FALSE)</f>
        <v>DONANY</v>
      </c>
    </row>
    <row r="1004" spans="1:8" ht="20.100000000000001" customHeight="1" x14ac:dyDescent="0.25">
      <c r="A1004" s="3" t="s">
        <v>75</v>
      </c>
      <c r="B1004" s="3" t="s">
        <v>250</v>
      </c>
      <c r="C1004" s="3">
        <v>2022</v>
      </c>
      <c r="D1004" s="4">
        <v>6</v>
      </c>
      <c r="E1004" s="5">
        <v>4640</v>
      </c>
      <c r="F1004" s="5">
        <v>1894</v>
      </c>
      <c r="G1004" s="3" t="str">
        <f>VLOOKUP(Registros[[#This Row],[Cliente]],Cliente_Region[],2,FALSE)</f>
        <v>Chile</v>
      </c>
      <c r="H1004" s="3" t="str">
        <f>VLOOKUP(Registros[[#This Row],[Producto]],Producto[],2,FALSE)</f>
        <v>DONANY</v>
      </c>
    </row>
    <row r="1005" spans="1:8" ht="20.100000000000001" customHeight="1" x14ac:dyDescent="0.25">
      <c r="A1005" s="3" t="s">
        <v>62</v>
      </c>
      <c r="B1005" s="3" t="s">
        <v>250</v>
      </c>
      <c r="C1005" s="3">
        <v>2022</v>
      </c>
      <c r="D1005" s="4">
        <v>1</v>
      </c>
      <c r="E1005" s="5">
        <v>925</v>
      </c>
      <c r="F1005" s="5">
        <v>252.59</v>
      </c>
      <c r="G1005" s="3" t="str">
        <f>VLOOKUP(Registros[[#This Row],[Cliente]],Cliente_Region[],2,FALSE)</f>
        <v>Chile</v>
      </c>
      <c r="H1005" s="3" t="str">
        <f>VLOOKUP(Registros[[#This Row],[Producto]],Producto[],2,FALSE)</f>
        <v>MOC</v>
      </c>
    </row>
    <row r="1006" spans="1:8" ht="20.100000000000001" customHeight="1" x14ac:dyDescent="0.25">
      <c r="A1006" s="3" t="s">
        <v>63</v>
      </c>
      <c r="B1006" s="3" t="s">
        <v>250</v>
      </c>
      <c r="C1006" s="3">
        <v>2022</v>
      </c>
      <c r="D1006" s="4">
        <v>2</v>
      </c>
      <c r="E1006" s="5">
        <v>647.5</v>
      </c>
      <c r="F1006" s="5">
        <v>174.37</v>
      </c>
      <c r="G1006" s="3" t="str">
        <f>VLOOKUP(Registros[[#This Row],[Cliente]],Cliente_Region[],2,FALSE)</f>
        <v>Chile</v>
      </c>
      <c r="H1006" s="3" t="str">
        <f>VLOOKUP(Registros[[#This Row],[Producto]],Producto[],2,FALSE)</f>
        <v>SALF</v>
      </c>
    </row>
    <row r="1007" spans="1:8" ht="20.100000000000001" customHeight="1" x14ac:dyDescent="0.25">
      <c r="A1007" s="3" t="s">
        <v>63</v>
      </c>
      <c r="B1007" s="3" t="s">
        <v>250</v>
      </c>
      <c r="C1007" s="3">
        <v>2022</v>
      </c>
      <c r="D1007" s="4">
        <v>3</v>
      </c>
      <c r="E1007" s="5">
        <v>925</v>
      </c>
      <c r="F1007" s="5">
        <v>249.75</v>
      </c>
      <c r="G1007" s="3" t="str">
        <f>VLOOKUP(Registros[[#This Row],[Cliente]],Cliente_Region[],2,FALSE)</f>
        <v>Chile</v>
      </c>
      <c r="H1007" s="3" t="str">
        <f>VLOOKUP(Registros[[#This Row],[Producto]],Producto[],2,FALSE)</f>
        <v>SALF</v>
      </c>
    </row>
    <row r="1008" spans="1:8" ht="20.100000000000001" customHeight="1" x14ac:dyDescent="0.25">
      <c r="A1008" s="3" t="s">
        <v>63</v>
      </c>
      <c r="B1008" s="3" t="s">
        <v>250</v>
      </c>
      <c r="C1008" s="3">
        <v>2022</v>
      </c>
      <c r="D1008" s="4">
        <v>4</v>
      </c>
      <c r="E1008" s="5">
        <v>740</v>
      </c>
      <c r="F1008" s="5">
        <v>199.84</v>
      </c>
      <c r="G1008" s="3" t="str">
        <f>VLOOKUP(Registros[[#This Row],[Cliente]],Cliente_Region[],2,FALSE)</f>
        <v>Chile</v>
      </c>
      <c r="H1008" s="3" t="str">
        <f>VLOOKUP(Registros[[#This Row],[Producto]],Producto[],2,FALSE)</f>
        <v>SALF</v>
      </c>
    </row>
    <row r="1009" spans="1:8" ht="20.100000000000001" customHeight="1" x14ac:dyDescent="0.25">
      <c r="A1009" s="3" t="s">
        <v>63</v>
      </c>
      <c r="B1009" s="3" t="s">
        <v>250</v>
      </c>
      <c r="C1009" s="3">
        <v>2022</v>
      </c>
      <c r="D1009" s="4">
        <v>5</v>
      </c>
      <c r="E1009" s="5">
        <v>1202.5</v>
      </c>
      <c r="F1009" s="5">
        <v>469.81</v>
      </c>
      <c r="G1009" s="3" t="str">
        <f>VLOOKUP(Registros[[#This Row],[Cliente]],Cliente_Region[],2,FALSE)</f>
        <v>Chile</v>
      </c>
      <c r="H1009" s="3" t="str">
        <f>VLOOKUP(Registros[[#This Row],[Producto]],Producto[],2,FALSE)</f>
        <v>SALF</v>
      </c>
    </row>
    <row r="1010" spans="1:8" ht="20.100000000000001" customHeight="1" x14ac:dyDescent="0.25">
      <c r="A1010" s="3" t="s">
        <v>63</v>
      </c>
      <c r="B1010" s="3" t="s">
        <v>250</v>
      </c>
      <c r="C1010" s="3">
        <v>2022</v>
      </c>
      <c r="D1010" s="4">
        <v>6</v>
      </c>
      <c r="E1010" s="5">
        <v>1110</v>
      </c>
      <c r="F1010" s="5">
        <v>346.38</v>
      </c>
      <c r="G1010" s="3" t="str">
        <f>VLOOKUP(Registros[[#This Row],[Cliente]],Cliente_Region[],2,FALSE)</f>
        <v>Chile</v>
      </c>
      <c r="H1010" s="3" t="str">
        <f>VLOOKUP(Registros[[#This Row],[Producto]],Producto[],2,FALSE)</f>
        <v>SALF</v>
      </c>
    </row>
    <row r="1011" spans="1:8" ht="20.100000000000001" customHeight="1" x14ac:dyDescent="0.25">
      <c r="A1011" s="3" t="s">
        <v>189</v>
      </c>
      <c r="B1011" s="3" t="s">
        <v>250</v>
      </c>
      <c r="C1011" s="3">
        <v>2022</v>
      </c>
      <c r="D1011" s="4">
        <v>1</v>
      </c>
      <c r="E1011" s="5">
        <v>65</v>
      </c>
      <c r="F1011" s="5">
        <v>24.16</v>
      </c>
      <c r="G1011" s="3" t="str">
        <f>VLOOKUP(Registros[[#This Row],[Cliente]],Cliente_Region[],2,FALSE)</f>
        <v>Chile</v>
      </c>
      <c r="H1011" s="3" t="str">
        <f>VLOOKUP(Registros[[#This Row],[Producto]],Producto[],2,FALSE)</f>
        <v>DAWNE</v>
      </c>
    </row>
    <row r="1012" spans="1:8" ht="20.100000000000001" customHeight="1" x14ac:dyDescent="0.25">
      <c r="A1012" s="3" t="s">
        <v>190</v>
      </c>
      <c r="B1012" s="3" t="s">
        <v>250</v>
      </c>
      <c r="C1012" s="3">
        <v>2022</v>
      </c>
      <c r="D1012" s="4">
        <v>3</v>
      </c>
      <c r="E1012" s="5">
        <v>65</v>
      </c>
      <c r="F1012" s="5">
        <v>24.59</v>
      </c>
      <c r="G1012" s="3" t="str">
        <f>VLOOKUP(Registros[[#This Row],[Cliente]],Cliente_Region[],2,FALSE)</f>
        <v>Chile</v>
      </c>
      <c r="H1012" s="3" t="str">
        <f>VLOOKUP(Registros[[#This Row],[Producto]],Producto[],2,FALSE)</f>
        <v>DAWNE</v>
      </c>
    </row>
    <row r="1013" spans="1:8" ht="20.100000000000001" customHeight="1" x14ac:dyDescent="0.25">
      <c r="A1013" s="3" t="s">
        <v>190</v>
      </c>
      <c r="B1013" s="3" t="s">
        <v>250</v>
      </c>
      <c r="C1013" s="3">
        <v>2022</v>
      </c>
      <c r="D1013" s="4">
        <v>5</v>
      </c>
      <c r="E1013" s="5">
        <v>65</v>
      </c>
      <c r="F1013" s="5">
        <v>24.59</v>
      </c>
      <c r="G1013" s="3" t="str">
        <f>VLOOKUP(Registros[[#This Row],[Cliente]],Cliente_Region[],2,FALSE)</f>
        <v>Chile</v>
      </c>
      <c r="H1013" s="3" t="str">
        <f>VLOOKUP(Registros[[#This Row],[Producto]],Producto[],2,FALSE)</f>
        <v>DAWNE</v>
      </c>
    </row>
    <row r="1014" spans="1:8" ht="20.100000000000001" customHeight="1" x14ac:dyDescent="0.25">
      <c r="A1014" s="3" t="s">
        <v>190</v>
      </c>
      <c r="B1014" s="3" t="s">
        <v>250</v>
      </c>
      <c r="C1014" s="3">
        <v>2022</v>
      </c>
      <c r="D1014" s="4">
        <v>6</v>
      </c>
      <c r="E1014" s="5">
        <v>65</v>
      </c>
      <c r="F1014" s="5">
        <v>24.59</v>
      </c>
      <c r="G1014" s="3" t="str">
        <f>VLOOKUP(Registros[[#This Row],[Cliente]],Cliente_Region[],2,FALSE)</f>
        <v>Chile</v>
      </c>
      <c r="H1014" s="3" t="str">
        <f>VLOOKUP(Registros[[#This Row],[Producto]],Producto[],2,FALSE)</f>
        <v>DAWNE</v>
      </c>
    </row>
    <row r="1015" spans="1:8" ht="20.100000000000001" customHeight="1" x14ac:dyDescent="0.25">
      <c r="A1015" s="3" t="s">
        <v>253</v>
      </c>
      <c r="B1015" s="3" t="s">
        <v>263</v>
      </c>
      <c r="C1015" s="3">
        <v>2022</v>
      </c>
      <c r="D1015" s="4">
        <v>4</v>
      </c>
      <c r="E1015" s="5">
        <v>11.98</v>
      </c>
      <c r="F1015" s="5">
        <v>2.0099999999999998</v>
      </c>
      <c r="G1015" s="3" t="str">
        <f>VLOOKUP(Registros[[#This Row],[Cliente]],Cliente_Region[],2,FALSE)</f>
        <v>Argentina</v>
      </c>
      <c r="H1015" s="3" t="str">
        <f>VLOOKUP(Registros[[#This Row],[Producto]],Producto[],2,FALSE)</f>
        <v>LAX</v>
      </c>
    </row>
    <row r="1016" spans="1:8" ht="20.100000000000001" customHeight="1" x14ac:dyDescent="0.25">
      <c r="A1016" s="3" t="s">
        <v>264</v>
      </c>
      <c r="B1016" s="3" t="s">
        <v>263</v>
      </c>
      <c r="C1016" s="3">
        <v>2022</v>
      </c>
      <c r="D1016" s="4">
        <v>1</v>
      </c>
      <c r="E1016" s="5">
        <v>4080</v>
      </c>
      <c r="F1016" s="5">
        <v>1573.08</v>
      </c>
      <c r="G1016" s="3" t="str">
        <f>VLOOKUP(Registros[[#This Row],[Cliente]],Cliente_Region[],2,FALSE)</f>
        <v>Argentina</v>
      </c>
      <c r="H1016" s="3" t="str">
        <f>VLOOKUP(Registros[[#This Row],[Producto]],Producto[],2,FALSE)</f>
        <v>SALF</v>
      </c>
    </row>
    <row r="1017" spans="1:8" ht="20.100000000000001" customHeight="1" x14ac:dyDescent="0.25">
      <c r="A1017" s="3" t="s">
        <v>265</v>
      </c>
      <c r="B1017" s="3" t="s">
        <v>263</v>
      </c>
      <c r="C1017" s="3">
        <v>2022</v>
      </c>
      <c r="D1017" s="4">
        <v>2</v>
      </c>
      <c r="E1017" s="5">
        <v>2872</v>
      </c>
      <c r="F1017" s="5">
        <v>1128.3800000000001</v>
      </c>
      <c r="G1017" s="3" t="str">
        <f>VLOOKUP(Registros[[#This Row],[Cliente]],Cliente_Region[],2,FALSE)</f>
        <v>Argentina</v>
      </c>
      <c r="H1017" s="3" t="str">
        <f>VLOOKUP(Registros[[#This Row],[Producto]],Producto[],2,FALSE)</f>
        <v>CHOTUS</v>
      </c>
    </row>
    <row r="1018" spans="1:8" ht="20.100000000000001" customHeight="1" x14ac:dyDescent="0.25">
      <c r="A1018" s="3" t="s">
        <v>266</v>
      </c>
      <c r="B1018" s="3" t="s">
        <v>263</v>
      </c>
      <c r="C1018" s="3">
        <v>2022</v>
      </c>
      <c r="D1018" s="4">
        <v>1</v>
      </c>
      <c r="E1018" s="5">
        <v>356</v>
      </c>
      <c r="F1018" s="5">
        <v>227.2</v>
      </c>
      <c r="G1018" s="3" t="str">
        <f>VLOOKUP(Registros[[#This Row],[Cliente]],Cliente_Region[],2,FALSE)</f>
        <v>Argentina</v>
      </c>
      <c r="H1018" s="3" t="str">
        <f>VLOOKUP(Registros[[#This Row],[Producto]],Producto[],2,FALSE)</f>
        <v>DAWNE</v>
      </c>
    </row>
    <row r="1019" spans="1:8" ht="20.100000000000001" customHeight="1" x14ac:dyDescent="0.25">
      <c r="A1019" s="3" t="s">
        <v>267</v>
      </c>
      <c r="B1019" s="3" t="s">
        <v>263</v>
      </c>
      <c r="C1019" s="3">
        <v>2022</v>
      </c>
      <c r="D1019" s="4">
        <v>2</v>
      </c>
      <c r="E1019" s="5">
        <v>546</v>
      </c>
      <c r="F1019" s="5">
        <v>378.56</v>
      </c>
      <c r="G1019" s="3" t="str">
        <f>VLOOKUP(Registros[[#This Row],[Cliente]],Cliente_Region[],2,FALSE)</f>
        <v>Argentina</v>
      </c>
      <c r="H1019" s="3" t="str">
        <f>VLOOKUP(Registros[[#This Row],[Producto]],Producto[],2,FALSE)</f>
        <v>SALF</v>
      </c>
    </row>
    <row r="1020" spans="1:8" ht="20.100000000000001" customHeight="1" x14ac:dyDescent="0.25">
      <c r="A1020" s="3" t="s">
        <v>267</v>
      </c>
      <c r="B1020" s="3" t="s">
        <v>263</v>
      </c>
      <c r="C1020" s="3">
        <v>2022</v>
      </c>
      <c r="D1020" s="4">
        <v>3</v>
      </c>
      <c r="E1020" s="5">
        <v>609</v>
      </c>
      <c r="F1020" s="5">
        <v>422.24</v>
      </c>
      <c r="G1020" s="3" t="str">
        <f>VLOOKUP(Registros[[#This Row],[Cliente]],Cliente_Region[],2,FALSE)</f>
        <v>Argentina</v>
      </c>
      <c r="H1020" s="3" t="str">
        <f>VLOOKUP(Registros[[#This Row],[Producto]],Producto[],2,FALSE)</f>
        <v>SALF</v>
      </c>
    </row>
    <row r="1021" spans="1:8" ht="20.100000000000001" customHeight="1" x14ac:dyDescent="0.25">
      <c r="A1021" s="3" t="s">
        <v>267</v>
      </c>
      <c r="B1021" s="3" t="s">
        <v>263</v>
      </c>
      <c r="C1021" s="3">
        <v>2022</v>
      </c>
      <c r="D1021" s="4">
        <v>4</v>
      </c>
      <c r="E1021" s="5">
        <v>472.5</v>
      </c>
      <c r="F1021" s="5">
        <v>327.60000000000002</v>
      </c>
      <c r="G1021" s="3" t="str">
        <f>VLOOKUP(Registros[[#This Row],[Cliente]],Cliente_Region[],2,FALSE)</f>
        <v>Argentina</v>
      </c>
      <c r="H1021" s="3" t="str">
        <f>VLOOKUP(Registros[[#This Row],[Producto]],Producto[],2,FALSE)</f>
        <v>SALF</v>
      </c>
    </row>
    <row r="1022" spans="1:8" ht="20.100000000000001" customHeight="1" x14ac:dyDescent="0.25">
      <c r="A1022" s="3" t="s">
        <v>267</v>
      </c>
      <c r="B1022" s="3" t="s">
        <v>263</v>
      </c>
      <c r="C1022" s="3">
        <v>2022</v>
      </c>
      <c r="D1022" s="4">
        <v>5</v>
      </c>
      <c r="E1022" s="5">
        <v>787.5</v>
      </c>
      <c r="F1022" s="5">
        <v>546</v>
      </c>
      <c r="G1022" s="3" t="str">
        <f>VLOOKUP(Registros[[#This Row],[Cliente]],Cliente_Region[],2,FALSE)</f>
        <v>Argentina</v>
      </c>
      <c r="H1022" s="3" t="str">
        <f>VLOOKUP(Registros[[#This Row],[Producto]],Producto[],2,FALSE)</f>
        <v>SALF</v>
      </c>
    </row>
    <row r="1023" spans="1:8" ht="20.100000000000001" customHeight="1" x14ac:dyDescent="0.25">
      <c r="A1023" s="3" t="s">
        <v>267</v>
      </c>
      <c r="B1023" s="3" t="s">
        <v>263</v>
      </c>
      <c r="C1023" s="3">
        <v>2022</v>
      </c>
      <c r="D1023" s="4">
        <v>6</v>
      </c>
      <c r="E1023" s="5">
        <v>777</v>
      </c>
      <c r="F1023" s="5">
        <v>538.72</v>
      </c>
      <c r="G1023" s="3" t="str">
        <f>VLOOKUP(Registros[[#This Row],[Cliente]],Cliente_Region[],2,FALSE)</f>
        <v>Argentina</v>
      </c>
      <c r="H1023" s="3" t="str">
        <f>VLOOKUP(Registros[[#This Row],[Producto]],Producto[],2,FALSE)</f>
        <v>SALF</v>
      </c>
    </row>
    <row r="1024" spans="1:8" ht="20.100000000000001" customHeight="1" x14ac:dyDescent="0.25">
      <c r="A1024" s="3" t="s">
        <v>268</v>
      </c>
      <c r="B1024" s="3" t="s">
        <v>263</v>
      </c>
      <c r="C1024" s="3">
        <v>2022</v>
      </c>
      <c r="D1024" s="4">
        <v>5</v>
      </c>
      <c r="E1024" s="5">
        <v>10.8</v>
      </c>
      <c r="F1024" s="5">
        <v>-1.1200000000000001</v>
      </c>
      <c r="G1024" s="3" t="str">
        <f>VLOOKUP(Registros[[#This Row],[Cliente]],Cliente_Region[],2,FALSE)</f>
        <v>Argentina</v>
      </c>
      <c r="H1024" s="3" t="str">
        <f>VLOOKUP(Registros[[#This Row],[Producto]],Producto[],2,FALSE)</f>
        <v>GAMBO</v>
      </c>
    </row>
    <row r="1025" spans="1:8" ht="20.100000000000001" customHeight="1" x14ac:dyDescent="0.25">
      <c r="A1025" s="3" t="s">
        <v>269</v>
      </c>
      <c r="B1025" s="3" t="s">
        <v>263</v>
      </c>
      <c r="C1025" s="3">
        <v>2022</v>
      </c>
      <c r="D1025" s="4">
        <v>6</v>
      </c>
      <c r="E1025" s="5">
        <v>10.8</v>
      </c>
      <c r="F1025" s="5">
        <v>-1.1200000000000001</v>
      </c>
      <c r="G1025" s="3" t="str">
        <f>VLOOKUP(Registros[[#This Row],[Cliente]],Cliente_Region[],2,FALSE)</f>
        <v>Argentina</v>
      </c>
      <c r="H1025" s="3" t="str">
        <f>VLOOKUP(Registros[[#This Row],[Producto]],Producto[],2,FALSE)</f>
        <v>DONANY</v>
      </c>
    </row>
    <row r="1026" spans="1:8" ht="20.100000000000001" customHeight="1" x14ac:dyDescent="0.25">
      <c r="A1026" s="3" t="s">
        <v>30</v>
      </c>
      <c r="B1026" s="3" t="s">
        <v>263</v>
      </c>
      <c r="C1026" s="3">
        <v>2022</v>
      </c>
      <c r="D1026" s="4">
        <v>1</v>
      </c>
      <c r="E1026" s="5">
        <v>364.5</v>
      </c>
      <c r="F1026" s="5">
        <v>280.32</v>
      </c>
      <c r="G1026" s="3" t="str">
        <f>VLOOKUP(Registros[[#This Row],[Cliente]],Cliente_Region[],2,FALSE)</f>
        <v>Argentina</v>
      </c>
      <c r="H1026" s="3" t="str">
        <f>VLOOKUP(Registros[[#This Row],[Producto]],Producto[],2,FALSE)</f>
        <v>CHOTUS</v>
      </c>
    </row>
    <row r="1027" spans="1:8" ht="20.100000000000001" customHeight="1" x14ac:dyDescent="0.25">
      <c r="A1027" s="3" t="s">
        <v>31</v>
      </c>
      <c r="B1027" s="3" t="s">
        <v>263</v>
      </c>
      <c r="C1027" s="3">
        <v>2022</v>
      </c>
      <c r="D1027" s="4">
        <v>2</v>
      </c>
      <c r="E1027" s="5">
        <v>138</v>
      </c>
      <c r="F1027" s="5">
        <v>105.92</v>
      </c>
      <c r="G1027" s="3" t="str">
        <f>VLOOKUP(Registros[[#This Row],[Cliente]],Cliente_Region[],2,FALSE)</f>
        <v>Argentina</v>
      </c>
      <c r="H1027" s="3" t="str">
        <f>VLOOKUP(Registros[[#This Row],[Producto]],Producto[],2,FALSE)</f>
        <v>CHOTUS</v>
      </c>
    </row>
    <row r="1028" spans="1:8" ht="20.100000000000001" customHeight="1" x14ac:dyDescent="0.25">
      <c r="A1028" s="3" t="s">
        <v>31</v>
      </c>
      <c r="B1028" s="3" t="s">
        <v>263</v>
      </c>
      <c r="C1028" s="3">
        <v>2022</v>
      </c>
      <c r="D1028" s="4">
        <v>3</v>
      </c>
      <c r="E1028" s="5">
        <v>115.5</v>
      </c>
      <c r="F1028" s="5">
        <v>87.44</v>
      </c>
      <c r="G1028" s="3" t="str">
        <f>VLOOKUP(Registros[[#This Row],[Cliente]],Cliente_Region[],2,FALSE)</f>
        <v>Argentina</v>
      </c>
      <c r="H1028" s="3" t="str">
        <f>VLOOKUP(Registros[[#This Row],[Producto]],Producto[],2,FALSE)</f>
        <v>CHOTUS</v>
      </c>
    </row>
    <row r="1029" spans="1:8" ht="20.100000000000001" customHeight="1" x14ac:dyDescent="0.25">
      <c r="A1029" s="3" t="s">
        <v>31</v>
      </c>
      <c r="B1029" s="3" t="s">
        <v>263</v>
      </c>
      <c r="C1029" s="3">
        <v>2022</v>
      </c>
      <c r="D1029" s="4">
        <v>4</v>
      </c>
      <c r="E1029" s="5">
        <v>165</v>
      </c>
      <c r="F1029" s="5">
        <v>124.91</v>
      </c>
      <c r="G1029" s="3" t="str">
        <f>VLOOKUP(Registros[[#This Row],[Cliente]],Cliente_Region[],2,FALSE)</f>
        <v>Argentina</v>
      </c>
      <c r="H1029" s="3" t="str">
        <f>VLOOKUP(Registros[[#This Row],[Producto]],Producto[],2,FALSE)</f>
        <v>CHOTUS</v>
      </c>
    </row>
    <row r="1030" spans="1:8" ht="20.100000000000001" customHeight="1" x14ac:dyDescent="0.25">
      <c r="A1030" s="3" t="s">
        <v>31</v>
      </c>
      <c r="B1030" s="3" t="s">
        <v>263</v>
      </c>
      <c r="C1030" s="3">
        <v>2022</v>
      </c>
      <c r="D1030" s="4">
        <v>5</v>
      </c>
      <c r="E1030" s="5">
        <v>181.5</v>
      </c>
      <c r="F1030" s="5">
        <v>137.4</v>
      </c>
      <c r="G1030" s="3" t="str">
        <f>VLOOKUP(Registros[[#This Row],[Cliente]],Cliente_Region[],2,FALSE)</f>
        <v>Argentina</v>
      </c>
      <c r="H1030" s="3" t="str">
        <f>VLOOKUP(Registros[[#This Row],[Producto]],Producto[],2,FALSE)</f>
        <v>CHOTUS</v>
      </c>
    </row>
    <row r="1031" spans="1:8" ht="20.100000000000001" customHeight="1" x14ac:dyDescent="0.25">
      <c r="A1031" s="3" t="s">
        <v>31</v>
      </c>
      <c r="B1031" s="3" t="s">
        <v>263</v>
      </c>
      <c r="C1031" s="3">
        <v>2022</v>
      </c>
      <c r="D1031" s="4">
        <v>6</v>
      </c>
      <c r="E1031" s="5">
        <v>99</v>
      </c>
      <c r="F1031" s="5">
        <v>74.95</v>
      </c>
      <c r="G1031" s="3" t="str">
        <f>VLOOKUP(Registros[[#This Row],[Cliente]],Cliente_Region[],2,FALSE)</f>
        <v>Argentina</v>
      </c>
      <c r="H1031" s="3" t="str">
        <f>VLOOKUP(Registros[[#This Row],[Producto]],Producto[],2,FALSE)</f>
        <v>CHOTUS</v>
      </c>
    </row>
    <row r="1032" spans="1:8" ht="20.100000000000001" customHeight="1" x14ac:dyDescent="0.25">
      <c r="A1032" s="3" t="s">
        <v>34</v>
      </c>
      <c r="B1032" s="3" t="s">
        <v>263</v>
      </c>
      <c r="C1032" s="3">
        <v>2022</v>
      </c>
      <c r="D1032" s="4">
        <v>1</v>
      </c>
      <c r="E1032" s="5">
        <v>29</v>
      </c>
      <c r="F1032" s="5">
        <v>21.24</v>
      </c>
      <c r="G1032" s="3" t="str">
        <f>VLOOKUP(Registros[[#This Row],[Cliente]],Cliente_Region[],2,FALSE)</f>
        <v>Argentina</v>
      </c>
      <c r="H1032" s="3" t="str">
        <f>VLOOKUP(Registros[[#This Row],[Producto]],Producto[],2,FALSE)</f>
        <v>DONANY</v>
      </c>
    </row>
    <row r="1033" spans="1:8" ht="20.100000000000001" customHeight="1" x14ac:dyDescent="0.25">
      <c r="A1033" s="3" t="s">
        <v>35</v>
      </c>
      <c r="B1033" s="3" t="s">
        <v>263</v>
      </c>
      <c r="C1033" s="3">
        <v>2022</v>
      </c>
      <c r="D1033" s="4">
        <v>2</v>
      </c>
      <c r="E1033" s="5">
        <v>215.5</v>
      </c>
      <c r="F1033" s="5">
        <v>165.1</v>
      </c>
      <c r="G1033" s="3" t="str">
        <f>VLOOKUP(Registros[[#This Row],[Cliente]],Cliente_Region[],2,FALSE)</f>
        <v>Argentina</v>
      </c>
      <c r="H1033" s="3" t="str">
        <f>VLOOKUP(Registros[[#This Row],[Producto]],Producto[],2,FALSE)</f>
        <v>MOC</v>
      </c>
    </row>
    <row r="1034" spans="1:8" ht="20.100000000000001" customHeight="1" x14ac:dyDescent="0.25">
      <c r="A1034" s="3" t="s">
        <v>35</v>
      </c>
      <c r="B1034" s="3" t="s">
        <v>263</v>
      </c>
      <c r="C1034" s="3">
        <v>2022</v>
      </c>
      <c r="D1034" s="4">
        <v>3</v>
      </c>
      <c r="E1034" s="5">
        <v>368.5</v>
      </c>
      <c r="F1034" s="5">
        <v>283.23</v>
      </c>
      <c r="G1034" s="3" t="str">
        <f>VLOOKUP(Registros[[#This Row],[Cliente]],Cliente_Region[],2,FALSE)</f>
        <v>Argentina</v>
      </c>
      <c r="H1034" s="3" t="str">
        <f>VLOOKUP(Registros[[#This Row],[Producto]],Producto[],2,FALSE)</f>
        <v>MOC</v>
      </c>
    </row>
    <row r="1035" spans="1:8" ht="20.100000000000001" customHeight="1" x14ac:dyDescent="0.25">
      <c r="A1035" s="3" t="s">
        <v>35</v>
      </c>
      <c r="B1035" s="3" t="s">
        <v>263</v>
      </c>
      <c r="C1035" s="3">
        <v>2022</v>
      </c>
      <c r="D1035" s="4">
        <v>4</v>
      </c>
      <c r="E1035" s="5">
        <v>686.75</v>
      </c>
      <c r="F1035" s="5">
        <v>527.84</v>
      </c>
      <c r="G1035" s="3" t="str">
        <f>VLOOKUP(Registros[[#This Row],[Cliente]],Cliente_Region[],2,FALSE)</f>
        <v>Argentina</v>
      </c>
      <c r="H1035" s="3" t="str">
        <f>VLOOKUP(Registros[[#This Row],[Producto]],Producto[],2,FALSE)</f>
        <v>MOC</v>
      </c>
    </row>
    <row r="1036" spans="1:8" ht="20.100000000000001" customHeight="1" x14ac:dyDescent="0.25">
      <c r="A1036" s="3" t="s">
        <v>35</v>
      </c>
      <c r="B1036" s="3" t="s">
        <v>263</v>
      </c>
      <c r="C1036" s="3">
        <v>2022</v>
      </c>
      <c r="D1036" s="4">
        <v>5</v>
      </c>
      <c r="E1036" s="5">
        <v>452.25</v>
      </c>
      <c r="F1036" s="5">
        <v>347.61</v>
      </c>
      <c r="G1036" s="3" t="str">
        <f>VLOOKUP(Registros[[#This Row],[Cliente]],Cliente_Region[],2,FALSE)</f>
        <v>Argentina</v>
      </c>
      <c r="H1036" s="3" t="str">
        <f>VLOOKUP(Registros[[#This Row],[Producto]],Producto[],2,FALSE)</f>
        <v>MOC</v>
      </c>
    </row>
    <row r="1037" spans="1:8" ht="20.100000000000001" customHeight="1" x14ac:dyDescent="0.25">
      <c r="A1037" s="3" t="s">
        <v>35</v>
      </c>
      <c r="B1037" s="3" t="s">
        <v>263</v>
      </c>
      <c r="C1037" s="3">
        <v>2022</v>
      </c>
      <c r="D1037" s="4">
        <v>6</v>
      </c>
      <c r="E1037" s="5">
        <v>603</v>
      </c>
      <c r="F1037" s="5">
        <v>463.49</v>
      </c>
      <c r="G1037" s="3" t="str">
        <f>VLOOKUP(Registros[[#This Row],[Cliente]],Cliente_Region[],2,FALSE)</f>
        <v>Argentina</v>
      </c>
      <c r="H1037" s="3" t="str">
        <f>VLOOKUP(Registros[[#This Row],[Producto]],Producto[],2,FALSE)</f>
        <v>MOC</v>
      </c>
    </row>
    <row r="1038" spans="1:8" ht="20.100000000000001" customHeight="1" x14ac:dyDescent="0.25">
      <c r="A1038" s="3" t="s">
        <v>36</v>
      </c>
      <c r="B1038" s="3" t="s">
        <v>263</v>
      </c>
      <c r="C1038" s="3">
        <v>2022</v>
      </c>
      <c r="D1038" s="4">
        <v>2</v>
      </c>
      <c r="E1038" s="5">
        <v>10.8</v>
      </c>
      <c r="F1038" s="5">
        <v>6.67</v>
      </c>
      <c r="G1038" s="3" t="str">
        <f>VLOOKUP(Registros[[#This Row],[Cliente]],Cliente_Region[],2,FALSE)</f>
        <v>Argentina</v>
      </c>
      <c r="H1038" s="3" t="str">
        <f>VLOOKUP(Registros[[#This Row],[Producto]],Producto[],2,FALSE)</f>
        <v>QUOKAR</v>
      </c>
    </row>
    <row r="1039" spans="1:8" ht="20.100000000000001" customHeight="1" x14ac:dyDescent="0.25">
      <c r="A1039" s="3" t="s">
        <v>37</v>
      </c>
      <c r="B1039" s="3" t="s">
        <v>263</v>
      </c>
      <c r="C1039" s="3">
        <v>2022</v>
      </c>
      <c r="D1039" s="4">
        <v>4</v>
      </c>
      <c r="E1039" s="5">
        <v>10.8</v>
      </c>
      <c r="F1039" s="5">
        <v>6.67</v>
      </c>
      <c r="G1039" s="3" t="str">
        <f>VLOOKUP(Registros[[#This Row],[Cliente]],Cliente_Region[],2,FALSE)</f>
        <v>Argentina</v>
      </c>
      <c r="H1039" s="3" t="str">
        <f>VLOOKUP(Registros[[#This Row],[Producto]],Producto[],2,FALSE)</f>
        <v>DONANY</v>
      </c>
    </row>
    <row r="1040" spans="1:8" ht="20.100000000000001" customHeight="1" x14ac:dyDescent="0.25">
      <c r="A1040" s="3" t="s">
        <v>37</v>
      </c>
      <c r="B1040" s="3" t="s">
        <v>263</v>
      </c>
      <c r="C1040" s="3">
        <v>2022</v>
      </c>
      <c r="D1040" s="4">
        <v>5</v>
      </c>
      <c r="E1040" s="5">
        <v>10.8</v>
      </c>
      <c r="F1040" s="5">
        <v>6.67</v>
      </c>
      <c r="G1040" s="3" t="str">
        <f>VLOOKUP(Registros[[#This Row],[Cliente]],Cliente_Region[],2,FALSE)</f>
        <v>Argentina</v>
      </c>
      <c r="H1040" s="3" t="str">
        <f>VLOOKUP(Registros[[#This Row],[Producto]],Producto[],2,FALSE)</f>
        <v>DONANY</v>
      </c>
    </row>
    <row r="1041" spans="1:8" ht="20.100000000000001" customHeight="1" x14ac:dyDescent="0.25">
      <c r="A1041" s="3" t="s">
        <v>37</v>
      </c>
      <c r="B1041" s="3" t="s">
        <v>263</v>
      </c>
      <c r="C1041" s="3">
        <v>2022</v>
      </c>
      <c r="D1041" s="4">
        <v>6</v>
      </c>
      <c r="E1041" s="5">
        <v>14</v>
      </c>
      <c r="F1041" s="5">
        <v>9.8699999999999992</v>
      </c>
      <c r="G1041" s="3" t="str">
        <f>VLOOKUP(Registros[[#This Row],[Cliente]],Cliente_Region[],2,FALSE)</f>
        <v>Argentina</v>
      </c>
      <c r="H1041" s="3" t="str">
        <f>VLOOKUP(Registros[[#This Row],[Producto]],Producto[],2,FALSE)</f>
        <v>DONANY</v>
      </c>
    </row>
    <row r="1042" spans="1:8" ht="20.100000000000001" customHeight="1" x14ac:dyDescent="0.25">
      <c r="A1042" s="3" t="s">
        <v>42</v>
      </c>
      <c r="B1042" s="3" t="s">
        <v>263</v>
      </c>
      <c r="C1042" s="3">
        <v>2022</v>
      </c>
      <c r="D1042" s="4">
        <v>1</v>
      </c>
      <c r="E1042" s="5">
        <v>18.75</v>
      </c>
      <c r="F1042" s="5">
        <v>7.6</v>
      </c>
      <c r="G1042" s="3" t="str">
        <f>VLOOKUP(Registros[[#This Row],[Cliente]],Cliente_Region[],2,FALSE)</f>
        <v>Argentina</v>
      </c>
      <c r="H1042" s="3" t="str">
        <f>VLOOKUP(Registros[[#This Row],[Producto]],Producto[],2,FALSE)</f>
        <v>GAMBO</v>
      </c>
    </row>
    <row r="1043" spans="1:8" ht="20.100000000000001" customHeight="1" x14ac:dyDescent="0.25">
      <c r="A1043" s="3" t="s">
        <v>44</v>
      </c>
      <c r="B1043" s="3" t="s">
        <v>263</v>
      </c>
      <c r="C1043" s="3">
        <v>2022</v>
      </c>
      <c r="D1043" s="4">
        <v>5</v>
      </c>
      <c r="E1043" s="5">
        <v>125</v>
      </c>
      <c r="F1043" s="5">
        <v>58.83</v>
      </c>
      <c r="G1043" s="3" t="str">
        <f>VLOOKUP(Registros[[#This Row],[Cliente]],Cliente_Region[],2,FALSE)</f>
        <v>Argentina</v>
      </c>
      <c r="H1043" s="3" t="str">
        <f>VLOOKUP(Registros[[#This Row],[Producto]],Producto[],2,FALSE)</f>
        <v>DAWNE</v>
      </c>
    </row>
    <row r="1044" spans="1:8" ht="20.100000000000001" customHeight="1" x14ac:dyDescent="0.25">
      <c r="A1044" s="3" t="s">
        <v>46</v>
      </c>
      <c r="B1044" s="3" t="s">
        <v>263</v>
      </c>
      <c r="C1044" s="3">
        <v>2022</v>
      </c>
      <c r="D1044" s="4">
        <v>1</v>
      </c>
      <c r="E1044" s="5">
        <v>509.5</v>
      </c>
      <c r="F1044" s="5">
        <v>342.14</v>
      </c>
      <c r="G1044" s="3" t="str">
        <f>VLOOKUP(Registros[[#This Row],[Cliente]],Cliente_Region[],2,FALSE)</f>
        <v>Argentina</v>
      </c>
      <c r="H1044" s="3" t="str">
        <f>VLOOKUP(Registros[[#This Row],[Producto]],Producto[],2,FALSE)</f>
        <v>QUOKAR</v>
      </c>
    </row>
    <row r="1045" spans="1:8" ht="20.100000000000001" customHeight="1" x14ac:dyDescent="0.25">
      <c r="A1045" s="3" t="s">
        <v>47</v>
      </c>
      <c r="B1045" s="3" t="s">
        <v>263</v>
      </c>
      <c r="C1045" s="3">
        <v>2022</v>
      </c>
      <c r="D1045" s="4">
        <v>2</v>
      </c>
      <c r="E1045" s="5">
        <v>693.5</v>
      </c>
      <c r="F1045" s="5">
        <v>454.41</v>
      </c>
      <c r="G1045" s="3" t="str">
        <f>VLOOKUP(Registros[[#This Row],[Cliente]],Cliente_Region[],2,FALSE)</f>
        <v>Argentina</v>
      </c>
      <c r="H1045" s="3" t="str">
        <f>VLOOKUP(Registros[[#This Row],[Producto]],Producto[],2,FALSE)</f>
        <v>LAX</v>
      </c>
    </row>
    <row r="1046" spans="1:8" ht="20.100000000000001" customHeight="1" x14ac:dyDescent="0.25">
      <c r="A1046" s="3" t="s">
        <v>47</v>
      </c>
      <c r="B1046" s="3" t="s">
        <v>263</v>
      </c>
      <c r="C1046" s="3">
        <v>2022</v>
      </c>
      <c r="D1046" s="4">
        <v>3</v>
      </c>
      <c r="E1046" s="5">
        <v>766.5</v>
      </c>
      <c r="F1046" s="5">
        <v>515.45000000000005</v>
      </c>
      <c r="G1046" s="3" t="str">
        <f>VLOOKUP(Registros[[#This Row],[Cliente]],Cliente_Region[],2,FALSE)</f>
        <v>Argentina</v>
      </c>
      <c r="H1046" s="3" t="str">
        <f>VLOOKUP(Registros[[#This Row],[Producto]],Producto[],2,FALSE)</f>
        <v>LAX</v>
      </c>
    </row>
    <row r="1047" spans="1:8" ht="20.100000000000001" customHeight="1" x14ac:dyDescent="0.25">
      <c r="A1047" s="3" t="s">
        <v>47</v>
      </c>
      <c r="B1047" s="3" t="s">
        <v>263</v>
      </c>
      <c r="C1047" s="3">
        <v>2022</v>
      </c>
      <c r="D1047" s="4">
        <v>4</v>
      </c>
      <c r="E1047" s="5">
        <v>730</v>
      </c>
      <c r="F1047" s="5">
        <v>490.9</v>
      </c>
      <c r="G1047" s="3" t="str">
        <f>VLOOKUP(Registros[[#This Row],[Cliente]],Cliente_Region[],2,FALSE)</f>
        <v>Argentina</v>
      </c>
      <c r="H1047" s="3" t="str">
        <f>VLOOKUP(Registros[[#This Row],[Producto]],Producto[],2,FALSE)</f>
        <v>LAX</v>
      </c>
    </row>
    <row r="1048" spans="1:8" ht="20.100000000000001" customHeight="1" x14ac:dyDescent="0.25">
      <c r="A1048" s="3" t="s">
        <v>47</v>
      </c>
      <c r="B1048" s="3" t="s">
        <v>263</v>
      </c>
      <c r="C1048" s="3">
        <v>2022</v>
      </c>
      <c r="D1048" s="4">
        <v>5</v>
      </c>
      <c r="E1048" s="5">
        <v>1058.5</v>
      </c>
      <c r="F1048" s="5">
        <v>711.82</v>
      </c>
      <c r="G1048" s="3" t="str">
        <f>VLOOKUP(Registros[[#This Row],[Cliente]],Cliente_Region[],2,FALSE)</f>
        <v>Argentina</v>
      </c>
      <c r="H1048" s="3" t="str">
        <f>VLOOKUP(Registros[[#This Row],[Producto]],Producto[],2,FALSE)</f>
        <v>LAX</v>
      </c>
    </row>
    <row r="1049" spans="1:8" ht="20.100000000000001" customHeight="1" x14ac:dyDescent="0.25">
      <c r="A1049" s="3" t="s">
        <v>47</v>
      </c>
      <c r="B1049" s="3" t="s">
        <v>263</v>
      </c>
      <c r="C1049" s="3">
        <v>2022</v>
      </c>
      <c r="D1049" s="4">
        <v>6</v>
      </c>
      <c r="E1049" s="5">
        <v>1168</v>
      </c>
      <c r="F1049" s="5">
        <v>785.46</v>
      </c>
      <c r="G1049" s="3" t="str">
        <f>VLOOKUP(Registros[[#This Row],[Cliente]],Cliente_Region[],2,FALSE)</f>
        <v>Argentina</v>
      </c>
      <c r="H1049" s="3" t="str">
        <f>VLOOKUP(Registros[[#This Row],[Producto]],Producto[],2,FALSE)</f>
        <v>LAX</v>
      </c>
    </row>
    <row r="1050" spans="1:8" ht="20.100000000000001" customHeight="1" x14ac:dyDescent="0.25">
      <c r="A1050" s="3" t="s">
        <v>48</v>
      </c>
      <c r="B1050" s="3" t="s">
        <v>263</v>
      </c>
      <c r="C1050" s="3">
        <v>2022</v>
      </c>
      <c r="D1050" s="4">
        <v>1</v>
      </c>
      <c r="E1050" s="5">
        <v>3729</v>
      </c>
      <c r="F1050" s="5">
        <v>2476.1999999999998</v>
      </c>
      <c r="G1050" s="3" t="str">
        <f>VLOOKUP(Registros[[#This Row],[Cliente]],Cliente_Region[],2,FALSE)</f>
        <v>Argentina</v>
      </c>
      <c r="H1050" s="3" t="str">
        <f>VLOOKUP(Registros[[#This Row],[Producto]],Producto[],2,FALSE)</f>
        <v>GAMBO</v>
      </c>
    </row>
    <row r="1051" spans="1:8" ht="20.100000000000001" customHeight="1" x14ac:dyDescent="0.25">
      <c r="A1051" s="3" t="s">
        <v>49</v>
      </c>
      <c r="B1051" s="3" t="s">
        <v>263</v>
      </c>
      <c r="C1051" s="3">
        <v>2022</v>
      </c>
      <c r="D1051" s="4">
        <v>2</v>
      </c>
      <c r="E1051" s="5">
        <v>3616</v>
      </c>
      <c r="F1051" s="5">
        <v>2480.65</v>
      </c>
      <c r="G1051" s="3" t="str">
        <f>VLOOKUP(Registros[[#This Row],[Cliente]],Cliente_Region[],2,FALSE)</f>
        <v>Argentina</v>
      </c>
      <c r="H1051" s="3" t="str">
        <f>VLOOKUP(Registros[[#This Row],[Producto]],Producto[],2,FALSE)</f>
        <v>CHOTUS</v>
      </c>
    </row>
    <row r="1052" spans="1:8" ht="20.100000000000001" customHeight="1" x14ac:dyDescent="0.25">
      <c r="A1052" s="3" t="s">
        <v>49</v>
      </c>
      <c r="B1052" s="3" t="s">
        <v>263</v>
      </c>
      <c r="C1052" s="3">
        <v>2022</v>
      </c>
      <c r="D1052" s="4">
        <v>3</v>
      </c>
      <c r="E1052" s="5">
        <v>3280</v>
      </c>
      <c r="F1052" s="5">
        <v>2236</v>
      </c>
      <c r="G1052" s="3" t="str">
        <f>VLOOKUP(Registros[[#This Row],[Cliente]],Cliente_Region[],2,FALSE)</f>
        <v>Argentina</v>
      </c>
      <c r="H1052" s="3" t="str">
        <f>VLOOKUP(Registros[[#This Row],[Producto]],Producto[],2,FALSE)</f>
        <v>CHOTUS</v>
      </c>
    </row>
    <row r="1053" spans="1:8" ht="20.100000000000001" customHeight="1" x14ac:dyDescent="0.25">
      <c r="A1053" s="3" t="s">
        <v>49</v>
      </c>
      <c r="B1053" s="3" t="s">
        <v>263</v>
      </c>
      <c r="C1053" s="3">
        <v>2022</v>
      </c>
      <c r="D1053" s="4">
        <v>4</v>
      </c>
      <c r="E1053" s="5">
        <v>3690</v>
      </c>
      <c r="F1053" s="5">
        <v>2515.5</v>
      </c>
      <c r="G1053" s="3" t="str">
        <f>VLOOKUP(Registros[[#This Row],[Cliente]],Cliente_Region[],2,FALSE)</f>
        <v>Argentina</v>
      </c>
      <c r="H1053" s="3" t="str">
        <f>VLOOKUP(Registros[[#This Row],[Producto]],Producto[],2,FALSE)</f>
        <v>CHOTUS</v>
      </c>
    </row>
    <row r="1054" spans="1:8" ht="20.100000000000001" customHeight="1" x14ac:dyDescent="0.25">
      <c r="A1054" s="3" t="s">
        <v>49</v>
      </c>
      <c r="B1054" s="3" t="s">
        <v>263</v>
      </c>
      <c r="C1054" s="3">
        <v>2022</v>
      </c>
      <c r="D1054" s="4">
        <v>5</v>
      </c>
      <c r="E1054" s="5">
        <v>5586</v>
      </c>
      <c r="F1054" s="5">
        <v>3824.25</v>
      </c>
      <c r="G1054" s="3" t="str">
        <f>VLOOKUP(Registros[[#This Row],[Cliente]],Cliente_Region[],2,FALSE)</f>
        <v>Argentina</v>
      </c>
      <c r="H1054" s="3" t="str">
        <f>VLOOKUP(Registros[[#This Row],[Producto]],Producto[],2,FALSE)</f>
        <v>CHOTUS</v>
      </c>
    </row>
    <row r="1055" spans="1:8" ht="20.100000000000001" customHeight="1" x14ac:dyDescent="0.25">
      <c r="A1055" s="3" t="s">
        <v>49</v>
      </c>
      <c r="B1055" s="3" t="s">
        <v>263</v>
      </c>
      <c r="C1055" s="3">
        <v>2022</v>
      </c>
      <c r="D1055" s="4">
        <v>6</v>
      </c>
      <c r="E1055" s="5">
        <v>3402</v>
      </c>
      <c r="F1055" s="5">
        <v>2344.9499999999998</v>
      </c>
      <c r="G1055" s="3" t="str">
        <f>VLOOKUP(Registros[[#This Row],[Cliente]],Cliente_Region[],2,FALSE)</f>
        <v>Argentina</v>
      </c>
      <c r="H1055" s="3" t="str">
        <f>VLOOKUP(Registros[[#This Row],[Producto]],Producto[],2,FALSE)</f>
        <v>CHOTUS</v>
      </c>
    </row>
    <row r="1056" spans="1:8" ht="20.100000000000001" customHeight="1" x14ac:dyDescent="0.25">
      <c r="A1056" s="3" t="s">
        <v>51</v>
      </c>
      <c r="B1056" s="3" t="s">
        <v>263</v>
      </c>
      <c r="C1056" s="3">
        <v>2022</v>
      </c>
      <c r="D1056" s="4">
        <v>1</v>
      </c>
      <c r="E1056" s="5">
        <v>250</v>
      </c>
      <c r="F1056" s="5">
        <v>131.31</v>
      </c>
      <c r="G1056" s="3" t="str">
        <f>VLOOKUP(Registros[[#This Row],[Cliente]],Cliente_Region[],2,FALSE)</f>
        <v>Argentina</v>
      </c>
      <c r="H1056" s="3" t="str">
        <f>VLOOKUP(Registros[[#This Row],[Producto]],Producto[],2,FALSE)</f>
        <v>LAX</v>
      </c>
    </row>
    <row r="1057" spans="1:8" ht="20.100000000000001" customHeight="1" x14ac:dyDescent="0.25">
      <c r="A1057" s="3" t="s">
        <v>52</v>
      </c>
      <c r="B1057" s="3" t="s">
        <v>263</v>
      </c>
      <c r="C1057" s="3">
        <v>2022</v>
      </c>
      <c r="D1057" s="4">
        <v>2</v>
      </c>
      <c r="E1057" s="5">
        <v>320</v>
      </c>
      <c r="F1057" s="5">
        <v>201.48</v>
      </c>
      <c r="G1057" s="3" t="str">
        <f>VLOOKUP(Registros[[#This Row],[Cliente]],Cliente_Region[],2,FALSE)</f>
        <v>Argentina</v>
      </c>
      <c r="H1057" s="3" t="str">
        <f>VLOOKUP(Registros[[#This Row],[Producto]],Producto[],2,FALSE)</f>
        <v>DAWNE</v>
      </c>
    </row>
    <row r="1058" spans="1:8" ht="20.100000000000001" customHeight="1" x14ac:dyDescent="0.25">
      <c r="A1058" s="3" t="s">
        <v>52</v>
      </c>
      <c r="B1058" s="3" t="s">
        <v>263</v>
      </c>
      <c r="C1058" s="3">
        <v>2022</v>
      </c>
      <c r="D1058" s="4">
        <v>3</v>
      </c>
      <c r="E1058" s="5">
        <v>320</v>
      </c>
      <c r="F1058" s="5">
        <v>201.48</v>
      </c>
      <c r="G1058" s="3" t="str">
        <f>VLOOKUP(Registros[[#This Row],[Cliente]],Cliente_Region[],2,FALSE)</f>
        <v>Argentina</v>
      </c>
      <c r="H1058" s="3" t="str">
        <f>VLOOKUP(Registros[[#This Row],[Producto]],Producto[],2,FALSE)</f>
        <v>DAWNE</v>
      </c>
    </row>
    <row r="1059" spans="1:8" ht="20.100000000000001" customHeight="1" x14ac:dyDescent="0.25">
      <c r="A1059" s="3" t="s">
        <v>52</v>
      </c>
      <c r="B1059" s="3" t="s">
        <v>263</v>
      </c>
      <c r="C1059" s="3">
        <v>2022</v>
      </c>
      <c r="D1059" s="4">
        <v>4</v>
      </c>
      <c r="E1059" s="5">
        <v>320</v>
      </c>
      <c r="F1059" s="5">
        <v>201.48</v>
      </c>
      <c r="G1059" s="3" t="str">
        <f>VLOOKUP(Registros[[#This Row],[Cliente]],Cliente_Region[],2,FALSE)</f>
        <v>Argentina</v>
      </c>
      <c r="H1059" s="3" t="str">
        <f>VLOOKUP(Registros[[#This Row],[Producto]],Producto[],2,FALSE)</f>
        <v>DAWNE</v>
      </c>
    </row>
    <row r="1060" spans="1:8" ht="20.100000000000001" customHeight="1" x14ac:dyDescent="0.25">
      <c r="A1060" s="3" t="s">
        <v>52</v>
      </c>
      <c r="B1060" s="3" t="s">
        <v>263</v>
      </c>
      <c r="C1060" s="3">
        <v>2022</v>
      </c>
      <c r="D1060" s="4">
        <v>5</v>
      </c>
      <c r="E1060" s="5">
        <v>640</v>
      </c>
      <c r="F1060" s="5">
        <v>402.96</v>
      </c>
      <c r="G1060" s="3" t="str">
        <f>VLOOKUP(Registros[[#This Row],[Cliente]],Cliente_Region[],2,FALSE)</f>
        <v>Argentina</v>
      </c>
      <c r="H1060" s="3" t="str">
        <f>VLOOKUP(Registros[[#This Row],[Producto]],Producto[],2,FALSE)</f>
        <v>DAWNE</v>
      </c>
    </row>
    <row r="1061" spans="1:8" ht="20.100000000000001" customHeight="1" x14ac:dyDescent="0.25">
      <c r="A1061" s="3" t="s">
        <v>52</v>
      </c>
      <c r="B1061" s="3" t="s">
        <v>263</v>
      </c>
      <c r="C1061" s="3">
        <v>2022</v>
      </c>
      <c r="D1061" s="4">
        <v>6</v>
      </c>
      <c r="E1061" s="5">
        <v>320</v>
      </c>
      <c r="F1061" s="5">
        <v>201.48</v>
      </c>
      <c r="G1061" s="3" t="str">
        <f>VLOOKUP(Registros[[#This Row],[Cliente]],Cliente_Region[],2,FALSE)</f>
        <v>Argentina</v>
      </c>
      <c r="H1061" s="3" t="str">
        <f>VLOOKUP(Registros[[#This Row],[Producto]],Producto[],2,FALSE)</f>
        <v>DAWNE</v>
      </c>
    </row>
    <row r="1062" spans="1:8" ht="20.100000000000001" customHeight="1" x14ac:dyDescent="0.25">
      <c r="A1062" s="3" t="s">
        <v>140</v>
      </c>
      <c r="B1062" s="3" t="s">
        <v>263</v>
      </c>
      <c r="C1062" s="3">
        <v>2022</v>
      </c>
      <c r="D1062" s="4">
        <v>1</v>
      </c>
      <c r="E1062" s="5">
        <v>120.5</v>
      </c>
      <c r="F1062" s="5">
        <v>88.92</v>
      </c>
      <c r="G1062" s="3" t="str">
        <f>VLOOKUP(Registros[[#This Row],[Cliente]],Cliente_Region[],2,FALSE)</f>
        <v>Argentina</v>
      </c>
      <c r="H1062" s="3" t="str">
        <f>VLOOKUP(Registros[[#This Row],[Producto]],Producto[],2,FALSE)</f>
        <v>DAWNE</v>
      </c>
    </row>
    <row r="1063" spans="1:8" ht="20.100000000000001" customHeight="1" x14ac:dyDescent="0.25">
      <c r="A1063" s="3" t="s">
        <v>141</v>
      </c>
      <c r="B1063" s="3" t="s">
        <v>263</v>
      </c>
      <c r="C1063" s="3">
        <v>2022</v>
      </c>
      <c r="D1063" s="4">
        <v>2</v>
      </c>
      <c r="E1063" s="5">
        <v>42</v>
      </c>
      <c r="F1063" s="5">
        <v>10.42</v>
      </c>
      <c r="G1063" s="3" t="str">
        <f>VLOOKUP(Registros[[#This Row],[Cliente]],Cliente_Region[],2,FALSE)</f>
        <v>Argentina</v>
      </c>
      <c r="H1063" s="3" t="str">
        <f>VLOOKUP(Registros[[#This Row],[Producto]],Producto[],2,FALSE)</f>
        <v>QUOKAR</v>
      </c>
    </row>
    <row r="1064" spans="1:8" ht="20.100000000000001" customHeight="1" x14ac:dyDescent="0.25">
      <c r="A1064" s="3" t="s">
        <v>141</v>
      </c>
      <c r="B1064" s="3" t="s">
        <v>263</v>
      </c>
      <c r="C1064" s="3">
        <v>2022</v>
      </c>
      <c r="D1064" s="4">
        <v>4</v>
      </c>
      <c r="E1064" s="5">
        <v>42</v>
      </c>
      <c r="F1064" s="5">
        <v>23.23</v>
      </c>
      <c r="G1064" s="3" t="str">
        <f>VLOOKUP(Registros[[#This Row],[Cliente]],Cliente_Region[],2,FALSE)</f>
        <v>Argentina</v>
      </c>
      <c r="H1064" s="3" t="str">
        <f>VLOOKUP(Registros[[#This Row],[Producto]],Producto[],2,FALSE)</f>
        <v>QUOKAR</v>
      </c>
    </row>
    <row r="1065" spans="1:8" ht="20.100000000000001" customHeight="1" x14ac:dyDescent="0.25">
      <c r="A1065" s="3" t="s">
        <v>141</v>
      </c>
      <c r="B1065" s="3" t="s">
        <v>263</v>
      </c>
      <c r="C1065" s="3">
        <v>2022</v>
      </c>
      <c r="D1065" s="4">
        <v>6</v>
      </c>
      <c r="E1065" s="5">
        <v>42</v>
      </c>
      <c r="F1065" s="5">
        <v>23.58</v>
      </c>
      <c r="G1065" s="3" t="str">
        <f>VLOOKUP(Registros[[#This Row],[Cliente]],Cliente_Region[],2,FALSE)</f>
        <v>Argentina</v>
      </c>
      <c r="H1065" s="3" t="str">
        <f>VLOOKUP(Registros[[#This Row],[Producto]],Producto[],2,FALSE)</f>
        <v>QUOKAR</v>
      </c>
    </row>
    <row r="1066" spans="1:8" ht="20.100000000000001" customHeight="1" x14ac:dyDescent="0.25">
      <c r="A1066" s="3" t="s">
        <v>171</v>
      </c>
      <c r="B1066" s="3" t="s">
        <v>263</v>
      </c>
      <c r="C1066" s="3">
        <v>2022</v>
      </c>
      <c r="D1066" s="4">
        <v>2</v>
      </c>
      <c r="E1066" s="5">
        <v>0</v>
      </c>
      <c r="F1066" s="5">
        <v>-14.2</v>
      </c>
      <c r="G1066" s="3" t="str">
        <f>VLOOKUP(Registros[[#This Row],[Cliente]],Cliente_Region[],2,FALSE)</f>
        <v>Argentina</v>
      </c>
      <c r="H1066" s="3" t="str">
        <f>VLOOKUP(Registros[[#This Row],[Producto]],Producto[],2,FALSE)</f>
        <v>MOC</v>
      </c>
    </row>
    <row r="1067" spans="1:8" ht="20.100000000000001" customHeight="1" x14ac:dyDescent="0.25">
      <c r="A1067" s="3" t="s">
        <v>196</v>
      </c>
      <c r="B1067" s="3" t="s">
        <v>263</v>
      </c>
      <c r="C1067" s="3">
        <v>2022</v>
      </c>
      <c r="D1067" s="4">
        <v>3</v>
      </c>
      <c r="E1067" s="5">
        <v>65</v>
      </c>
      <c r="F1067" s="5">
        <v>22.73</v>
      </c>
      <c r="G1067" s="3" t="str">
        <f>VLOOKUP(Registros[[#This Row],[Cliente]],Cliente_Region[],2,FALSE)</f>
        <v>Argentina</v>
      </c>
      <c r="H1067" s="3" t="str">
        <f>VLOOKUP(Registros[[#This Row],[Producto]],Producto[],2,FALSE)</f>
        <v>CHOTUS</v>
      </c>
    </row>
    <row r="1068" spans="1:8" ht="20.100000000000001" customHeight="1" x14ac:dyDescent="0.25">
      <c r="A1068" s="3" t="s">
        <v>26</v>
      </c>
      <c r="B1068" s="3" t="s">
        <v>263</v>
      </c>
      <c r="C1068" s="3">
        <v>2022</v>
      </c>
      <c r="D1068" s="4">
        <v>2</v>
      </c>
      <c r="E1068" s="5">
        <v>0</v>
      </c>
      <c r="F1068" s="5">
        <v>-18.690000000000001</v>
      </c>
      <c r="G1068" s="3" t="str">
        <f>VLOOKUP(Registros[[#This Row],[Cliente]],Cliente_Region[],2,FALSE)</f>
        <v>Argentina</v>
      </c>
      <c r="H1068" s="3" t="str">
        <f>VLOOKUP(Registros[[#This Row],[Producto]],Producto[],2,FALSE)</f>
        <v>CHOTUS</v>
      </c>
    </row>
    <row r="1069" spans="1:8" ht="20.100000000000001" customHeight="1" x14ac:dyDescent="0.25">
      <c r="A1069" s="3" t="s">
        <v>217</v>
      </c>
      <c r="B1069" s="3" t="s">
        <v>263</v>
      </c>
      <c r="C1069" s="3">
        <v>2022</v>
      </c>
      <c r="D1069" s="4">
        <v>1</v>
      </c>
      <c r="E1069" s="5">
        <v>515</v>
      </c>
      <c r="F1069" s="5">
        <v>328.04</v>
      </c>
      <c r="G1069" s="3" t="str">
        <f>VLOOKUP(Registros[[#This Row],[Cliente]],Cliente_Region[],2,FALSE)</f>
        <v>Argentina</v>
      </c>
      <c r="H1069" s="3" t="str">
        <f>VLOOKUP(Registros[[#This Row],[Producto]],Producto[],2,FALSE)</f>
        <v>GAMBO</v>
      </c>
    </row>
    <row r="1070" spans="1:8" ht="20.100000000000001" customHeight="1" x14ac:dyDescent="0.25">
      <c r="A1070" s="3" t="s">
        <v>218</v>
      </c>
      <c r="B1070" s="3" t="s">
        <v>263</v>
      </c>
      <c r="C1070" s="3">
        <v>2022</v>
      </c>
      <c r="D1070" s="4">
        <v>2</v>
      </c>
      <c r="E1070" s="5">
        <v>500</v>
      </c>
      <c r="F1070" s="5">
        <v>313.04000000000002</v>
      </c>
      <c r="G1070" s="3" t="str">
        <f>VLOOKUP(Registros[[#This Row],[Cliente]],Cliente_Region[],2,FALSE)</f>
        <v>Argentina</v>
      </c>
      <c r="H1070" s="3" t="str">
        <f>VLOOKUP(Registros[[#This Row],[Producto]],Producto[],2,FALSE)</f>
        <v>DONANY</v>
      </c>
    </row>
    <row r="1071" spans="1:8" ht="20.100000000000001" customHeight="1" x14ac:dyDescent="0.25">
      <c r="A1071" s="3" t="s">
        <v>218</v>
      </c>
      <c r="B1071" s="3" t="s">
        <v>263</v>
      </c>
      <c r="C1071" s="3">
        <v>2022</v>
      </c>
      <c r="D1071" s="4">
        <v>3</v>
      </c>
      <c r="E1071" s="5">
        <v>500</v>
      </c>
      <c r="F1071" s="5">
        <v>313.04000000000002</v>
      </c>
      <c r="G1071" s="3" t="str">
        <f>VLOOKUP(Registros[[#This Row],[Cliente]],Cliente_Region[],2,FALSE)</f>
        <v>Argentina</v>
      </c>
      <c r="H1071" s="3" t="str">
        <f>VLOOKUP(Registros[[#This Row],[Producto]],Producto[],2,FALSE)</f>
        <v>DONANY</v>
      </c>
    </row>
    <row r="1072" spans="1:8" ht="20.100000000000001" customHeight="1" x14ac:dyDescent="0.25">
      <c r="A1072" s="3" t="s">
        <v>218</v>
      </c>
      <c r="B1072" s="3" t="s">
        <v>263</v>
      </c>
      <c r="C1072" s="3">
        <v>2022</v>
      </c>
      <c r="D1072" s="4">
        <v>4</v>
      </c>
      <c r="E1072" s="5">
        <v>500</v>
      </c>
      <c r="F1072" s="5">
        <v>313.04000000000002</v>
      </c>
      <c r="G1072" s="3" t="str">
        <f>VLOOKUP(Registros[[#This Row],[Cliente]],Cliente_Region[],2,FALSE)</f>
        <v>Argentina</v>
      </c>
      <c r="H1072" s="3" t="str">
        <f>VLOOKUP(Registros[[#This Row],[Producto]],Producto[],2,FALSE)</f>
        <v>DONANY</v>
      </c>
    </row>
    <row r="1073" spans="1:8" ht="20.100000000000001" customHeight="1" x14ac:dyDescent="0.25">
      <c r="A1073" s="3" t="s">
        <v>218</v>
      </c>
      <c r="B1073" s="3" t="s">
        <v>263</v>
      </c>
      <c r="C1073" s="3">
        <v>2022</v>
      </c>
      <c r="D1073" s="4">
        <v>5</v>
      </c>
      <c r="E1073" s="5">
        <v>500</v>
      </c>
      <c r="F1073" s="5">
        <v>313.04000000000002</v>
      </c>
      <c r="G1073" s="3" t="str">
        <f>VLOOKUP(Registros[[#This Row],[Cliente]],Cliente_Region[],2,FALSE)</f>
        <v>Argentina</v>
      </c>
      <c r="H1073" s="3" t="str">
        <f>VLOOKUP(Registros[[#This Row],[Producto]],Producto[],2,FALSE)</f>
        <v>DONANY</v>
      </c>
    </row>
    <row r="1074" spans="1:8" ht="20.100000000000001" customHeight="1" x14ac:dyDescent="0.25">
      <c r="A1074" s="3" t="s">
        <v>218</v>
      </c>
      <c r="B1074" s="3" t="s">
        <v>263</v>
      </c>
      <c r="C1074" s="3">
        <v>2022</v>
      </c>
      <c r="D1074" s="4">
        <v>6</v>
      </c>
      <c r="E1074" s="5">
        <v>500</v>
      </c>
      <c r="F1074" s="5">
        <v>313.04000000000002</v>
      </c>
      <c r="G1074" s="3" t="str">
        <f>VLOOKUP(Registros[[#This Row],[Cliente]],Cliente_Region[],2,FALSE)</f>
        <v>Argentina</v>
      </c>
      <c r="H1074" s="3" t="str">
        <f>VLOOKUP(Registros[[#This Row],[Producto]],Producto[],2,FALSE)</f>
        <v>DONANY</v>
      </c>
    </row>
    <row r="1075" spans="1:8" ht="20.100000000000001" customHeight="1" x14ac:dyDescent="0.25">
      <c r="A1075" s="3" t="s">
        <v>270</v>
      </c>
      <c r="B1075" s="3" t="s">
        <v>263</v>
      </c>
      <c r="C1075" s="3">
        <v>2022</v>
      </c>
      <c r="D1075" s="4">
        <v>2</v>
      </c>
      <c r="E1075" s="5">
        <v>185</v>
      </c>
      <c r="F1075" s="5">
        <v>123.36</v>
      </c>
      <c r="G1075" s="3" t="str">
        <f>VLOOKUP(Registros[[#This Row],[Cliente]],Cliente_Region[],2,FALSE)</f>
        <v>Argentina</v>
      </c>
      <c r="H1075" s="3" t="str">
        <f>VLOOKUP(Registros[[#This Row],[Producto]],Producto[],2,FALSE)</f>
        <v>QUOKAR</v>
      </c>
    </row>
    <row r="1076" spans="1:8" ht="20.100000000000001" customHeight="1" x14ac:dyDescent="0.25">
      <c r="A1076" s="3" t="s">
        <v>271</v>
      </c>
      <c r="B1076" s="3" t="s">
        <v>263</v>
      </c>
      <c r="C1076" s="3">
        <v>2022</v>
      </c>
      <c r="D1076" s="4">
        <v>3</v>
      </c>
      <c r="E1076" s="5">
        <v>185</v>
      </c>
      <c r="F1076" s="5">
        <v>123.32</v>
      </c>
      <c r="G1076" s="3" t="str">
        <f>VLOOKUP(Registros[[#This Row],[Cliente]],Cliente_Region[],2,FALSE)</f>
        <v>Argentina</v>
      </c>
      <c r="H1076" s="3" t="str">
        <f>VLOOKUP(Registros[[#This Row],[Producto]],Producto[],2,FALSE)</f>
        <v>LAX</v>
      </c>
    </row>
    <row r="1077" spans="1:8" ht="20.100000000000001" customHeight="1" x14ac:dyDescent="0.25">
      <c r="A1077" s="3" t="s">
        <v>271</v>
      </c>
      <c r="B1077" s="3" t="s">
        <v>263</v>
      </c>
      <c r="C1077" s="3">
        <v>2022</v>
      </c>
      <c r="D1077" s="4">
        <v>4</v>
      </c>
      <c r="E1077" s="5">
        <v>370</v>
      </c>
      <c r="F1077" s="5">
        <v>246.64</v>
      </c>
      <c r="G1077" s="3" t="str">
        <f>VLOOKUP(Registros[[#This Row],[Cliente]],Cliente_Region[],2,FALSE)</f>
        <v>Argentina</v>
      </c>
      <c r="H1077" s="3" t="str">
        <f>VLOOKUP(Registros[[#This Row],[Producto]],Producto[],2,FALSE)</f>
        <v>LAX</v>
      </c>
    </row>
    <row r="1078" spans="1:8" ht="20.100000000000001" customHeight="1" x14ac:dyDescent="0.25">
      <c r="A1078" s="3" t="s">
        <v>271</v>
      </c>
      <c r="B1078" s="3" t="s">
        <v>263</v>
      </c>
      <c r="C1078" s="3">
        <v>2022</v>
      </c>
      <c r="D1078" s="4">
        <v>5</v>
      </c>
      <c r="E1078" s="5">
        <v>185</v>
      </c>
      <c r="F1078" s="5">
        <v>123.32</v>
      </c>
      <c r="G1078" s="3" t="str">
        <f>VLOOKUP(Registros[[#This Row],[Cliente]],Cliente_Region[],2,FALSE)</f>
        <v>Argentina</v>
      </c>
      <c r="H1078" s="3" t="str">
        <f>VLOOKUP(Registros[[#This Row],[Producto]],Producto[],2,FALSE)</f>
        <v>LAX</v>
      </c>
    </row>
    <row r="1079" spans="1:8" ht="20.100000000000001" customHeight="1" x14ac:dyDescent="0.25">
      <c r="A1079" s="3" t="s">
        <v>271</v>
      </c>
      <c r="B1079" s="3" t="s">
        <v>263</v>
      </c>
      <c r="C1079" s="3">
        <v>2022</v>
      </c>
      <c r="D1079" s="4">
        <v>6</v>
      </c>
      <c r="E1079" s="5">
        <v>185</v>
      </c>
      <c r="F1079" s="5">
        <v>123.32</v>
      </c>
      <c r="G1079" s="3" t="str">
        <f>VLOOKUP(Registros[[#This Row],[Cliente]],Cliente_Region[],2,FALSE)</f>
        <v>Argentina</v>
      </c>
      <c r="H1079" s="3" t="str">
        <f>VLOOKUP(Registros[[#This Row],[Producto]],Producto[],2,FALSE)</f>
        <v>LAX</v>
      </c>
    </row>
    <row r="1080" spans="1:8" ht="20.100000000000001" customHeight="1" x14ac:dyDescent="0.25">
      <c r="A1080" s="3" t="s">
        <v>176</v>
      </c>
      <c r="B1080" s="3" t="s">
        <v>263</v>
      </c>
      <c r="C1080" s="3">
        <v>2022</v>
      </c>
      <c r="D1080" s="4">
        <v>1</v>
      </c>
      <c r="E1080" s="5">
        <v>36</v>
      </c>
      <c r="F1080" s="5">
        <v>20.32</v>
      </c>
      <c r="G1080" s="3" t="str">
        <f>VLOOKUP(Registros[[#This Row],[Cliente]],Cliente_Region[],2,FALSE)</f>
        <v>Argentina</v>
      </c>
      <c r="H1080" s="3" t="str">
        <f>VLOOKUP(Registros[[#This Row],[Producto]],Producto[],2,FALSE)</f>
        <v>CHOTUS</v>
      </c>
    </row>
    <row r="1081" spans="1:8" ht="20.100000000000001" customHeight="1" x14ac:dyDescent="0.25">
      <c r="A1081" s="3" t="s">
        <v>177</v>
      </c>
      <c r="B1081" s="3" t="s">
        <v>263</v>
      </c>
      <c r="C1081" s="3">
        <v>2022</v>
      </c>
      <c r="D1081" s="4">
        <v>2</v>
      </c>
      <c r="E1081" s="5">
        <v>26.25</v>
      </c>
      <c r="F1081" s="5">
        <v>10.57</v>
      </c>
      <c r="G1081" s="3" t="str">
        <f>VLOOKUP(Registros[[#This Row],[Cliente]],Cliente_Region[],2,FALSE)</f>
        <v>Argentina</v>
      </c>
      <c r="H1081" s="3" t="str">
        <f>VLOOKUP(Registros[[#This Row],[Producto]],Producto[],2,FALSE)</f>
        <v>SALF</v>
      </c>
    </row>
    <row r="1082" spans="1:8" ht="20.100000000000001" customHeight="1" x14ac:dyDescent="0.25">
      <c r="A1082" s="3" t="s">
        <v>177</v>
      </c>
      <c r="B1082" s="3" t="s">
        <v>263</v>
      </c>
      <c r="C1082" s="3">
        <v>2022</v>
      </c>
      <c r="D1082" s="4">
        <v>5</v>
      </c>
      <c r="E1082" s="5">
        <v>131.25</v>
      </c>
      <c r="F1082" s="5">
        <v>65.67</v>
      </c>
      <c r="G1082" s="3" t="str">
        <f>VLOOKUP(Registros[[#This Row],[Cliente]],Cliente_Region[],2,FALSE)</f>
        <v>Argentina</v>
      </c>
      <c r="H1082" s="3" t="str">
        <f>VLOOKUP(Registros[[#This Row],[Producto]],Producto[],2,FALSE)</f>
        <v>SALF</v>
      </c>
    </row>
    <row r="1083" spans="1:8" ht="20.100000000000001" customHeight="1" x14ac:dyDescent="0.25">
      <c r="A1083" s="3" t="s">
        <v>116</v>
      </c>
      <c r="B1083" s="3" t="s">
        <v>263</v>
      </c>
      <c r="C1083" s="3">
        <v>2022</v>
      </c>
      <c r="D1083" s="4">
        <v>2</v>
      </c>
      <c r="E1083" s="5">
        <v>0</v>
      </c>
      <c r="F1083" s="5">
        <v>-14.92</v>
      </c>
      <c r="G1083" s="3" t="str">
        <f>VLOOKUP(Registros[[#This Row],[Cliente]],Cliente_Region[],2,FALSE)</f>
        <v>Argentina</v>
      </c>
      <c r="H1083" s="3" t="str">
        <f>VLOOKUP(Registros[[#This Row],[Producto]],Producto[],2,FALSE)</f>
        <v>QUOKAR</v>
      </c>
    </row>
    <row r="1084" spans="1:8" ht="20.100000000000001" customHeight="1" x14ac:dyDescent="0.25">
      <c r="A1084" s="3" t="s">
        <v>117</v>
      </c>
      <c r="B1084" s="3" t="s">
        <v>263</v>
      </c>
      <c r="C1084" s="3">
        <v>2022</v>
      </c>
      <c r="D1084" s="4">
        <v>5</v>
      </c>
      <c r="E1084" s="5">
        <v>49</v>
      </c>
      <c r="F1084" s="5">
        <v>19.16</v>
      </c>
      <c r="G1084" s="3" t="str">
        <f>VLOOKUP(Registros[[#This Row],[Cliente]],Cliente_Region[],2,FALSE)</f>
        <v>Argentina</v>
      </c>
      <c r="H1084" s="3" t="str">
        <f>VLOOKUP(Registros[[#This Row],[Producto]],Producto[],2,FALSE)</f>
        <v>CHOTUS</v>
      </c>
    </row>
    <row r="1085" spans="1:8" ht="20.100000000000001" customHeight="1" x14ac:dyDescent="0.25">
      <c r="A1085" s="3" t="s">
        <v>117</v>
      </c>
      <c r="B1085" s="3" t="s">
        <v>263</v>
      </c>
      <c r="C1085" s="3">
        <v>2022</v>
      </c>
      <c r="D1085" s="4">
        <v>6</v>
      </c>
      <c r="E1085" s="5">
        <v>49</v>
      </c>
      <c r="F1085" s="5">
        <v>19.170000000000002</v>
      </c>
      <c r="G1085" s="3" t="str">
        <f>VLOOKUP(Registros[[#This Row],[Cliente]],Cliente_Region[],2,FALSE)</f>
        <v>Argentina</v>
      </c>
      <c r="H1085" s="3" t="str">
        <f>VLOOKUP(Registros[[#This Row],[Producto]],Producto[],2,FALSE)</f>
        <v>CHOTUS</v>
      </c>
    </row>
    <row r="1086" spans="1:8" ht="20.100000000000001" customHeight="1" x14ac:dyDescent="0.25">
      <c r="A1086" s="3" t="s">
        <v>65</v>
      </c>
      <c r="B1086" s="3" t="s">
        <v>263</v>
      </c>
      <c r="C1086" s="3">
        <v>2022</v>
      </c>
      <c r="D1086" s="4">
        <v>1</v>
      </c>
      <c r="E1086" s="5">
        <v>34.5</v>
      </c>
      <c r="F1086" s="5">
        <v>22.72</v>
      </c>
      <c r="G1086" s="3" t="str">
        <f>VLOOKUP(Registros[[#This Row],[Cliente]],Cliente_Region[],2,FALSE)</f>
        <v>Argentina</v>
      </c>
      <c r="H1086" s="3" t="str">
        <f>VLOOKUP(Registros[[#This Row],[Producto]],Producto[],2,FALSE)</f>
        <v>DAWNE</v>
      </c>
    </row>
    <row r="1087" spans="1:8" ht="20.100000000000001" customHeight="1" x14ac:dyDescent="0.25">
      <c r="A1087" s="3" t="s">
        <v>66</v>
      </c>
      <c r="B1087" s="3" t="s">
        <v>263</v>
      </c>
      <c r="C1087" s="3">
        <v>2022</v>
      </c>
      <c r="D1087" s="4">
        <v>2</v>
      </c>
      <c r="E1087" s="5">
        <v>37.5</v>
      </c>
      <c r="F1087" s="5">
        <v>25.72</v>
      </c>
      <c r="G1087" s="3" t="str">
        <f>VLOOKUP(Registros[[#This Row],[Cliente]],Cliente_Region[],2,FALSE)</f>
        <v>Argentina</v>
      </c>
      <c r="H1087" s="3" t="str">
        <f>VLOOKUP(Registros[[#This Row],[Producto]],Producto[],2,FALSE)</f>
        <v>LAX</v>
      </c>
    </row>
    <row r="1088" spans="1:8" ht="20.100000000000001" customHeight="1" x14ac:dyDescent="0.25">
      <c r="A1088" s="3" t="s">
        <v>66</v>
      </c>
      <c r="B1088" s="3" t="s">
        <v>263</v>
      </c>
      <c r="C1088" s="3">
        <v>2022</v>
      </c>
      <c r="D1088" s="4">
        <v>3</v>
      </c>
      <c r="E1088" s="5">
        <v>112.5</v>
      </c>
      <c r="F1088" s="5">
        <v>77.16</v>
      </c>
      <c r="G1088" s="3" t="str">
        <f>VLOOKUP(Registros[[#This Row],[Cliente]],Cliente_Region[],2,FALSE)</f>
        <v>Argentina</v>
      </c>
      <c r="H1088" s="3" t="str">
        <f>VLOOKUP(Registros[[#This Row],[Producto]],Producto[],2,FALSE)</f>
        <v>LAX</v>
      </c>
    </row>
    <row r="1089" spans="1:8" ht="20.100000000000001" customHeight="1" x14ac:dyDescent="0.25">
      <c r="A1089" s="3" t="s">
        <v>66</v>
      </c>
      <c r="B1089" s="3" t="s">
        <v>263</v>
      </c>
      <c r="C1089" s="3">
        <v>2022</v>
      </c>
      <c r="D1089" s="4">
        <v>4</v>
      </c>
      <c r="E1089" s="5">
        <v>37.5</v>
      </c>
      <c r="F1089" s="5">
        <v>25.72</v>
      </c>
      <c r="G1089" s="3" t="str">
        <f>VLOOKUP(Registros[[#This Row],[Cliente]],Cliente_Region[],2,FALSE)</f>
        <v>Argentina</v>
      </c>
      <c r="H1089" s="3" t="str">
        <f>VLOOKUP(Registros[[#This Row],[Producto]],Producto[],2,FALSE)</f>
        <v>LAX</v>
      </c>
    </row>
    <row r="1090" spans="1:8" ht="20.100000000000001" customHeight="1" x14ac:dyDescent="0.25">
      <c r="A1090" s="3" t="s">
        <v>66</v>
      </c>
      <c r="B1090" s="3" t="s">
        <v>263</v>
      </c>
      <c r="C1090" s="3">
        <v>2022</v>
      </c>
      <c r="D1090" s="4">
        <v>6</v>
      </c>
      <c r="E1090" s="5">
        <v>18.75</v>
      </c>
      <c r="F1090" s="5">
        <v>12.86</v>
      </c>
      <c r="G1090" s="3" t="str">
        <f>VLOOKUP(Registros[[#This Row],[Cliente]],Cliente_Region[],2,FALSE)</f>
        <v>Argentina</v>
      </c>
      <c r="H1090" s="3" t="str">
        <f>VLOOKUP(Registros[[#This Row],[Producto]],Producto[],2,FALSE)</f>
        <v>LAX</v>
      </c>
    </row>
    <row r="1091" spans="1:8" ht="20.100000000000001" customHeight="1" x14ac:dyDescent="0.25">
      <c r="A1091" s="3" t="s">
        <v>262</v>
      </c>
      <c r="B1091" s="3" t="s">
        <v>263</v>
      </c>
      <c r="C1091" s="3">
        <v>2022</v>
      </c>
      <c r="D1091" s="4">
        <v>4</v>
      </c>
      <c r="E1091" s="5">
        <v>52.5</v>
      </c>
      <c r="F1091" s="5">
        <v>36.82</v>
      </c>
      <c r="G1091" s="3" t="str">
        <f>VLOOKUP(Registros[[#This Row],[Cliente]],Cliente_Region[],2,FALSE)</f>
        <v>Argentina</v>
      </c>
      <c r="H1091" s="3" t="str">
        <f>VLOOKUP(Registros[[#This Row],[Producto]],Producto[],2,FALSE)</f>
        <v>LAX</v>
      </c>
    </row>
    <row r="1092" spans="1:8" ht="20.100000000000001" customHeight="1" x14ac:dyDescent="0.25">
      <c r="A1092" s="3" t="s">
        <v>146</v>
      </c>
      <c r="B1092" s="3" t="s">
        <v>263</v>
      </c>
      <c r="C1092" s="3">
        <v>2022</v>
      </c>
      <c r="D1092" s="4">
        <v>5</v>
      </c>
      <c r="E1092" s="5">
        <v>298.5</v>
      </c>
      <c r="F1092" s="5">
        <v>154.1</v>
      </c>
      <c r="G1092" s="3" t="str">
        <f>VLOOKUP(Registros[[#This Row],[Cliente]],Cliente_Region[],2,FALSE)</f>
        <v>Argentina</v>
      </c>
      <c r="H1092" s="3" t="str">
        <f>VLOOKUP(Registros[[#This Row],[Producto]],Producto[],2,FALSE)</f>
        <v>DAWNE</v>
      </c>
    </row>
    <row r="1093" spans="1:8" ht="20.100000000000001" customHeight="1" x14ac:dyDescent="0.25">
      <c r="A1093" s="3" t="s">
        <v>200</v>
      </c>
      <c r="B1093" s="3" t="s">
        <v>263</v>
      </c>
      <c r="C1093" s="3">
        <v>2022</v>
      </c>
      <c r="D1093" s="4">
        <v>6</v>
      </c>
      <c r="E1093" s="5">
        <v>153</v>
      </c>
      <c r="F1093" s="5">
        <v>71.67</v>
      </c>
      <c r="G1093" s="3" t="str">
        <f>VLOOKUP(Registros[[#This Row],[Cliente]],Cliente_Region[],2,FALSE)</f>
        <v>Argentina</v>
      </c>
      <c r="H1093" s="3" t="str">
        <f>VLOOKUP(Registros[[#This Row],[Producto]],Producto[],2,FALSE)</f>
        <v>QUOKAR</v>
      </c>
    </row>
    <row r="1094" spans="1:8" ht="20.100000000000001" customHeight="1" x14ac:dyDescent="0.25">
      <c r="A1094" s="3" t="s">
        <v>120</v>
      </c>
      <c r="B1094" s="3" t="s">
        <v>263</v>
      </c>
      <c r="C1094" s="3">
        <v>2022</v>
      </c>
      <c r="D1094" s="4">
        <v>1</v>
      </c>
      <c r="E1094" s="5">
        <v>45</v>
      </c>
      <c r="F1094" s="5">
        <v>26.49</v>
      </c>
      <c r="G1094" s="3" t="str">
        <f>VLOOKUP(Registros[[#This Row],[Cliente]],Cliente_Region[],2,FALSE)</f>
        <v>Argentina</v>
      </c>
      <c r="H1094" s="3" t="str">
        <f>VLOOKUP(Registros[[#This Row],[Producto]],Producto[],2,FALSE)</f>
        <v>LAX</v>
      </c>
    </row>
    <row r="1095" spans="1:8" ht="20.100000000000001" customHeight="1" x14ac:dyDescent="0.25">
      <c r="A1095" s="3" t="s">
        <v>121</v>
      </c>
      <c r="B1095" s="3" t="s">
        <v>263</v>
      </c>
      <c r="C1095" s="3">
        <v>2022</v>
      </c>
      <c r="D1095" s="4">
        <v>2</v>
      </c>
      <c r="E1095" s="5">
        <v>67.5</v>
      </c>
      <c r="F1095" s="5">
        <v>30.46</v>
      </c>
      <c r="G1095" s="3" t="str">
        <f>VLOOKUP(Registros[[#This Row],[Cliente]],Cliente_Region[],2,FALSE)</f>
        <v>Argentina</v>
      </c>
      <c r="H1095" s="3" t="str">
        <f>VLOOKUP(Registros[[#This Row],[Producto]],Producto[],2,FALSE)</f>
        <v>LAX</v>
      </c>
    </row>
    <row r="1096" spans="1:8" ht="20.100000000000001" customHeight="1" x14ac:dyDescent="0.25">
      <c r="A1096" s="3" t="s">
        <v>121</v>
      </c>
      <c r="B1096" s="3" t="s">
        <v>263</v>
      </c>
      <c r="C1096" s="3">
        <v>2022</v>
      </c>
      <c r="D1096" s="4">
        <v>3</v>
      </c>
      <c r="E1096" s="5">
        <v>90</v>
      </c>
      <c r="F1096" s="5">
        <v>47.19</v>
      </c>
      <c r="G1096" s="3" t="str">
        <f>VLOOKUP(Registros[[#This Row],[Cliente]],Cliente_Region[],2,FALSE)</f>
        <v>Argentina</v>
      </c>
      <c r="H1096" s="3" t="str">
        <f>VLOOKUP(Registros[[#This Row],[Producto]],Producto[],2,FALSE)</f>
        <v>LAX</v>
      </c>
    </row>
    <row r="1097" spans="1:8" ht="20.100000000000001" customHeight="1" x14ac:dyDescent="0.25">
      <c r="A1097" s="3" t="s">
        <v>121</v>
      </c>
      <c r="B1097" s="3" t="s">
        <v>263</v>
      </c>
      <c r="C1097" s="3">
        <v>2022</v>
      </c>
      <c r="D1097" s="4">
        <v>5</v>
      </c>
      <c r="E1097" s="5">
        <v>112.5</v>
      </c>
      <c r="F1097" s="5">
        <v>63.82</v>
      </c>
      <c r="G1097" s="3" t="str">
        <f>VLOOKUP(Registros[[#This Row],[Cliente]],Cliente_Region[],2,FALSE)</f>
        <v>Argentina</v>
      </c>
      <c r="H1097" s="3" t="str">
        <f>VLOOKUP(Registros[[#This Row],[Producto]],Producto[],2,FALSE)</f>
        <v>LAX</v>
      </c>
    </row>
    <row r="1098" spans="1:8" ht="20.100000000000001" customHeight="1" x14ac:dyDescent="0.25">
      <c r="A1098" s="3" t="s">
        <v>121</v>
      </c>
      <c r="B1098" s="3" t="s">
        <v>263</v>
      </c>
      <c r="C1098" s="3">
        <v>2022</v>
      </c>
      <c r="D1098" s="4">
        <v>6</v>
      </c>
      <c r="E1098" s="5">
        <v>225</v>
      </c>
      <c r="F1098" s="5">
        <v>130.12</v>
      </c>
      <c r="G1098" s="3" t="str">
        <f>VLOOKUP(Registros[[#This Row],[Cliente]],Cliente_Region[],2,FALSE)</f>
        <v>Argentina</v>
      </c>
      <c r="H1098" s="3" t="str">
        <f>VLOOKUP(Registros[[#This Row],[Producto]],Producto[],2,FALSE)</f>
        <v>LAX</v>
      </c>
    </row>
    <row r="1099" spans="1:8" ht="20.100000000000001" customHeight="1" x14ac:dyDescent="0.25">
      <c r="A1099" s="3" t="s">
        <v>60</v>
      </c>
      <c r="B1099" s="3" t="s">
        <v>263</v>
      </c>
      <c r="C1099" s="3">
        <v>2022</v>
      </c>
      <c r="D1099" s="4">
        <v>1</v>
      </c>
      <c r="E1099" s="5">
        <v>3258</v>
      </c>
      <c r="F1099" s="5">
        <v>2401.12</v>
      </c>
      <c r="G1099" s="3" t="str">
        <f>VLOOKUP(Registros[[#This Row],[Cliente]],Cliente_Region[],2,FALSE)</f>
        <v>Argentina</v>
      </c>
      <c r="H1099" s="3" t="str">
        <f>VLOOKUP(Registros[[#This Row],[Producto]],Producto[],2,FALSE)</f>
        <v>DAWNE</v>
      </c>
    </row>
    <row r="1100" spans="1:8" ht="20.100000000000001" customHeight="1" x14ac:dyDescent="0.25">
      <c r="A1100" s="3" t="s">
        <v>61</v>
      </c>
      <c r="B1100" s="3" t="s">
        <v>263</v>
      </c>
      <c r="C1100" s="3">
        <v>2022</v>
      </c>
      <c r="D1100" s="4">
        <v>2</v>
      </c>
      <c r="E1100" s="5">
        <v>2358</v>
      </c>
      <c r="F1100" s="5">
        <v>1756.04</v>
      </c>
      <c r="G1100" s="3" t="str">
        <f>VLOOKUP(Registros[[#This Row],[Cliente]],Cliente_Region[],2,FALSE)</f>
        <v>Argentina</v>
      </c>
      <c r="H1100" s="3" t="str">
        <f>VLOOKUP(Registros[[#This Row],[Producto]],Producto[],2,FALSE)</f>
        <v>DAWNE</v>
      </c>
    </row>
    <row r="1101" spans="1:8" ht="20.100000000000001" customHeight="1" x14ac:dyDescent="0.25">
      <c r="A1101" s="3" t="s">
        <v>61</v>
      </c>
      <c r="B1101" s="3" t="s">
        <v>263</v>
      </c>
      <c r="C1101" s="3">
        <v>2022</v>
      </c>
      <c r="D1101" s="4">
        <v>3</v>
      </c>
      <c r="E1101" s="5">
        <v>3024</v>
      </c>
      <c r="F1101" s="5">
        <v>2243.08</v>
      </c>
      <c r="G1101" s="3" t="str">
        <f>VLOOKUP(Registros[[#This Row],[Cliente]],Cliente_Region[],2,FALSE)</f>
        <v>Argentina</v>
      </c>
      <c r="H1101" s="3" t="str">
        <f>VLOOKUP(Registros[[#This Row],[Producto]],Producto[],2,FALSE)</f>
        <v>DAWNE</v>
      </c>
    </row>
    <row r="1102" spans="1:8" ht="20.100000000000001" customHeight="1" x14ac:dyDescent="0.25">
      <c r="A1102" s="3" t="s">
        <v>61</v>
      </c>
      <c r="B1102" s="3" t="s">
        <v>263</v>
      </c>
      <c r="C1102" s="3">
        <v>2022</v>
      </c>
      <c r="D1102" s="4">
        <v>4</v>
      </c>
      <c r="E1102" s="5">
        <v>2541</v>
      </c>
      <c r="F1102" s="5">
        <v>1884.81</v>
      </c>
      <c r="G1102" s="3" t="str">
        <f>VLOOKUP(Registros[[#This Row],[Cliente]],Cliente_Region[],2,FALSE)</f>
        <v>Argentina</v>
      </c>
      <c r="H1102" s="3" t="str">
        <f>VLOOKUP(Registros[[#This Row],[Producto]],Producto[],2,FALSE)</f>
        <v>DAWNE</v>
      </c>
    </row>
    <row r="1103" spans="1:8" ht="20.100000000000001" customHeight="1" x14ac:dyDescent="0.25">
      <c r="A1103" s="3" t="s">
        <v>61</v>
      </c>
      <c r="B1103" s="3" t="s">
        <v>263</v>
      </c>
      <c r="C1103" s="3">
        <v>2022</v>
      </c>
      <c r="D1103" s="4">
        <v>5</v>
      </c>
      <c r="E1103" s="5">
        <v>4284</v>
      </c>
      <c r="F1103" s="5">
        <v>3177.71</v>
      </c>
      <c r="G1103" s="3" t="str">
        <f>VLOOKUP(Registros[[#This Row],[Cliente]],Cliente_Region[],2,FALSE)</f>
        <v>Argentina</v>
      </c>
      <c r="H1103" s="3" t="str">
        <f>VLOOKUP(Registros[[#This Row],[Producto]],Producto[],2,FALSE)</f>
        <v>DAWNE</v>
      </c>
    </row>
    <row r="1104" spans="1:8" ht="20.100000000000001" customHeight="1" x14ac:dyDescent="0.25">
      <c r="A1104" s="3" t="s">
        <v>61</v>
      </c>
      <c r="B1104" s="3" t="s">
        <v>263</v>
      </c>
      <c r="C1104" s="3">
        <v>2022</v>
      </c>
      <c r="D1104" s="4">
        <v>6</v>
      </c>
      <c r="E1104" s="5">
        <v>4011</v>
      </c>
      <c r="F1104" s="5">
        <v>2975.22</v>
      </c>
      <c r="G1104" s="3" t="str">
        <f>VLOOKUP(Registros[[#This Row],[Cliente]],Cliente_Region[],2,FALSE)</f>
        <v>Argentina</v>
      </c>
      <c r="H1104" s="3" t="str">
        <f>VLOOKUP(Registros[[#This Row],[Producto]],Producto[],2,FALSE)</f>
        <v>DAWNE</v>
      </c>
    </row>
    <row r="1105" spans="1:8" ht="20.100000000000001" customHeight="1" x14ac:dyDescent="0.25">
      <c r="A1105" s="3" t="s">
        <v>74</v>
      </c>
      <c r="B1105" s="3" t="s">
        <v>263</v>
      </c>
      <c r="C1105" s="3">
        <v>2022</v>
      </c>
      <c r="D1105" s="4">
        <v>1</v>
      </c>
      <c r="E1105" s="5">
        <v>2797.5</v>
      </c>
      <c r="F1105" s="5">
        <v>463.71</v>
      </c>
      <c r="G1105" s="3" t="str">
        <f>VLOOKUP(Registros[[#This Row],[Cliente]],Cliente_Region[],2,FALSE)</f>
        <v>Argentina</v>
      </c>
      <c r="H1105" s="3" t="str">
        <f>VLOOKUP(Registros[[#This Row],[Producto]],Producto[],2,FALSE)</f>
        <v>CHOTUS</v>
      </c>
    </row>
    <row r="1106" spans="1:8" ht="20.100000000000001" customHeight="1" x14ac:dyDescent="0.25">
      <c r="A1106" s="3" t="s">
        <v>75</v>
      </c>
      <c r="B1106" s="3" t="s">
        <v>263</v>
      </c>
      <c r="C1106" s="3">
        <v>2022</v>
      </c>
      <c r="D1106" s="4">
        <v>2</v>
      </c>
      <c r="E1106" s="5">
        <v>2395</v>
      </c>
      <c r="F1106" s="5">
        <v>817.9</v>
      </c>
      <c r="G1106" s="3" t="str">
        <f>VLOOKUP(Registros[[#This Row],[Cliente]],Cliente_Region[],2,FALSE)</f>
        <v>Argentina</v>
      </c>
      <c r="H1106" s="3" t="str">
        <f>VLOOKUP(Registros[[#This Row],[Producto]],Producto[],2,FALSE)</f>
        <v>DONANY</v>
      </c>
    </row>
    <row r="1107" spans="1:8" ht="20.100000000000001" customHeight="1" x14ac:dyDescent="0.25">
      <c r="A1107" s="3" t="s">
        <v>75</v>
      </c>
      <c r="B1107" s="3" t="s">
        <v>263</v>
      </c>
      <c r="C1107" s="3">
        <v>2022</v>
      </c>
      <c r="D1107" s="4">
        <v>3</v>
      </c>
      <c r="E1107" s="5">
        <v>2592.5</v>
      </c>
      <c r="F1107" s="5">
        <v>823.5</v>
      </c>
      <c r="G1107" s="3" t="str">
        <f>VLOOKUP(Registros[[#This Row],[Cliente]],Cliente_Region[],2,FALSE)</f>
        <v>Argentina</v>
      </c>
      <c r="H1107" s="3" t="str">
        <f>VLOOKUP(Registros[[#This Row],[Producto]],Producto[],2,FALSE)</f>
        <v>DONANY</v>
      </c>
    </row>
    <row r="1108" spans="1:8" ht="20.100000000000001" customHeight="1" x14ac:dyDescent="0.25">
      <c r="A1108" s="3" t="s">
        <v>75</v>
      </c>
      <c r="B1108" s="3" t="s">
        <v>263</v>
      </c>
      <c r="C1108" s="3">
        <v>2022</v>
      </c>
      <c r="D1108" s="4">
        <v>4</v>
      </c>
      <c r="E1108" s="5">
        <v>2762.5</v>
      </c>
      <c r="F1108" s="5">
        <v>1037.27</v>
      </c>
      <c r="G1108" s="3" t="str">
        <f>VLOOKUP(Registros[[#This Row],[Cliente]],Cliente_Region[],2,FALSE)</f>
        <v>Argentina</v>
      </c>
      <c r="H1108" s="3" t="str">
        <f>VLOOKUP(Registros[[#This Row],[Producto]],Producto[],2,FALSE)</f>
        <v>DONANY</v>
      </c>
    </row>
    <row r="1109" spans="1:8" ht="20.100000000000001" customHeight="1" x14ac:dyDescent="0.25">
      <c r="A1109" s="3" t="s">
        <v>75</v>
      </c>
      <c r="B1109" s="3" t="s">
        <v>263</v>
      </c>
      <c r="C1109" s="3">
        <v>2022</v>
      </c>
      <c r="D1109" s="4">
        <v>5</v>
      </c>
      <c r="E1109" s="5">
        <v>3485</v>
      </c>
      <c r="F1109" s="5">
        <v>1239.5</v>
      </c>
      <c r="G1109" s="3" t="str">
        <f>VLOOKUP(Registros[[#This Row],[Cliente]],Cliente_Region[],2,FALSE)</f>
        <v>Argentina</v>
      </c>
      <c r="H1109" s="3" t="str">
        <f>VLOOKUP(Registros[[#This Row],[Producto]],Producto[],2,FALSE)</f>
        <v>DONANY</v>
      </c>
    </row>
    <row r="1110" spans="1:8" ht="20.100000000000001" customHeight="1" x14ac:dyDescent="0.25">
      <c r="A1110" s="3" t="s">
        <v>75</v>
      </c>
      <c r="B1110" s="3" t="s">
        <v>263</v>
      </c>
      <c r="C1110" s="3">
        <v>2022</v>
      </c>
      <c r="D1110" s="4">
        <v>6</v>
      </c>
      <c r="E1110" s="5">
        <v>3200</v>
      </c>
      <c r="F1110" s="5">
        <v>1343</v>
      </c>
      <c r="G1110" s="3" t="str">
        <f>VLOOKUP(Registros[[#This Row],[Cliente]],Cliente_Region[],2,FALSE)</f>
        <v>Argentina</v>
      </c>
      <c r="H1110" s="3" t="str">
        <f>VLOOKUP(Registros[[#This Row],[Producto]],Producto[],2,FALSE)</f>
        <v>DONANY</v>
      </c>
    </row>
    <row r="1111" spans="1:8" ht="20.100000000000001" customHeight="1" x14ac:dyDescent="0.25">
      <c r="A1111" s="3" t="s">
        <v>82</v>
      </c>
      <c r="B1111" s="3" t="s">
        <v>263</v>
      </c>
      <c r="C1111" s="3">
        <v>2022</v>
      </c>
      <c r="D1111" s="4">
        <v>4</v>
      </c>
      <c r="E1111" s="5">
        <v>99.5</v>
      </c>
      <c r="F1111" s="5">
        <v>48.23</v>
      </c>
      <c r="G1111" s="3" t="str">
        <f>VLOOKUP(Registros[[#This Row],[Cliente]],Cliente_Region[],2,FALSE)</f>
        <v>Argentina</v>
      </c>
      <c r="H1111" s="3" t="str">
        <f>VLOOKUP(Registros[[#This Row],[Producto]],Producto[],2,FALSE)</f>
        <v>LAX</v>
      </c>
    </row>
    <row r="1112" spans="1:8" ht="20.100000000000001" customHeight="1" x14ac:dyDescent="0.25">
      <c r="A1112" s="3" t="s">
        <v>185</v>
      </c>
      <c r="B1112" s="3" t="s">
        <v>263</v>
      </c>
      <c r="C1112" s="3">
        <v>2022</v>
      </c>
      <c r="D1112" s="4">
        <v>5</v>
      </c>
      <c r="E1112" s="5">
        <v>0</v>
      </c>
      <c r="F1112" s="5">
        <v>0</v>
      </c>
      <c r="G1112" s="3" t="str">
        <f>VLOOKUP(Registros[[#This Row],[Cliente]],Cliente_Region[],2,FALSE)</f>
        <v>Argentina</v>
      </c>
      <c r="H1112" s="3" t="str">
        <f>VLOOKUP(Registros[[#This Row],[Producto]],Producto[],2,FALSE)</f>
        <v>CHOTUS</v>
      </c>
    </row>
    <row r="1113" spans="1:8" ht="20.100000000000001" customHeight="1" x14ac:dyDescent="0.25">
      <c r="A1113" s="3" t="s">
        <v>191</v>
      </c>
      <c r="B1113" s="3" t="s">
        <v>263</v>
      </c>
      <c r="C1113" s="3">
        <v>2022</v>
      </c>
      <c r="D1113" s="4">
        <v>3</v>
      </c>
      <c r="E1113" s="5">
        <v>728</v>
      </c>
      <c r="F1113" s="5">
        <v>564.71</v>
      </c>
      <c r="G1113" s="3" t="str">
        <f>VLOOKUP(Registros[[#This Row],[Cliente]],Cliente_Region[],2,FALSE)</f>
        <v>Argentina</v>
      </c>
      <c r="H1113" s="3" t="str">
        <f>VLOOKUP(Registros[[#This Row],[Producto]],Producto[],2,FALSE)</f>
        <v>SALF</v>
      </c>
    </row>
    <row r="1114" spans="1:8" ht="20.100000000000001" customHeight="1" x14ac:dyDescent="0.25">
      <c r="A1114" s="3" t="s">
        <v>48</v>
      </c>
      <c r="B1114" s="3" t="s">
        <v>272</v>
      </c>
      <c r="C1114" s="3">
        <v>2022</v>
      </c>
      <c r="D1114" s="4">
        <v>1</v>
      </c>
      <c r="E1114" s="5">
        <v>640</v>
      </c>
      <c r="F1114" s="5">
        <v>379</v>
      </c>
      <c r="G1114" s="3" t="str">
        <f>VLOOKUP(Registros[[#This Row],[Cliente]],Cliente_Region[],2,FALSE)</f>
        <v>Canada</v>
      </c>
      <c r="H1114" s="3" t="str">
        <f>VLOOKUP(Registros[[#This Row],[Producto]],Producto[],2,FALSE)</f>
        <v>GAMBO</v>
      </c>
    </row>
    <row r="1115" spans="1:8" ht="20.100000000000001" customHeight="1" x14ac:dyDescent="0.25">
      <c r="A1115" s="3" t="s">
        <v>49</v>
      </c>
      <c r="B1115" s="3" t="s">
        <v>272</v>
      </c>
      <c r="C1115" s="3">
        <v>2022</v>
      </c>
      <c r="D1115" s="4">
        <v>2</v>
      </c>
      <c r="E1115" s="5">
        <v>800</v>
      </c>
      <c r="F1115" s="5">
        <v>473.75</v>
      </c>
      <c r="G1115" s="3" t="str">
        <f>VLOOKUP(Registros[[#This Row],[Cliente]],Cliente_Region[],2,FALSE)</f>
        <v>Canada</v>
      </c>
      <c r="H1115" s="3" t="str">
        <f>VLOOKUP(Registros[[#This Row],[Producto]],Producto[],2,FALSE)</f>
        <v>CHOTUS</v>
      </c>
    </row>
    <row r="1116" spans="1:8" ht="20.100000000000001" customHeight="1" x14ac:dyDescent="0.25">
      <c r="A1116" s="3" t="s">
        <v>49</v>
      </c>
      <c r="B1116" s="3" t="s">
        <v>272</v>
      </c>
      <c r="C1116" s="3">
        <v>2022</v>
      </c>
      <c r="D1116" s="4">
        <v>3</v>
      </c>
      <c r="E1116" s="5">
        <v>720</v>
      </c>
      <c r="F1116" s="5">
        <v>426.37</v>
      </c>
      <c r="G1116" s="3" t="str">
        <f>VLOOKUP(Registros[[#This Row],[Cliente]],Cliente_Region[],2,FALSE)</f>
        <v>Canada</v>
      </c>
      <c r="H1116" s="3" t="str">
        <f>VLOOKUP(Registros[[#This Row],[Producto]],Producto[],2,FALSE)</f>
        <v>CHOTUS</v>
      </c>
    </row>
    <row r="1117" spans="1:8" ht="20.100000000000001" customHeight="1" x14ac:dyDescent="0.25">
      <c r="A1117" s="3" t="s">
        <v>49</v>
      </c>
      <c r="B1117" s="3" t="s">
        <v>272</v>
      </c>
      <c r="C1117" s="3">
        <v>2022</v>
      </c>
      <c r="D1117" s="4">
        <v>4</v>
      </c>
      <c r="E1117" s="5">
        <v>800</v>
      </c>
      <c r="F1117" s="5">
        <v>473.74</v>
      </c>
      <c r="G1117" s="3" t="str">
        <f>VLOOKUP(Registros[[#This Row],[Cliente]],Cliente_Region[],2,FALSE)</f>
        <v>Canada</v>
      </c>
      <c r="H1117" s="3" t="str">
        <f>VLOOKUP(Registros[[#This Row],[Producto]],Producto[],2,FALSE)</f>
        <v>CHOTUS</v>
      </c>
    </row>
    <row r="1118" spans="1:8" ht="20.100000000000001" customHeight="1" x14ac:dyDescent="0.25">
      <c r="A1118" s="3" t="s">
        <v>49</v>
      </c>
      <c r="B1118" s="3" t="s">
        <v>272</v>
      </c>
      <c r="C1118" s="3">
        <v>2022</v>
      </c>
      <c r="D1118" s="4">
        <v>5</v>
      </c>
      <c r="E1118" s="5">
        <v>640</v>
      </c>
      <c r="F1118" s="5">
        <v>379</v>
      </c>
      <c r="G1118" s="3" t="str">
        <f>VLOOKUP(Registros[[#This Row],[Cliente]],Cliente_Region[],2,FALSE)</f>
        <v>Canada</v>
      </c>
      <c r="H1118" s="3" t="str">
        <f>VLOOKUP(Registros[[#This Row],[Producto]],Producto[],2,FALSE)</f>
        <v>CHOTUS</v>
      </c>
    </row>
    <row r="1119" spans="1:8" ht="20.100000000000001" customHeight="1" x14ac:dyDescent="0.25">
      <c r="A1119" s="3" t="s">
        <v>49</v>
      </c>
      <c r="B1119" s="3" t="s">
        <v>272</v>
      </c>
      <c r="C1119" s="3">
        <v>2022</v>
      </c>
      <c r="D1119" s="4">
        <v>6</v>
      </c>
      <c r="E1119" s="5">
        <v>880</v>
      </c>
      <c r="F1119" s="5">
        <v>521.12</v>
      </c>
      <c r="G1119" s="3" t="str">
        <f>VLOOKUP(Registros[[#This Row],[Cliente]],Cliente_Region[],2,FALSE)</f>
        <v>Canada</v>
      </c>
      <c r="H1119" s="3" t="str">
        <f>VLOOKUP(Registros[[#This Row],[Producto]],Producto[],2,FALSE)</f>
        <v>CHOTUS</v>
      </c>
    </row>
    <row r="1120" spans="1:8" ht="20.100000000000001" customHeight="1" x14ac:dyDescent="0.25">
      <c r="A1120" s="3" t="s">
        <v>24</v>
      </c>
      <c r="B1120" s="3" t="s">
        <v>273</v>
      </c>
      <c r="C1120" s="3">
        <v>2022</v>
      </c>
      <c r="D1120" s="4">
        <v>1</v>
      </c>
      <c r="E1120" s="5">
        <v>325.5</v>
      </c>
      <c r="F1120" s="5">
        <v>152.33000000000001</v>
      </c>
      <c r="G1120" s="3" t="str">
        <f>VLOOKUP(Registros[[#This Row],[Cliente]],Cliente_Region[],2,FALSE)</f>
        <v>Mexico</v>
      </c>
      <c r="H1120" s="3" t="str">
        <f>VLOOKUP(Registros[[#This Row],[Producto]],Producto[],2,FALSE)</f>
        <v>GAMBO</v>
      </c>
    </row>
    <row r="1121" spans="1:8" ht="20.100000000000001" customHeight="1" x14ac:dyDescent="0.25">
      <c r="A1121" s="3" t="s">
        <v>25</v>
      </c>
      <c r="B1121" s="3" t="s">
        <v>273</v>
      </c>
      <c r="C1121" s="3">
        <v>2022</v>
      </c>
      <c r="D1121" s="4">
        <v>2</v>
      </c>
      <c r="E1121" s="5">
        <v>210.5</v>
      </c>
      <c r="F1121" s="5">
        <v>110.25</v>
      </c>
      <c r="G1121" s="3" t="str">
        <f>VLOOKUP(Registros[[#This Row],[Cliente]],Cliente_Region[],2,FALSE)</f>
        <v>Mexico</v>
      </c>
      <c r="H1121" s="3" t="str">
        <f>VLOOKUP(Registros[[#This Row],[Producto]],Producto[],2,FALSE)</f>
        <v>MOC</v>
      </c>
    </row>
    <row r="1122" spans="1:8" ht="20.100000000000001" customHeight="1" x14ac:dyDescent="0.25">
      <c r="A1122" s="3" t="s">
        <v>25</v>
      </c>
      <c r="B1122" s="3" t="s">
        <v>273</v>
      </c>
      <c r="C1122" s="3">
        <v>2022</v>
      </c>
      <c r="D1122" s="4">
        <v>3</v>
      </c>
      <c r="E1122" s="5">
        <v>192.5</v>
      </c>
      <c r="F1122" s="5">
        <v>92.24</v>
      </c>
      <c r="G1122" s="3" t="str">
        <f>VLOOKUP(Registros[[#This Row],[Cliente]],Cliente_Region[],2,FALSE)</f>
        <v>Mexico</v>
      </c>
      <c r="H1122" s="3" t="str">
        <f>VLOOKUP(Registros[[#This Row],[Producto]],Producto[],2,FALSE)</f>
        <v>MOC</v>
      </c>
    </row>
    <row r="1123" spans="1:8" ht="20.100000000000001" customHeight="1" x14ac:dyDescent="0.25">
      <c r="A1123" s="3" t="s">
        <v>25</v>
      </c>
      <c r="B1123" s="3" t="s">
        <v>273</v>
      </c>
      <c r="C1123" s="3">
        <v>2022</v>
      </c>
      <c r="D1123" s="4">
        <v>4</v>
      </c>
      <c r="E1123" s="5">
        <v>237</v>
      </c>
      <c r="F1123" s="5">
        <v>127.63</v>
      </c>
      <c r="G1123" s="3" t="str">
        <f>VLOOKUP(Registros[[#This Row],[Cliente]],Cliente_Region[],2,FALSE)</f>
        <v>Mexico</v>
      </c>
      <c r="H1123" s="3" t="str">
        <f>VLOOKUP(Registros[[#This Row],[Producto]],Producto[],2,FALSE)</f>
        <v>MOC</v>
      </c>
    </row>
    <row r="1124" spans="1:8" ht="20.100000000000001" customHeight="1" x14ac:dyDescent="0.25">
      <c r="A1124" s="3" t="s">
        <v>25</v>
      </c>
      <c r="B1124" s="3" t="s">
        <v>273</v>
      </c>
      <c r="C1124" s="3">
        <v>2022</v>
      </c>
      <c r="D1124" s="4">
        <v>5</v>
      </c>
      <c r="E1124" s="5">
        <v>335.75</v>
      </c>
      <c r="F1124" s="5">
        <v>180.81</v>
      </c>
      <c r="G1124" s="3" t="str">
        <f>VLOOKUP(Registros[[#This Row],[Cliente]],Cliente_Region[],2,FALSE)</f>
        <v>Mexico</v>
      </c>
      <c r="H1124" s="3" t="str">
        <f>VLOOKUP(Registros[[#This Row],[Producto]],Producto[],2,FALSE)</f>
        <v>MOC</v>
      </c>
    </row>
    <row r="1125" spans="1:8" ht="20.100000000000001" customHeight="1" x14ac:dyDescent="0.25">
      <c r="A1125" s="3" t="s">
        <v>25</v>
      </c>
      <c r="B1125" s="3" t="s">
        <v>273</v>
      </c>
      <c r="C1125" s="3">
        <v>2022</v>
      </c>
      <c r="D1125" s="4">
        <v>6</v>
      </c>
      <c r="E1125" s="5">
        <v>59.25</v>
      </c>
      <c r="F1125" s="5">
        <v>31.91</v>
      </c>
      <c r="G1125" s="3" t="str">
        <f>VLOOKUP(Registros[[#This Row],[Cliente]],Cliente_Region[],2,FALSE)</f>
        <v>Mexico</v>
      </c>
      <c r="H1125" s="3" t="str">
        <f>VLOOKUP(Registros[[#This Row],[Producto]],Producto[],2,FALSE)</f>
        <v>MOC</v>
      </c>
    </row>
    <row r="1126" spans="1:8" ht="20.100000000000001" customHeight="1" x14ac:dyDescent="0.25">
      <c r="A1126" s="3" t="s">
        <v>222</v>
      </c>
      <c r="B1126" s="3" t="s">
        <v>274</v>
      </c>
      <c r="C1126" s="3">
        <v>2022</v>
      </c>
      <c r="D1126" s="4">
        <v>5</v>
      </c>
      <c r="E1126" s="5">
        <v>130.80000000000001</v>
      </c>
      <c r="F1126" s="5">
        <v>40.26</v>
      </c>
      <c r="G1126" s="3" t="str">
        <f>VLOOKUP(Registros[[#This Row],[Cliente]],Cliente_Region[],2,FALSE)</f>
        <v>Canada</v>
      </c>
      <c r="H1126" s="3" t="str">
        <f>VLOOKUP(Registros[[#This Row],[Producto]],Producto[],2,FALSE)</f>
        <v>MOC</v>
      </c>
    </row>
    <row r="1127" spans="1:8" ht="20.100000000000001" customHeight="1" x14ac:dyDescent="0.25">
      <c r="A1127" s="3" t="s">
        <v>118</v>
      </c>
      <c r="B1127" s="3" t="s">
        <v>274</v>
      </c>
      <c r="C1127" s="3">
        <v>2022</v>
      </c>
      <c r="D1127" s="4">
        <v>1</v>
      </c>
      <c r="E1127" s="5">
        <v>2650</v>
      </c>
      <c r="F1127" s="5">
        <v>1716.75</v>
      </c>
      <c r="G1127" s="3" t="str">
        <f>VLOOKUP(Registros[[#This Row],[Cliente]],Cliente_Region[],2,FALSE)</f>
        <v>Canada</v>
      </c>
      <c r="H1127" s="3" t="str">
        <f>VLOOKUP(Registros[[#This Row],[Producto]],Producto[],2,FALSE)</f>
        <v>GAMBO</v>
      </c>
    </row>
    <row r="1128" spans="1:8" ht="20.100000000000001" customHeight="1" x14ac:dyDescent="0.25">
      <c r="A1128" s="3" t="s">
        <v>119</v>
      </c>
      <c r="B1128" s="3" t="s">
        <v>274</v>
      </c>
      <c r="C1128" s="3">
        <v>2022</v>
      </c>
      <c r="D1128" s="4">
        <v>2</v>
      </c>
      <c r="E1128" s="5">
        <v>2695</v>
      </c>
      <c r="F1128" s="5">
        <v>1761.75</v>
      </c>
      <c r="G1128" s="3" t="str">
        <f>VLOOKUP(Registros[[#This Row],[Cliente]],Cliente_Region[],2,FALSE)</f>
        <v>Canada</v>
      </c>
      <c r="H1128" s="3" t="str">
        <f>VLOOKUP(Registros[[#This Row],[Producto]],Producto[],2,FALSE)</f>
        <v>GAMBO</v>
      </c>
    </row>
    <row r="1129" spans="1:8" ht="20.100000000000001" customHeight="1" x14ac:dyDescent="0.25">
      <c r="A1129" s="3" t="s">
        <v>119</v>
      </c>
      <c r="B1129" s="3" t="s">
        <v>274</v>
      </c>
      <c r="C1129" s="3">
        <v>2022</v>
      </c>
      <c r="D1129" s="4">
        <v>3</v>
      </c>
      <c r="E1129" s="5">
        <v>1740</v>
      </c>
      <c r="F1129" s="5">
        <v>1180.05</v>
      </c>
      <c r="G1129" s="3" t="str">
        <f>VLOOKUP(Registros[[#This Row],[Cliente]],Cliente_Region[],2,FALSE)</f>
        <v>Canada</v>
      </c>
      <c r="H1129" s="3" t="str">
        <f>VLOOKUP(Registros[[#This Row],[Producto]],Producto[],2,FALSE)</f>
        <v>GAMBO</v>
      </c>
    </row>
    <row r="1130" spans="1:8" ht="20.100000000000001" customHeight="1" x14ac:dyDescent="0.25">
      <c r="A1130" s="3" t="s">
        <v>119</v>
      </c>
      <c r="B1130" s="3" t="s">
        <v>274</v>
      </c>
      <c r="C1130" s="3">
        <v>2022</v>
      </c>
      <c r="D1130" s="4">
        <v>4</v>
      </c>
      <c r="E1130" s="5">
        <v>3480</v>
      </c>
      <c r="F1130" s="5">
        <v>2360.1</v>
      </c>
      <c r="G1130" s="3" t="str">
        <f>VLOOKUP(Registros[[#This Row],[Cliente]],Cliente_Region[],2,FALSE)</f>
        <v>Canada</v>
      </c>
      <c r="H1130" s="3" t="str">
        <f>VLOOKUP(Registros[[#This Row],[Producto]],Producto[],2,FALSE)</f>
        <v>GAMBO</v>
      </c>
    </row>
    <row r="1131" spans="1:8" ht="20.100000000000001" customHeight="1" x14ac:dyDescent="0.25">
      <c r="A1131" s="3" t="s">
        <v>119</v>
      </c>
      <c r="B1131" s="3" t="s">
        <v>274</v>
      </c>
      <c r="C1131" s="3">
        <v>2022</v>
      </c>
      <c r="D1131" s="4">
        <v>5</v>
      </c>
      <c r="E1131" s="5">
        <v>3596</v>
      </c>
      <c r="F1131" s="5">
        <v>2438.77</v>
      </c>
      <c r="G1131" s="3" t="str">
        <f>VLOOKUP(Registros[[#This Row],[Cliente]],Cliente_Region[],2,FALSE)</f>
        <v>Canada</v>
      </c>
      <c r="H1131" s="3" t="str">
        <f>VLOOKUP(Registros[[#This Row],[Producto]],Producto[],2,FALSE)</f>
        <v>GAMBO</v>
      </c>
    </row>
    <row r="1132" spans="1:8" ht="20.100000000000001" customHeight="1" x14ac:dyDescent="0.25">
      <c r="A1132" s="3" t="s">
        <v>119</v>
      </c>
      <c r="B1132" s="3" t="s">
        <v>274</v>
      </c>
      <c r="C1132" s="3">
        <v>2022</v>
      </c>
      <c r="D1132" s="4">
        <v>6</v>
      </c>
      <c r="E1132" s="5">
        <v>3132</v>
      </c>
      <c r="F1132" s="5">
        <v>2124.0700000000002</v>
      </c>
      <c r="G1132" s="3" t="str">
        <f>VLOOKUP(Registros[[#This Row],[Cliente]],Cliente_Region[],2,FALSE)</f>
        <v>Canada</v>
      </c>
      <c r="H1132" s="3" t="str">
        <f>VLOOKUP(Registros[[#This Row],[Producto]],Producto[],2,FALSE)</f>
        <v>GAMBO</v>
      </c>
    </row>
    <row r="1133" spans="1:8" ht="20.100000000000001" customHeight="1" x14ac:dyDescent="0.25">
      <c r="A1133" s="3" t="s">
        <v>70</v>
      </c>
      <c r="B1133" s="3" t="s">
        <v>275</v>
      </c>
      <c r="C1133" s="3">
        <v>2022</v>
      </c>
      <c r="D1133" s="4">
        <v>1</v>
      </c>
      <c r="E1133" s="5">
        <v>2041.25</v>
      </c>
      <c r="F1133" s="5">
        <v>268.43</v>
      </c>
      <c r="G1133" s="3" t="str">
        <f>VLOOKUP(Registros[[#This Row],[Cliente]],Cliente_Region[],2,FALSE)</f>
        <v>Chile</v>
      </c>
      <c r="H1133" s="3" t="str">
        <f>VLOOKUP(Registros[[#This Row],[Producto]],Producto[],2,FALSE)</f>
        <v>LAX</v>
      </c>
    </row>
    <row r="1134" spans="1:8" ht="20.100000000000001" customHeight="1" x14ac:dyDescent="0.25">
      <c r="A1134" s="3" t="s">
        <v>71</v>
      </c>
      <c r="B1134" s="3" t="s">
        <v>275</v>
      </c>
      <c r="C1134" s="3">
        <v>2022</v>
      </c>
      <c r="D1134" s="4">
        <v>2</v>
      </c>
      <c r="E1134" s="5">
        <v>2100</v>
      </c>
      <c r="F1134" s="5">
        <v>511.31</v>
      </c>
      <c r="G1134" s="3" t="str">
        <f>VLOOKUP(Registros[[#This Row],[Cliente]],Cliente_Region[],2,FALSE)</f>
        <v>Chile</v>
      </c>
      <c r="H1134" s="3" t="str">
        <f>VLOOKUP(Registros[[#This Row],[Producto]],Producto[],2,FALSE)</f>
        <v>DONANY</v>
      </c>
    </row>
    <row r="1135" spans="1:8" ht="20.100000000000001" customHeight="1" x14ac:dyDescent="0.25">
      <c r="A1135" s="3" t="s">
        <v>71</v>
      </c>
      <c r="B1135" s="3" t="s">
        <v>275</v>
      </c>
      <c r="C1135" s="3">
        <v>2022</v>
      </c>
      <c r="D1135" s="4">
        <v>3</v>
      </c>
      <c r="E1135" s="5">
        <v>3360</v>
      </c>
      <c r="F1135" s="5">
        <v>911.24</v>
      </c>
      <c r="G1135" s="3" t="str">
        <f>VLOOKUP(Registros[[#This Row],[Cliente]],Cliente_Region[],2,FALSE)</f>
        <v>Chile</v>
      </c>
      <c r="H1135" s="3" t="str">
        <f>VLOOKUP(Registros[[#This Row],[Producto]],Producto[],2,FALSE)</f>
        <v>DONANY</v>
      </c>
    </row>
    <row r="1136" spans="1:8" ht="20.100000000000001" customHeight="1" x14ac:dyDescent="0.25">
      <c r="A1136" s="3" t="s">
        <v>71</v>
      </c>
      <c r="B1136" s="3" t="s">
        <v>275</v>
      </c>
      <c r="C1136" s="3">
        <v>2022</v>
      </c>
      <c r="D1136" s="4">
        <v>5</v>
      </c>
      <c r="E1136" s="5">
        <v>100</v>
      </c>
      <c r="F1136" s="5">
        <v>23.42</v>
      </c>
      <c r="G1136" s="3" t="str">
        <f>VLOOKUP(Registros[[#This Row],[Cliente]],Cliente_Region[],2,FALSE)</f>
        <v>Chile</v>
      </c>
      <c r="H1136" s="3" t="str">
        <f>VLOOKUP(Registros[[#This Row],[Producto]],Producto[],2,FALSE)</f>
        <v>DONANY</v>
      </c>
    </row>
    <row r="1137" spans="1:8" ht="20.100000000000001" customHeight="1" x14ac:dyDescent="0.25">
      <c r="A1137" s="3" t="s">
        <v>276</v>
      </c>
      <c r="B1137" s="3" t="s">
        <v>275</v>
      </c>
      <c r="C1137" s="3">
        <v>2022</v>
      </c>
      <c r="D1137" s="4">
        <v>1</v>
      </c>
      <c r="E1137" s="5">
        <v>60</v>
      </c>
      <c r="F1137" s="5">
        <v>27.85</v>
      </c>
      <c r="G1137" s="3" t="str">
        <f>VLOOKUP(Registros[[#This Row],[Cliente]],Cliente_Region[],2,FALSE)</f>
        <v>Chile</v>
      </c>
      <c r="H1137" s="3" t="str">
        <f>VLOOKUP(Registros[[#This Row],[Producto]],Producto[],2,FALSE)</f>
        <v>MOC</v>
      </c>
    </row>
    <row r="1138" spans="1:8" ht="20.100000000000001" customHeight="1" x14ac:dyDescent="0.25">
      <c r="A1138" s="3" t="s">
        <v>277</v>
      </c>
      <c r="B1138" s="3" t="s">
        <v>275</v>
      </c>
      <c r="C1138" s="3">
        <v>2022</v>
      </c>
      <c r="D1138" s="4">
        <v>2</v>
      </c>
      <c r="E1138" s="5">
        <v>30</v>
      </c>
      <c r="F1138" s="5">
        <v>14.02</v>
      </c>
      <c r="G1138" s="3" t="str">
        <f>VLOOKUP(Registros[[#This Row],[Cliente]],Cliente_Region[],2,FALSE)</f>
        <v>Chile</v>
      </c>
      <c r="H1138" s="3" t="str">
        <f>VLOOKUP(Registros[[#This Row],[Producto]],Producto[],2,FALSE)</f>
        <v>LAX</v>
      </c>
    </row>
    <row r="1139" spans="1:8" ht="20.100000000000001" customHeight="1" x14ac:dyDescent="0.25">
      <c r="A1139" s="3" t="s">
        <v>277</v>
      </c>
      <c r="B1139" s="3" t="s">
        <v>275</v>
      </c>
      <c r="C1139" s="3">
        <v>2022</v>
      </c>
      <c r="D1139" s="4">
        <v>3</v>
      </c>
      <c r="E1139" s="5">
        <v>60</v>
      </c>
      <c r="F1139" s="5">
        <v>28.04</v>
      </c>
      <c r="G1139" s="3" t="str">
        <f>VLOOKUP(Registros[[#This Row],[Cliente]],Cliente_Region[],2,FALSE)</f>
        <v>Chile</v>
      </c>
      <c r="H1139" s="3" t="str">
        <f>VLOOKUP(Registros[[#This Row],[Producto]],Producto[],2,FALSE)</f>
        <v>LAX</v>
      </c>
    </row>
    <row r="1140" spans="1:8" ht="20.100000000000001" customHeight="1" x14ac:dyDescent="0.25">
      <c r="A1140" s="3" t="s">
        <v>277</v>
      </c>
      <c r="B1140" s="3" t="s">
        <v>275</v>
      </c>
      <c r="C1140" s="3">
        <v>2022</v>
      </c>
      <c r="D1140" s="4">
        <v>5</v>
      </c>
      <c r="E1140" s="5">
        <v>30</v>
      </c>
      <c r="F1140" s="5">
        <v>14.03</v>
      </c>
      <c r="G1140" s="3" t="str">
        <f>VLOOKUP(Registros[[#This Row],[Cliente]],Cliente_Region[],2,FALSE)</f>
        <v>Chile</v>
      </c>
      <c r="H1140" s="3" t="str">
        <f>VLOOKUP(Registros[[#This Row],[Producto]],Producto[],2,FALSE)</f>
        <v>LAX</v>
      </c>
    </row>
    <row r="1141" spans="1:8" ht="20.100000000000001" customHeight="1" x14ac:dyDescent="0.25">
      <c r="A1141" s="3" t="s">
        <v>191</v>
      </c>
      <c r="B1141" s="3" t="s">
        <v>275</v>
      </c>
      <c r="C1141" s="3">
        <v>2022</v>
      </c>
      <c r="D1141" s="4">
        <v>1</v>
      </c>
      <c r="E1141" s="5">
        <v>41</v>
      </c>
      <c r="F1141" s="5">
        <v>9.42</v>
      </c>
      <c r="G1141" s="3" t="str">
        <f>VLOOKUP(Registros[[#This Row],[Cliente]],Cliente_Region[],2,FALSE)</f>
        <v>Chile</v>
      </c>
      <c r="H1141" s="3" t="str">
        <f>VLOOKUP(Registros[[#This Row],[Producto]],Producto[],2,FALSE)</f>
        <v>SALF</v>
      </c>
    </row>
    <row r="1142" spans="1:8" ht="20.100000000000001" customHeight="1" x14ac:dyDescent="0.25">
      <c r="A1142" s="3" t="s">
        <v>192</v>
      </c>
      <c r="B1142" s="3" t="s">
        <v>275</v>
      </c>
      <c r="C1142" s="3">
        <v>2022</v>
      </c>
      <c r="D1142" s="4">
        <v>2</v>
      </c>
      <c r="E1142" s="5">
        <v>82</v>
      </c>
      <c r="F1142" s="5">
        <v>26.77</v>
      </c>
      <c r="G1142" s="3" t="str">
        <f>VLOOKUP(Registros[[#This Row],[Cliente]],Cliente_Region[],2,FALSE)</f>
        <v>Chile</v>
      </c>
      <c r="H1142" s="3" t="str">
        <f>VLOOKUP(Registros[[#This Row],[Producto]],Producto[],2,FALSE)</f>
        <v>SALF</v>
      </c>
    </row>
    <row r="1143" spans="1:8" ht="20.100000000000001" customHeight="1" x14ac:dyDescent="0.25">
      <c r="A1143" s="3" t="s">
        <v>192</v>
      </c>
      <c r="B1143" s="3" t="s">
        <v>275</v>
      </c>
      <c r="C1143" s="3">
        <v>2022</v>
      </c>
      <c r="D1143" s="4">
        <v>5</v>
      </c>
      <c r="E1143" s="5">
        <v>205</v>
      </c>
      <c r="F1143" s="5">
        <v>134.91</v>
      </c>
      <c r="G1143" s="3" t="str">
        <f>VLOOKUP(Registros[[#This Row],[Cliente]],Cliente_Region[],2,FALSE)</f>
        <v>Chile</v>
      </c>
      <c r="H1143" s="3" t="str">
        <f>VLOOKUP(Registros[[#This Row],[Producto]],Producto[],2,FALSE)</f>
        <v>SALF</v>
      </c>
    </row>
    <row r="1144" spans="1:8" ht="20.100000000000001" customHeight="1" x14ac:dyDescent="0.25">
      <c r="A1144" s="3" t="s">
        <v>118</v>
      </c>
      <c r="B1144" s="3" t="s">
        <v>278</v>
      </c>
      <c r="C1144" s="3">
        <v>2022</v>
      </c>
      <c r="D1144" s="4">
        <v>1</v>
      </c>
      <c r="E1144" s="5">
        <v>520</v>
      </c>
      <c r="F1144" s="5">
        <v>333.35</v>
      </c>
      <c r="G1144" s="3" t="str">
        <f>VLOOKUP(Registros[[#This Row],[Cliente]],Cliente_Region[],2,FALSE)</f>
        <v>Canada</v>
      </c>
      <c r="H1144" s="3" t="str">
        <f>VLOOKUP(Registros[[#This Row],[Producto]],Producto[],2,FALSE)</f>
        <v>GAMBO</v>
      </c>
    </row>
    <row r="1145" spans="1:8" ht="20.100000000000001" customHeight="1" x14ac:dyDescent="0.25">
      <c r="A1145" s="3" t="s">
        <v>119</v>
      </c>
      <c r="B1145" s="3" t="s">
        <v>278</v>
      </c>
      <c r="C1145" s="3">
        <v>2022</v>
      </c>
      <c r="D1145" s="4">
        <v>3</v>
      </c>
      <c r="E1145" s="5">
        <v>832</v>
      </c>
      <c r="F1145" s="5">
        <v>533.36</v>
      </c>
      <c r="G1145" s="3" t="str">
        <f>VLOOKUP(Registros[[#This Row],[Cliente]],Cliente_Region[],2,FALSE)</f>
        <v>Canada</v>
      </c>
      <c r="H1145" s="3" t="str">
        <f>VLOOKUP(Registros[[#This Row],[Producto]],Producto[],2,FALSE)</f>
        <v>GAMBO</v>
      </c>
    </row>
    <row r="1146" spans="1:8" ht="20.100000000000001" customHeight="1" x14ac:dyDescent="0.25">
      <c r="A1146" s="3" t="s">
        <v>13</v>
      </c>
      <c r="B1146" s="3" t="s">
        <v>279</v>
      </c>
      <c r="C1146" s="3">
        <v>2022</v>
      </c>
      <c r="D1146" s="4">
        <v>1</v>
      </c>
      <c r="E1146" s="5">
        <v>44.55</v>
      </c>
      <c r="F1146" s="5">
        <v>16.309999999999999</v>
      </c>
      <c r="G1146" s="3" t="str">
        <f>VLOOKUP(Registros[[#This Row],[Cliente]],Cliente_Region[],2,FALSE)</f>
        <v>Mexico</v>
      </c>
      <c r="H1146" s="3" t="str">
        <f>VLOOKUP(Registros[[#This Row],[Producto]],Producto[],2,FALSE)</f>
        <v>DAWNE</v>
      </c>
    </row>
    <row r="1147" spans="1:8" ht="20.100000000000001" customHeight="1" x14ac:dyDescent="0.25">
      <c r="A1147" s="3" t="s">
        <v>280</v>
      </c>
      <c r="B1147" s="3" t="s">
        <v>279</v>
      </c>
      <c r="C1147" s="3">
        <v>2022</v>
      </c>
      <c r="D1147" s="4">
        <v>1</v>
      </c>
      <c r="E1147" s="5">
        <v>252.4</v>
      </c>
      <c r="F1147" s="5">
        <v>121.29</v>
      </c>
      <c r="G1147" s="3" t="str">
        <f>VLOOKUP(Registros[[#This Row],[Cliente]],Cliente_Region[],2,FALSE)</f>
        <v>Mexico</v>
      </c>
      <c r="H1147" s="3" t="str">
        <f>VLOOKUP(Registros[[#This Row],[Producto]],Producto[],2,FALSE)</f>
        <v>CHOTUS</v>
      </c>
    </row>
    <row r="1148" spans="1:8" ht="20.100000000000001" customHeight="1" x14ac:dyDescent="0.25">
      <c r="A1148" s="3" t="s">
        <v>281</v>
      </c>
      <c r="B1148" s="3" t="s">
        <v>279</v>
      </c>
      <c r="C1148" s="3">
        <v>2022</v>
      </c>
      <c r="D1148" s="4">
        <v>2</v>
      </c>
      <c r="E1148" s="5">
        <v>76.099999999999994</v>
      </c>
      <c r="F1148" s="5">
        <v>38.64</v>
      </c>
      <c r="G1148" s="3" t="str">
        <f>VLOOKUP(Registros[[#This Row],[Cliente]],Cliente_Region[],2,FALSE)</f>
        <v>Mexico</v>
      </c>
      <c r="H1148" s="3" t="str">
        <f>VLOOKUP(Registros[[#This Row],[Producto]],Producto[],2,FALSE)</f>
        <v>SALF</v>
      </c>
    </row>
    <row r="1149" spans="1:8" ht="20.100000000000001" customHeight="1" x14ac:dyDescent="0.25">
      <c r="A1149" s="3" t="s">
        <v>282</v>
      </c>
      <c r="B1149" s="3" t="s">
        <v>279</v>
      </c>
      <c r="C1149" s="3">
        <v>2022</v>
      </c>
      <c r="D1149" s="4">
        <v>1</v>
      </c>
      <c r="E1149" s="5">
        <v>210</v>
      </c>
      <c r="F1149" s="5">
        <v>111.79</v>
      </c>
      <c r="G1149" s="3" t="str">
        <f>VLOOKUP(Registros[[#This Row],[Cliente]],Cliente_Region[],2,FALSE)</f>
        <v>Mexico</v>
      </c>
      <c r="H1149" s="3" t="str">
        <f>VLOOKUP(Registros[[#This Row],[Producto]],Producto[],2,FALSE)</f>
        <v>DAWNE</v>
      </c>
    </row>
    <row r="1150" spans="1:8" ht="20.100000000000001" customHeight="1" x14ac:dyDescent="0.25">
      <c r="A1150" s="3" t="s">
        <v>114</v>
      </c>
      <c r="B1150" s="3" t="s">
        <v>279</v>
      </c>
      <c r="C1150" s="3">
        <v>2022</v>
      </c>
      <c r="D1150" s="4">
        <v>2</v>
      </c>
      <c r="E1150" s="5">
        <v>67</v>
      </c>
      <c r="F1150" s="5">
        <v>38.94</v>
      </c>
      <c r="G1150" s="3" t="str">
        <f>VLOOKUP(Registros[[#This Row],[Cliente]],Cliente_Region[],2,FALSE)</f>
        <v>Mexico</v>
      </c>
      <c r="H1150" s="3" t="str">
        <f>VLOOKUP(Registros[[#This Row],[Producto]],Producto[],2,FALSE)</f>
        <v>DAWNE</v>
      </c>
    </row>
    <row r="1151" spans="1:8" ht="20.100000000000001" customHeight="1" x14ac:dyDescent="0.25">
      <c r="A1151" s="3" t="s">
        <v>135</v>
      </c>
      <c r="B1151" s="3" t="s">
        <v>279</v>
      </c>
      <c r="C1151" s="3">
        <v>2022</v>
      </c>
      <c r="D1151" s="4">
        <v>1</v>
      </c>
      <c r="E1151" s="5">
        <v>425.25</v>
      </c>
      <c r="F1151" s="5">
        <v>282.83999999999997</v>
      </c>
      <c r="G1151" s="3" t="str">
        <f>VLOOKUP(Registros[[#This Row],[Cliente]],Cliente_Region[],2,FALSE)</f>
        <v>Mexico</v>
      </c>
      <c r="H1151" s="3" t="str">
        <f>VLOOKUP(Registros[[#This Row],[Producto]],Producto[],2,FALSE)</f>
        <v>GAMBO</v>
      </c>
    </row>
    <row r="1152" spans="1:8" ht="20.100000000000001" customHeight="1" x14ac:dyDescent="0.25">
      <c r="A1152" s="3" t="s">
        <v>93</v>
      </c>
      <c r="B1152" s="3" t="s">
        <v>279</v>
      </c>
      <c r="C1152" s="3">
        <v>2022</v>
      </c>
      <c r="D1152" s="4">
        <v>2</v>
      </c>
      <c r="E1152" s="5">
        <v>101.25</v>
      </c>
      <c r="F1152" s="5">
        <v>60.81</v>
      </c>
      <c r="G1152" s="3" t="str">
        <f>VLOOKUP(Registros[[#This Row],[Cliente]],Cliente_Region[],2,FALSE)</f>
        <v>Mexico</v>
      </c>
      <c r="H1152" s="3" t="str">
        <f>VLOOKUP(Registros[[#This Row],[Producto]],Producto[],2,FALSE)</f>
        <v>GAMBO</v>
      </c>
    </row>
    <row r="1153" spans="1:8" ht="20.100000000000001" customHeight="1" x14ac:dyDescent="0.25">
      <c r="A1153" s="3" t="s">
        <v>136</v>
      </c>
      <c r="B1153" s="3" t="s">
        <v>279</v>
      </c>
      <c r="C1153" s="3">
        <v>2022</v>
      </c>
      <c r="D1153" s="4">
        <v>1</v>
      </c>
      <c r="E1153" s="5">
        <v>405.75</v>
      </c>
      <c r="F1153" s="5">
        <v>144.02000000000001</v>
      </c>
      <c r="G1153" s="3" t="str">
        <f>VLOOKUP(Registros[[#This Row],[Cliente]],Cliente_Region[],2,FALSE)</f>
        <v>Mexico</v>
      </c>
      <c r="H1153" s="3" t="str">
        <f>VLOOKUP(Registros[[#This Row],[Producto]],Producto[],2,FALSE)</f>
        <v>CHOTUS</v>
      </c>
    </row>
    <row r="1154" spans="1:8" ht="20.100000000000001" customHeight="1" x14ac:dyDescent="0.25">
      <c r="A1154" s="3" t="s">
        <v>137</v>
      </c>
      <c r="B1154" s="3" t="s">
        <v>279</v>
      </c>
      <c r="C1154" s="3">
        <v>2022</v>
      </c>
      <c r="D1154" s="4">
        <v>2</v>
      </c>
      <c r="E1154" s="5">
        <v>87</v>
      </c>
      <c r="F1154" s="5">
        <v>12.22</v>
      </c>
      <c r="G1154" s="3" t="str">
        <f>VLOOKUP(Registros[[#This Row],[Cliente]],Cliente_Region[],2,FALSE)</f>
        <v>Mexico</v>
      </c>
      <c r="H1154" s="3" t="str">
        <f>VLOOKUP(Registros[[#This Row],[Producto]],Producto[],2,FALSE)</f>
        <v>QUOKAR</v>
      </c>
    </row>
    <row r="1155" spans="1:8" ht="20.100000000000001" customHeight="1" x14ac:dyDescent="0.25">
      <c r="A1155" s="3" t="s">
        <v>90</v>
      </c>
      <c r="B1155" s="3" t="s">
        <v>279</v>
      </c>
      <c r="C1155" s="3">
        <v>2022</v>
      </c>
      <c r="D1155" s="4">
        <v>1</v>
      </c>
      <c r="E1155" s="5">
        <v>19.5</v>
      </c>
      <c r="F1155" s="5">
        <v>16.39</v>
      </c>
      <c r="G1155" s="3" t="str">
        <f>VLOOKUP(Registros[[#This Row],[Cliente]],Cliente_Region[],2,FALSE)</f>
        <v>Mexico</v>
      </c>
      <c r="H1155" s="3" t="str">
        <f>VLOOKUP(Registros[[#This Row],[Producto]],Producto[],2,FALSE)</f>
        <v>CHOTUS</v>
      </c>
    </row>
    <row r="1156" spans="1:8" ht="20.100000000000001" customHeight="1" x14ac:dyDescent="0.25">
      <c r="A1156" s="3" t="s">
        <v>77</v>
      </c>
      <c r="B1156" s="3" t="s">
        <v>279</v>
      </c>
      <c r="C1156" s="3">
        <v>2022</v>
      </c>
      <c r="D1156" s="4">
        <v>1</v>
      </c>
      <c r="E1156" s="5">
        <v>25.85</v>
      </c>
      <c r="F1156" s="5">
        <v>15.97</v>
      </c>
      <c r="G1156" s="3" t="str">
        <f>VLOOKUP(Registros[[#This Row],[Cliente]],Cliente_Region[],2,FALSE)</f>
        <v>Mexico</v>
      </c>
      <c r="H1156" s="3" t="str">
        <f>VLOOKUP(Registros[[#This Row],[Producto]],Producto[],2,FALSE)</f>
        <v>LAX</v>
      </c>
    </row>
    <row r="1157" spans="1:8" ht="20.100000000000001" customHeight="1" x14ac:dyDescent="0.25">
      <c r="A1157" s="3" t="s">
        <v>92</v>
      </c>
      <c r="B1157" s="3" t="s">
        <v>279</v>
      </c>
      <c r="C1157" s="3">
        <v>2022</v>
      </c>
      <c r="D1157" s="4">
        <v>1</v>
      </c>
      <c r="E1157" s="5">
        <v>39.6</v>
      </c>
      <c r="F1157" s="5">
        <v>20.87</v>
      </c>
      <c r="G1157" s="3" t="str">
        <f>VLOOKUP(Registros[[#This Row],[Cliente]],Cliente_Region[],2,FALSE)</f>
        <v>Mexico</v>
      </c>
      <c r="H1157" s="3" t="str">
        <f>VLOOKUP(Registros[[#This Row],[Producto]],Producto[],2,FALSE)</f>
        <v>MOC</v>
      </c>
    </row>
    <row r="1158" spans="1:8" ht="20.100000000000001" customHeight="1" x14ac:dyDescent="0.25">
      <c r="A1158" s="3" t="s">
        <v>284</v>
      </c>
      <c r="B1158" s="3" t="s">
        <v>283</v>
      </c>
      <c r="C1158" s="3">
        <v>2022</v>
      </c>
      <c r="D1158" s="4">
        <v>3</v>
      </c>
      <c r="E1158" s="5">
        <v>87.5</v>
      </c>
      <c r="F1158" s="5">
        <v>56.14</v>
      </c>
      <c r="G1158" s="3" t="str">
        <f>VLOOKUP(Registros[[#This Row],[Cliente]],Cliente_Region[],2,FALSE)</f>
        <v>Argentina</v>
      </c>
      <c r="H1158" s="3" t="str">
        <f>VLOOKUP(Registros[[#This Row],[Producto]],Producto[],2,FALSE)</f>
        <v>DONANY</v>
      </c>
    </row>
    <row r="1159" spans="1:8" ht="20.100000000000001" customHeight="1" x14ac:dyDescent="0.25">
      <c r="A1159" s="3" t="s">
        <v>285</v>
      </c>
      <c r="B1159" s="3" t="s">
        <v>283</v>
      </c>
      <c r="C1159" s="3">
        <v>2022</v>
      </c>
      <c r="D1159" s="4">
        <v>4</v>
      </c>
      <c r="E1159" s="5">
        <v>25</v>
      </c>
      <c r="F1159" s="5">
        <v>16.04</v>
      </c>
      <c r="G1159" s="3" t="str">
        <f>VLOOKUP(Registros[[#This Row],[Cliente]],Cliente_Region[],2,FALSE)</f>
        <v>Argentina</v>
      </c>
      <c r="H1159" s="3" t="str">
        <f>VLOOKUP(Registros[[#This Row],[Producto]],Producto[],2,FALSE)</f>
        <v>MOC</v>
      </c>
    </row>
    <row r="1160" spans="1:8" ht="20.100000000000001" customHeight="1" x14ac:dyDescent="0.25">
      <c r="A1160" s="3" t="s">
        <v>286</v>
      </c>
      <c r="B1160" s="3" t="s">
        <v>283</v>
      </c>
      <c r="C1160" s="3">
        <v>2022</v>
      </c>
      <c r="D1160" s="4">
        <v>3</v>
      </c>
      <c r="E1160" s="5">
        <v>125</v>
      </c>
      <c r="F1160" s="5">
        <v>69.8</v>
      </c>
      <c r="G1160" s="3" t="str">
        <f>VLOOKUP(Registros[[#This Row],[Cliente]],Cliente_Region[],2,FALSE)</f>
        <v>Argentina</v>
      </c>
      <c r="H1160" s="3" t="str">
        <f>VLOOKUP(Registros[[#This Row],[Producto]],Producto[],2,FALSE)</f>
        <v>SALF</v>
      </c>
    </row>
    <row r="1161" spans="1:8" ht="20.100000000000001" customHeight="1" x14ac:dyDescent="0.25">
      <c r="A1161" s="3" t="s">
        <v>287</v>
      </c>
      <c r="B1161" s="3" t="s">
        <v>283</v>
      </c>
      <c r="C1161" s="3">
        <v>2022</v>
      </c>
      <c r="D1161" s="4">
        <v>4</v>
      </c>
      <c r="E1161" s="5">
        <v>62.5</v>
      </c>
      <c r="F1161" s="5">
        <v>34.9</v>
      </c>
      <c r="G1161" s="3" t="str">
        <f>VLOOKUP(Registros[[#This Row],[Cliente]],Cliente_Region[],2,FALSE)</f>
        <v>Argentina</v>
      </c>
      <c r="H1161" s="3" t="str">
        <f>VLOOKUP(Registros[[#This Row],[Producto]],Producto[],2,FALSE)</f>
        <v>QUOKAR</v>
      </c>
    </row>
    <row r="1162" spans="1:8" ht="20.100000000000001" customHeight="1" x14ac:dyDescent="0.25">
      <c r="A1162" s="3" t="s">
        <v>288</v>
      </c>
      <c r="B1162" s="3" t="s">
        <v>283</v>
      </c>
      <c r="C1162" s="3">
        <v>2022</v>
      </c>
      <c r="D1162" s="4">
        <v>3</v>
      </c>
      <c r="E1162" s="5">
        <v>97.44</v>
      </c>
      <c r="F1162" s="5">
        <v>73.569999999999993</v>
      </c>
      <c r="G1162" s="3" t="str">
        <f>VLOOKUP(Registros[[#This Row],[Cliente]],Cliente_Region[],2,FALSE)</f>
        <v>Argentina</v>
      </c>
      <c r="H1162" s="3" t="str">
        <f>VLOOKUP(Registros[[#This Row],[Producto]],Producto[],2,FALSE)</f>
        <v>DAWNE</v>
      </c>
    </row>
    <row r="1163" spans="1:8" ht="20.100000000000001" customHeight="1" x14ac:dyDescent="0.25">
      <c r="A1163" s="3" t="s">
        <v>289</v>
      </c>
      <c r="B1163" s="3" t="s">
        <v>283</v>
      </c>
      <c r="C1163" s="3">
        <v>2022</v>
      </c>
      <c r="D1163" s="4">
        <v>4</v>
      </c>
      <c r="E1163" s="5">
        <v>69.599999999999994</v>
      </c>
      <c r="F1163" s="5">
        <v>52.55</v>
      </c>
      <c r="G1163" s="3" t="str">
        <f>VLOOKUP(Registros[[#This Row],[Cliente]],Cliente_Region[],2,FALSE)</f>
        <v>Argentina</v>
      </c>
      <c r="H1163" s="3" t="str">
        <f>VLOOKUP(Registros[[#This Row],[Producto]],Producto[],2,FALSE)</f>
        <v>CHOTUS</v>
      </c>
    </row>
    <row r="1164" spans="1:8" ht="20.100000000000001" customHeight="1" x14ac:dyDescent="0.25">
      <c r="A1164" s="3" t="s">
        <v>234</v>
      </c>
      <c r="B1164" s="3" t="s">
        <v>283</v>
      </c>
      <c r="C1164" s="3">
        <v>2022</v>
      </c>
      <c r="D1164" s="4">
        <v>2</v>
      </c>
      <c r="E1164" s="5">
        <v>56.5</v>
      </c>
      <c r="F1164" s="5">
        <v>38.549999999999997</v>
      </c>
      <c r="G1164" s="3" t="str">
        <f>VLOOKUP(Registros[[#This Row],[Cliente]],Cliente_Region[],2,FALSE)</f>
        <v>Argentina</v>
      </c>
      <c r="H1164" s="3" t="str">
        <f>VLOOKUP(Registros[[#This Row],[Producto]],Producto[],2,FALSE)</f>
        <v>SALF</v>
      </c>
    </row>
    <row r="1165" spans="1:8" ht="20.100000000000001" customHeight="1" x14ac:dyDescent="0.25">
      <c r="A1165" s="3" t="s">
        <v>235</v>
      </c>
      <c r="B1165" s="3" t="s">
        <v>283</v>
      </c>
      <c r="C1165" s="3">
        <v>2022</v>
      </c>
      <c r="D1165" s="4">
        <v>3</v>
      </c>
      <c r="E1165" s="5">
        <v>113</v>
      </c>
      <c r="F1165" s="5">
        <v>77.2</v>
      </c>
      <c r="G1165" s="3" t="str">
        <f>VLOOKUP(Registros[[#This Row],[Cliente]],Cliente_Region[],2,FALSE)</f>
        <v>Argentina</v>
      </c>
      <c r="H1165" s="3" t="str">
        <f>VLOOKUP(Registros[[#This Row],[Producto]],Producto[],2,FALSE)</f>
        <v>SALF</v>
      </c>
    </row>
    <row r="1166" spans="1:8" ht="20.100000000000001" customHeight="1" x14ac:dyDescent="0.25">
      <c r="A1166" s="3" t="s">
        <v>235</v>
      </c>
      <c r="B1166" s="3" t="s">
        <v>283</v>
      </c>
      <c r="C1166" s="3">
        <v>2022</v>
      </c>
      <c r="D1166" s="4">
        <v>4</v>
      </c>
      <c r="E1166" s="5">
        <v>56.5</v>
      </c>
      <c r="F1166" s="5">
        <v>38.64</v>
      </c>
      <c r="G1166" s="3" t="str">
        <f>VLOOKUP(Registros[[#This Row],[Cliente]],Cliente_Region[],2,FALSE)</f>
        <v>Argentina</v>
      </c>
      <c r="H1166" s="3" t="str">
        <f>VLOOKUP(Registros[[#This Row],[Producto]],Producto[],2,FALSE)</f>
        <v>SALF</v>
      </c>
    </row>
    <row r="1167" spans="1:8" ht="20.100000000000001" customHeight="1" x14ac:dyDescent="0.25">
      <c r="A1167" s="3" t="s">
        <v>36</v>
      </c>
      <c r="B1167" s="3" t="s">
        <v>283</v>
      </c>
      <c r="C1167" s="3">
        <v>2022</v>
      </c>
      <c r="D1167" s="4">
        <v>2</v>
      </c>
      <c r="E1167" s="5">
        <v>103.25</v>
      </c>
      <c r="F1167" s="5">
        <v>74.319999999999993</v>
      </c>
      <c r="G1167" s="3" t="str">
        <f>VLOOKUP(Registros[[#This Row],[Cliente]],Cliente_Region[],2,FALSE)</f>
        <v>Argentina</v>
      </c>
      <c r="H1167" s="3" t="str">
        <f>VLOOKUP(Registros[[#This Row],[Producto]],Producto[],2,FALSE)</f>
        <v>QUOKAR</v>
      </c>
    </row>
    <row r="1168" spans="1:8" ht="20.100000000000001" customHeight="1" x14ac:dyDescent="0.25">
      <c r="A1168" s="3" t="s">
        <v>37</v>
      </c>
      <c r="B1168" s="3" t="s">
        <v>283</v>
      </c>
      <c r="C1168" s="3">
        <v>2022</v>
      </c>
      <c r="D1168" s="4">
        <v>3</v>
      </c>
      <c r="E1168" s="5">
        <v>44.25</v>
      </c>
      <c r="F1168" s="5">
        <v>31.85</v>
      </c>
      <c r="G1168" s="3" t="str">
        <f>VLOOKUP(Registros[[#This Row],[Cliente]],Cliente_Region[],2,FALSE)</f>
        <v>Argentina</v>
      </c>
      <c r="H1168" s="3" t="str">
        <f>VLOOKUP(Registros[[#This Row],[Producto]],Producto[],2,FALSE)</f>
        <v>DONANY</v>
      </c>
    </row>
    <row r="1169" spans="1:8" ht="20.100000000000001" customHeight="1" x14ac:dyDescent="0.25">
      <c r="A1169" s="3" t="s">
        <v>290</v>
      </c>
      <c r="B1169" s="3" t="s">
        <v>283</v>
      </c>
      <c r="C1169" s="3">
        <v>2022</v>
      </c>
      <c r="D1169" s="4">
        <v>3</v>
      </c>
      <c r="E1169" s="5">
        <v>68.75</v>
      </c>
      <c r="F1169" s="5">
        <v>39.950000000000003</v>
      </c>
      <c r="G1169" s="3" t="str">
        <f>VLOOKUP(Registros[[#This Row],[Cliente]],Cliente_Region[],2,FALSE)</f>
        <v>Argentina</v>
      </c>
      <c r="H1169" s="3" t="str">
        <f>VLOOKUP(Registros[[#This Row],[Producto]],Producto[],2,FALSE)</f>
        <v>QUOKAR</v>
      </c>
    </row>
    <row r="1170" spans="1:8" ht="20.100000000000001" customHeight="1" x14ac:dyDescent="0.25">
      <c r="A1170" s="3" t="s">
        <v>291</v>
      </c>
      <c r="B1170" s="3" t="s">
        <v>283</v>
      </c>
      <c r="C1170" s="3">
        <v>2022</v>
      </c>
      <c r="D1170" s="4">
        <v>4</v>
      </c>
      <c r="E1170" s="5">
        <v>27.5</v>
      </c>
      <c r="F1170" s="5">
        <v>15.98</v>
      </c>
      <c r="G1170" s="3" t="str">
        <f>VLOOKUP(Registros[[#This Row],[Cliente]],Cliente_Region[],2,FALSE)</f>
        <v>Argentina</v>
      </c>
      <c r="H1170" s="3" t="str">
        <f>VLOOKUP(Registros[[#This Row],[Producto]],Producto[],2,FALSE)</f>
        <v>GAMBO</v>
      </c>
    </row>
    <row r="1171" spans="1:8" ht="20.100000000000001" customHeight="1" x14ac:dyDescent="0.25">
      <c r="A1171" s="3" t="s">
        <v>11</v>
      </c>
      <c r="B1171" s="3" t="s">
        <v>283</v>
      </c>
      <c r="C1171" s="3">
        <v>2022</v>
      </c>
      <c r="D1171" s="4">
        <v>3</v>
      </c>
      <c r="E1171" s="5">
        <v>74.28</v>
      </c>
      <c r="F1171" s="5">
        <v>38.43</v>
      </c>
      <c r="G1171" s="3" t="str">
        <f>VLOOKUP(Registros[[#This Row],[Cliente]],Cliente_Region[],2,FALSE)</f>
        <v>Argentina</v>
      </c>
      <c r="H1171" s="3" t="str">
        <f>VLOOKUP(Registros[[#This Row],[Producto]],Producto[],2,FALSE)</f>
        <v>DONANY</v>
      </c>
    </row>
    <row r="1172" spans="1:8" ht="20.100000000000001" customHeight="1" x14ac:dyDescent="0.25">
      <c r="A1172" s="3" t="s">
        <v>292</v>
      </c>
      <c r="B1172" s="3" t="s">
        <v>283</v>
      </c>
      <c r="C1172" s="3">
        <v>2022</v>
      </c>
      <c r="D1172" s="4">
        <v>4</v>
      </c>
      <c r="E1172" s="5">
        <v>24.76</v>
      </c>
      <c r="F1172" s="5">
        <v>12.81</v>
      </c>
      <c r="G1172" s="3" t="str">
        <f>VLOOKUP(Registros[[#This Row],[Cliente]],Cliente_Region[],2,FALSE)</f>
        <v>Argentina</v>
      </c>
      <c r="H1172" s="3" t="str">
        <f>VLOOKUP(Registros[[#This Row],[Producto]],Producto[],2,FALSE)</f>
        <v>QUOKAR</v>
      </c>
    </row>
    <row r="1173" spans="1:8" ht="20.100000000000001" customHeight="1" x14ac:dyDescent="0.25">
      <c r="A1173" s="3" t="s">
        <v>293</v>
      </c>
      <c r="B1173" s="3" t="s">
        <v>283</v>
      </c>
      <c r="C1173" s="3">
        <v>2022</v>
      </c>
      <c r="D1173" s="4">
        <v>3</v>
      </c>
      <c r="E1173" s="5">
        <v>86.66</v>
      </c>
      <c r="F1173" s="5">
        <v>18.239999999999998</v>
      </c>
      <c r="G1173" s="3" t="str">
        <f>VLOOKUP(Registros[[#This Row],[Cliente]],Cliente_Region[],2,FALSE)</f>
        <v>Argentina</v>
      </c>
      <c r="H1173" s="3" t="str">
        <f>VLOOKUP(Registros[[#This Row],[Producto]],Producto[],2,FALSE)</f>
        <v>QUOKAR</v>
      </c>
    </row>
    <row r="1174" spans="1:8" ht="20.100000000000001" customHeight="1" x14ac:dyDescent="0.25">
      <c r="A1174" s="3" t="s">
        <v>294</v>
      </c>
      <c r="B1174" s="3" t="s">
        <v>283</v>
      </c>
      <c r="C1174" s="3">
        <v>2022</v>
      </c>
      <c r="D1174" s="4">
        <v>4</v>
      </c>
      <c r="E1174" s="5">
        <v>24.76</v>
      </c>
      <c r="F1174" s="5">
        <v>5.16</v>
      </c>
      <c r="G1174" s="3" t="str">
        <f>VLOOKUP(Registros[[#This Row],[Cliente]],Cliente_Region[],2,FALSE)</f>
        <v>Argentina</v>
      </c>
      <c r="H1174" s="3" t="str">
        <f>VLOOKUP(Registros[[#This Row],[Producto]],Producto[],2,FALSE)</f>
        <v>CHOTUS</v>
      </c>
    </row>
    <row r="1175" spans="1:8" ht="20.100000000000001" customHeight="1" x14ac:dyDescent="0.25">
      <c r="A1175" s="3" t="s">
        <v>295</v>
      </c>
      <c r="B1175" s="3" t="s">
        <v>283</v>
      </c>
      <c r="C1175" s="3">
        <v>2022</v>
      </c>
      <c r="D1175" s="4">
        <v>3</v>
      </c>
      <c r="E1175" s="5">
        <v>92.4</v>
      </c>
      <c r="F1175" s="5">
        <v>53.79</v>
      </c>
      <c r="G1175" s="3" t="str">
        <f>VLOOKUP(Registros[[#This Row],[Cliente]],Cliente_Region[],2,FALSE)</f>
        <v>Argentina</v>
      </c>
      <c r="H1175" s="3" t="str">
        <f>VLOOKUP(Registros[[#This Row],[Producto]],Producto[],2,FALSE)</f>
        <v>QUOKAR</v>
      </c>
    </row>
    <row r="1176" spans="1:8" ht="20.100000000000001" customHeight="1" x14ac:dyDescent="0.25">
      <c r="A1176" s="3" t="s">
        <v>296</v>
      </c>
      <c r="B1176" s="3" t="s">
        <v>283</v>
      </c>
      <c r="C1176" s="3">
        <v>2022</v>
      </c>
      <c r="D1176" s="4">
        <v>4</v>
      </c>
      <c r="E1176" s="5">
        <v>52.8</v>
      </c>
      <c r="F1176" s="5">
        <v>30.73</v>
      </c>
      <c r="G1176" s="3" t="str">
        <f>VLOOKUP(Registros[[#This Row],[Cliente]],Cliente_Region[],2,FALSE)</f>
        <v>Argentina</v>
      </c>
      <c r="H1176" s="3" t="str">
        <f>VLOOKUP(Registros[[#This Row],[Producto]],Producto[],2,FALSE)</f>
        <v>SALF</v>
      </c>
    </row>
    <row r="1177" spans="1:8" ht="20.100000000000001" customHeight="1" x14ac:dyDescent="0.25">
      <c r="A1177" s="3" t="s">
        <v>38</v>
      </c>
      <c r="B1177" s="3" t="s">
        <v>283</v>
      </c>
      <c r="C1177" s="3">
        <v>2022</v>
      </c>
      <c r="D1177" s="4">
        <v>2</v>
      </c>
      <c r="E1177" s="5">
        <v>79.5</v>
      </c>
      <c r="F1177" s="5">
        <v>48.48</v>
      </c>
      <c r="G1177" s="3" t="str">
        <f>VLOOKUP(Registros[[#This Row],[Cliente]],Cliente_Region[],2,FALSE)</f>
        <v>Argentina</v>
      </c>
      <c r="H1177" s="3" t="str">
        <f>VLOOKUP(Registros[[#This Row],[Producto]],Producto[],2,FALSE)</f>
        <v>LAX</v>
      </c>
    </row>
    <row r="1178" spans="1:8" ht="20.100000000000001" customHeight="1" x14ac:dyDescent="0.25">
      <c r="A1178" s="3" t="s">
        <v>39</v>
      </c>
      <c r="B1178" s="3" t="s">
        <v>283</v>
      </c>
      <c r="C1178" s="3">
        <v>2022</v>
      </c>
      <c r="D1178" s="4">
        <v>3</v>
      </c>
      <c r="E1178" s="5">
        <v>132.5</v>
      </c>
      <c r="F1178" s="5">
        <v>80.81</v>
      </c>
      <c r="G1178" s="3" t="str">
        <f>VLOOKUP(Registros[[#This Row],[Cliente]],Cliente_Region[],2,FALSE)</f>
        <v>Argentina</v>
      </c>
      <c r="H1178" s="3" t="str">
        <f>VLOOKUP(Registros[[#This Row],[Producto]],Producto[],2,FALSE)</f>
        <v>SALF</v>
      </c>
    </row>
    <row r="1179" spans="1:8" ht="20.100000000000001" customHeight="1" x14ac:dyDescent="0.25">
      <c r="A1179" s="3" t="s">
        <v>39</v>
      </c>
      <c r="B1179" s="3" t="s">
        <v>283</v>
      </c>
      <c r="C1179" s="3">
        <v>2022</v>
      </c>
      <c r="D1179" s="4">
        <v>4</v>
      </c>
      <c r="E1179" s="5">
        <v>26.5</v>
      </c>
      <c r="F1179" s="5">
        <v>16.16</v>
      </c>
      <c r="G1179" s="3" t="str">
        <f>VLOOKUP(Registros[[#This Row],[Cliente]],Cliente_Region[],2,FALSE)</f>
        <v>Argentina</v>
      </c>
      <c r="H1179" s="3" t="str">
        <f>VLOOKUP(Registros[[#This Row],[Producto]],Producto[],2,FALSE)</f>
        <v>SALF</v>
      </c>
    </row>
    <row r="1180" spans="1:8" ht="20.100000000000001" customHeight="1" x14ac:dyDescent="0.25">
      <c r="A1180" s="3" t="s">
        <v>39</v>
      </c>
      <c r="B1180" s="3" t="s">
        <v>283</v>
      </c>
      <c r="C1180" s="3">
        <v>2022</v>
      </c>
      <c r="D1180" s="4">
        <v>5</v>
      </c>
      <c r="E1180" s="5">
        <v>26.5</v>
      </c>
      <c r="F1180" s="5">
        <v>16.16</v>
      </c>
      <c r="G1180" s="3" t="str">
        <f>VLOOKUP(Registros[[#This Row],[Cliente]],Cliente_Region[],2,FALSE)</f>
        <v>Argentina</v>
      </c>
      <c r="H1180" s="3" t="str">
        <f>VLOOKUP(Registros[[#This Row],[Producto]],Producto[],2,FALSE)</f>
        <v>SALF</v>
      </c>
    </row>
    <row r="1181" spans="1:8" ht="20.100000000000001" customHeight="1" x14ac:dyDescent="0.25">
      <c r="A1181" s="3" t="s">
        <v>40</v>
      </c>
      <c r="B1181" s="3" t="s">
        <v>283</v>
      </c>
      <c r="C1181" s="3">
        <v>2022</v>
      </c>
      <c r="D1181" s="4">
        <v>2</v>
      </c>
      <c r="E1181" s="5">
        <v>185.5</v>
      </c>
      <c r="F1181" s="5">
        <v>116.06</v>
      </c>
      <c r="G1181" s="3" t="str">
        <f>VLOOKUP(Registros[[#This Row],[Cliente]],Cliente_Region[],2,FALSE)</f>
        <v>Argentina</v>
      </c>
      <c r="H1181" s="3" t="str">
        <f>VLOOKUP(Registros[[#This Row],[Producto]],Producto[],2,FALSE)</f>
        <v>DAWNE</v>
      </c>
    </row>
    <row r="1182" spans="1:8" ht="20.100000000000001" customHeight="1" x14ac:dyDescent="0.25">
      <c r="A1182" s="3" t="s">
        <v>41</v>
      </c>
      <c r="B1182" s="3" t="s">
        <v>283</v>
      </c>
      <c r="C1182" s="3">
        <v>2022</v>
      </c>
      <c r="D1182" s="4">
        <v>3</v>
      </c>
      <c r="E1182" s="5">
        <v>106</v>
      </c>
      <c r="F1182" s="5">
        <v>66.319999999999993</v>
      </c>
      <c r="G1182" s="3" t="str">
        <f>VLOOKUP(Registros[[#This Row],[Cliente]],Cliente_Region[],2,FALSE)</f>
        <v>Argentina</v>
      </c>
      <c r="H1182" s="3" t="str">
        <f>VLOOKUP(Registros[[#This Row],[Producto]],Producto[],2,FALSE)</f>
        <v>DONANY</v>
      </c>
    </row>
    <row r="1183" spans="1:8" ht="20.100000000000001" customHeight="1" x14ac:dyDescent="0.25">
      <c r="A1183" s="3" t="s">
        <v>41</v>
      </c>
      <c r="B1183" s="3" t="s">
        <v>283</v>
      </c>
      <c r="C1183" s="3">
        <v>2022</v>
      </c>
      <c r="D1183" s="4">
        <v>4</v>
      </c>
      <c r="E1183" s="5">
        <v>53</v>
      </c>
      <c r="F1183" s="5">
        <v>33.159999999999997</v>
      </c>
      <c r="G1183" s="3" t="str">
        <f>VLOOKUP(Registros[[#This Row],[Cliente]],Cliente_Region[],2,FALSE)</f>
        <v>Argentina</v>
      </c>
      <c r="H1183" s="3" t="str">
        <f>VLOOKUP(Registros[[#This Row],[Producto]],Producto[],2,FALSE)</f>
        <v>DONANY</v>
      </c>
    </row>
    <row r="1184" spans="1:8" ht="20.100000000000001" customHeight="1" x14ac:dyDescent="0.25">
      <c r="A1184" s="3" t="s">
        <v>41</v>
      </c>
      <c r="B1184" s="3" t="s">
        <v>283</v>
      </c>
      <c r="C1184" s="3">
        <v>2022</v>
      </c>
      <c r="D1184" s="4">
        <v>5</v>
      </c>
      <c r="E1184" s="5">
        <v>26.5</v>
      </c>
      <c r="F1184" s="5">
        <v>16.579999999999998</v>
      </c>
      <c r="G1184" s="3" t="str">
        <f>VLOOKUP(Registros[[#This Row],[Cliente]],Cliente_Region[],2,FALSE)</f>
        <v>Argentina</v>
      </c>
      <c r="H1184" s="3" t="str">
        <f>VLOOKUP(Registros[[#This Row],[Producto]],Producto[],2,FALSE)</f>
        <v>DONANY</v>
      </c>
    </row>
    <row r="1185" spans="1:8" ht="20.100000000000001" customHeight="1" x14ac:dyDescent="0.25">
      <c r="A1185" s="3" t="s">
        <v>42</v>
      </c>
      <c r="B1185" s="3" t="s">
        <v>283</v>
      </c>
      <c r="C1185" s="3">
        <v>2022</v>
      </c>
      <c r="D1185" s="4">
        <v>2</v>
      </c>
      <c r="E1185" s="5">
        <v>79.5</v>
      </c>
      <c r="F1185" s="5">
        <v>46.05</v>
      </c>
      <c r="G1185" s="3" t="str">
        <f>VLOOKUP(Registros[[#This Row],[Cliente]],Cliente_Region[],2,FALSE)</f>
        <v>Argentina</v>
      </c>
      <c r="H1185" s="3" t="str">
        <f>VLOOKUP(Registros[[#This Row],[Producto]],Producto[],2,FALSE)</f>
        <v>GAMBO</v>
      </c>
    </row>
    <row r="1186" spans="1:8" ht="20.100000000000001" customHeight="1" x14ac:dyDescent="0.25">
      <c r="A1186" s="3" t="s">
        <v>43</v>
      </c>
      <c r="B1186" s="3" t="s">
        <v>283</v>
      </c>
      <c r="C1186" s="3">
        <v>2022</v>
      </c>
      <c r="D1186" s="4">
        <v>3</v>
      </c>
      <c r="E1186" s="5">
        <v>132.5</v>
      </c>
      <c r="F1186" s="5">
        <v>76.760000000000005</v>
      </c>
      <c r="G1186" s="3" t="str">
        <f>VLOOKUP(Registros[[#This Row],[Cliente]],Cliente_Region[],2,FALSE)</f>
        <v>Argentina</v>
      </c>
      <c r="H1186" s="3" t="str">
        <f>VLOOKUP(Registros[[#This Row],[Producto]],Producto[],2,FALSE)</f>
        <v>MOC</v>
      </c>
    </row>
    <row r="1187" spans="1:8" ht="20.100000000000001" customHeight="1" x14ac:dyDescent="0.25">
      <c r="A1187" s="3" t="s">
        <v>43</v>
      </c>
      <c r="B1187" s="3" t="s">
        <v>283</v>
      </c>
      <c r="C1187" s="3">
        <v>2022</v>
      </c>
      <c r="D1187" s="4">
        <v>4</v>
      </c>
      <c r="E1187" s="5">
        <v>26.5</v>
      </c>
      <c r="F1187" s="5">
        <v>15.35</v>
      </c>
      <c r="G1187" s="3" t="str">
        <f>VLOOKUP(Registros[[#This Row],[Cliente]],Cliente_Region[],2,FALSE)</f>
        <v>Argentina</v>
      </c>
      <c r="H1187" s="3" t="str">
        <f>VLOOKUP(Registros[[#This Row],[Producto]],Producto[],2,FALSE)</f>
        <v>MOC</v>
      </c>
    </row>
    <row r="1188" spans="1:8" ht="20.100000000000001" customHeight="1" x14ac:dyDescent="0.25">
      <c r="A1188" s="3" t="s">
        <v>282</v>
      </c>
      <c r="B1188" s="3" t="s">
        <v>283</v>
      </c>
      <c r="C1188" s="3">
        <v>2022</v>
      </c>
      <c r="D1188" s="4">
        <v>2</v>
      </c>
      <c r="E1188" s="5">
        <v>243.75</v>
      </c>
      <c r="F1188" s="5">
        <v>152.6</v>
      </c>
      <c r="G1188" s="3" t="str">
        <f>VLOOKUP(Registros[[#This Row],[Cliente]],Cliente_Region[],2,FALSE)</f>
        <v>Argentina</v>
      </c>
      <c r="H1188" s="3" t="str">
        <f>VLOOKUP(Registros[[#This Row],[Producto]],Producto[],2,FALSE)</f>
        <v>DAWNE</v>
      </c>
    </row>
    <row r="1189" spans="1:8" ht="20.100000000000001" customHeight="1" x14ac:dyDescent="0.25">
      <c r="A1189" s="3" t="s">
        <v>114</v>
      </c>
      <c r="B1189" s="3" t="s">
        <v>283</v>
      </c>
      <c r="C1189" s="3">
        <v>2022</v>
      </c>
      <c r="D1189" s="4">
        <v>3</v>
      </c>
      <c r="E1189" s="5">
        <v>243.75</v>
      </c>
      <c r="F1189" s="5">
        <v>152.59</v>
      </c>
      <c r="G1189" s="3" t="str">
        <f>VLOOKUP(Registros[[#This Row],[Cliente]],Cliente_Region[],2,FALSE)</f>
        <v>Argentina</v>
      </c>
      <c r="H1189" s="3" t="str">
        <f>VLOOKUP(Registros[[#This Row],[Producto]],Producto[],2,FALSE)</f>
        <v>DAWNE</v>
      </c>
    </row>
    <row r="1190" spans="1:8" ht="20.100000000000001" customHeight="1" x14ac:dyDescent="0.25">
      <c r="A1190" s="3" t="s">
        <v>114</v>
      </c>
      <c r="B1190" s="3" t="s">
        <v>283</v>
      </c>
      <c r="C1190" s="3">
        <v>2022</v>
      </c>
      <c r="D1190" s="4">
        <v>4</v>
      </c>
      <c r="E1190" s="5">
        <v>206.25</v>
      </c>
      <c r="F1190" s="5">
        <v>129.12</v>
      </c>
      <c r="G1190" s="3" t="str">
        <f>VLOOKUP(Registros[[#This Row],[Cliente]],Cliente_Region[],2,FALSE)</f>
        <v>Argentina</v>
      </c>
      <c r="H1190" s="3" t="str">
        <f>VLOOKUP(Registros[[#This Row],[Producto]],Producto[],2,FALSE)</f>
        <v>DAWNE</v>
      </c>
    </row>
    <row r="1191" spans="1:8" ht="20.100000000000001" customHeight="1" x14ac:dyDescent="0.25">
      <c r="A1191" s="3" t="s">
        <v>114</v>
      </c>
      <c r="B1191" s="3" t="s">
        <v>283</v>
      </c>
      <c r="C1191" s="3">
        <v>2022</v>
      </c>
      <c r="D1191" s="4">
        <v>5</v>
      </c>
      <c r="E1191" s="5">
        <v>37.5</v>
      </c>
      <c r="F1191" s="5">
        <v>11.74</v>
      </c>
      <c r="G1191" s="3" t="str">
        <f>VLOOKUP(Registros[[#This Row],[Cliente]],Cliente_Region[],2,FALSE)</f>
        <v>Argentina</v>
      </c>
      <c r="H1191" s="3" t="str">
        <f>VLOOKUP(Registros[[#This Row],[Producto]],Producto[],2,FALSE)</f>
        <v>DAWNE</v>
      </c>
    </row>
    <row r="1192" spans="1:8" ht="20.100000000000001" customHeight="1" x14ac:dyDescent="0.25">
      <c r="A1192" s="3" t="s">
        <v>114</v>
      </c>
      <c r="B1192" s="3" t="s">
        <v>283</v>
      </c>
      <c r="C1192" s="3">
        <v>2022</v>
      </c>
      <c r="D1192" s="4">
        <v>6</v>
      </c>
      <c r="E1192" s="5">
        <v>18.75</v>
      </c>
      <c r="F1192" s="5">
        <v>11.74</v>
      </c>
      <c r="G1192" s="3" t="str">
        <f>VLOOKUP(Registros[[#This Row],[Cliente]],Cliente_Region[],2,FALSE)</f>
        <v>Argentina</v>
      </c>
      <c r="H1192" s="3" t="str">
        <f>VLOOKUP(Registros[[#This Row],[Producto]],Producto[],2,FALSE)</f>
        <v>DAWNE</v>
      </c>
    </row>
    <row r="1193" spans="1:8" ht="20.100000000000001" customHeight="1" x14ac:dyDescent="0.25">
      <c r="A1193" s="3" t="s">
        <v>135</v>
      </c>
      <c r="B1193" s="3" t="s">
        <v>283</v>
      </c>
      <c r="C1193" s="3">
        <v>2022</v>
      </c>
      <c r="D1193" s="4">
        <v>2</v>
      </c>
      <c r="E1193" s="5">
        <v>741</v>
      </c>
      <c r="F1193" s="5">
        <v>556.70000000000005</v>
      </c>
      <c r="G1193" s="3" t="str">
        <f>VLOOKUP(Registros[[#This Row],[Cliente]],Cliente_Region[],2,FALSE)</f>
        <v>Argentina</v>
      </c>
      <c r="H1193" s="3" t="str">
        <f>VLOOKUP(Registros[[#This Row],[Producto]],Producto[],2,FALSE)</f>
        <v>GAMBO</v>
      </c>
    </row>
    <row r="1194" spans="1:8" ht="20.100000000000001" customHeight="1" x14ac:dyDescent="0.25">
      <c r="A1194" s="3" t="s">
        <v>93</v>
      </c>
      <c r="B1194" s="3" t="s">
        <v>283</v>
      </c>
      <c r="C1194" s="3">
        <v>2022</v>
      </c>
      <c r="D1194" s="4">
        <v>3</v>
      </c>
      <c r="E1194" s="5">
        <v>1282.5</v>
      </c>
      <c r="F1194" s="5">
        <v>979.2</v>
      </c>
      <c r="G1194" s="3" t="str">
        <f>VLOOKUP(Registros[[#This Row],[Cliente]],Cliente_Region[],2,FALSE)</f>
        <v>Argentina</v>
      </c>
      <c r="H1194" s="3" t="str">
        <f>VLOOKUP(Registros[[#This Row],[Producto]],Producto[],2,FALSE)</f>
        <v>GAMBO</v>
      </c>
    </row>
    <row r="1195" spans="1:8" ht="20.100000000000001" customHeight="1" x14ac:dyDescent="0.25">
      <c r="A1195" s="3" t="s">
        <v>93</v>
      </c>
      <c r="B1195" s="3" t="s">
        <v>283</v>
      </c>
      <c r="C1195" s="3">
        <v>2022</v>
      </c>
      <c r="D1195" s="4">
        <v>4</v>
      </c>
      <c r="E1195" s="5">
        <v>427.5</v>
      </c>
      <c r="F1195" s="5">
        <v>326.39999999999998</v>
      </c>
      <c r="G1195" s="3" t="str">
        <f>VLOOKUP(Registros[[#This Row],[Cliente]],Cliente_Region[],2,FALSE)</f>
        <v>Argentina</v>
      </c>
      <c r="H1195" s="3" t="str">
        <f>VLOOKUP(Registros[[#This Row],[Producto]],Producto[],2,FALSE)</f>
        <v>GAMBO</v>
      </c>
    </row>
    <row r="1196" spans="1:8" ht="20.100000000000001" customHeight="1" x14ac:dyDescent="0.25">
      <c r="A1196" s="3" t="s">
        <v>93</v>
      </c>
      <c r="B1196" s="3" t="s">
        <v>283</v>
      </c>
      <c r="C1196" s="3">
        <v>2022</v>
      </c>
      <c r="D1196" s="4">
        <v>5</v>
      </c>
      <c r="E1196" s="5">
        <v>741</v>
      </c>
      <c r="F1196" s="5">
        <v>544</v>
      </c>
      <c r="G1196" s="3" t="str">
        <f>VLOOKUP(Registros[[#This Row],[Cliente]],Cliente_Region[],2,FALSE)</f>
        <v>Argentina</v>
      </c>
      <c r="H1196" s="3" t="str">
        <f>VLOOKUP(Registros[[#This Row],[Producto]],Producto[],2,FALSE)</f>
        <v>GAMBO</v>
      </c>
    </row>
    <row r="1197" spans="1:8" ht="20.100000000000001" customHeight="1" x14ac:dyDescent="0.25">
      <c r="A1197" s="3" t="s">
        <v>93</v>
      </c>
      <c r="B1197" s="3" t="s">
        <v>283</v>
      </c>
      <c r="C1197" s="3">
        <v>2022</v>
      </c>
      <c r="D1197" s="4">
        <v>6</v>
      </c>
      <c r="E1197" s="5">
        <v>370.5</v>
      </c>
      <c r="F1197" s="5">
        <v>282.88</v>
      </c>
      <c r="G1197" s="3" t="str">
        <f>VLOOKUP(Registros[[#This Row],[Cliente]],Cliente_Region[],2,FALSE)</f>
        <v>Argentina</v>
      </c>
      <c r="H1197" s="3" t="str">
        <f>VLOOKUP(Registros[[#This Row],[Producto]],Producto[],2,FALSE)</f>
        <v>GAMBO</v>
      </c>
    </row>
    <row r="1198" spans="1:8" ht="20.100000000000001" customHeight="1" x14ac:dyDescent="0.25">
      <c r="A1198" s="3" t="s">
        <v>136</v>
      </c>
      <c r="B1198" s="3" t="s">
        <v>283</v>
      </c>
      <c r="C1198" s="3">
        <v>2022</v>
      </c>
      <c r="D1198" s="4">
        <v>2</v>
      </c>
      <c r="E1198" s="5">
        <v>140</v>
      </c>
      <c r="F1198" s="5">
        <v>77.3</v>
      </c>
      <c r="G1198" s="3" t="str">
        <f>VLOOKUP(Registros[[#This Row],[Cliente]],Cliente_Region[],2,FALSE)</f>
        <v>Argentina</v>
      </c>
      <c r="H1198" s="3" t="str">
        <f>VLOOKUP(Registros[[#This Row],[Producto]],Producto[],2,FALSE)</f>
        <v>CHOTUS</v>
      </c>
    </row>
    <row r="1199" spans="1:8" ht="20.100000000000001" customHeight="1" x14ac:dyDescent="0.25">
      <c r="A1199" s="3" t="s">
        <v>137</v>
      </c>
      <c r="B1199" s="3" t="s">
        <v>283</v>
      </c>
      <c r="C1199" s="3">
        <v>2022</v>
      </c>
      <c r="D1199" s="4">
        <v>3</v>
      </c>
      <c r="E1199" s="5">
        <v>350</v>
      </c>
      <c r="F1199" s="5">
        <v>225.37</v>
      </c>
      <c r="G1199" s="3" t="str">
        <f>VLOOKUP(Registros[[#This Row],[Cliente]],Cliente_Region[],2,FALSE)</f>
        <v>Argentina</v>
      </c>
      <c r="H1199" s="3" t="str">
        <f>VLOOKUP(Registros[[#This Row],[Producto]],Producto[],2,FALSE)</f>
        <v>QUOKAR</v>
      </c>
    </row>
    <row r="1200" spans="1:8" ht="20.100000000000001" customHeight="1" x14ac:dyDescent="0.25">
      <c r="A1200" s="3" t="s">
        <v>137</v>
      </c>
      <c r="B1200" s="3" t="s">
        <v>283</v>
      </c>
      <c r="C1200" s="3">
        <v>2022</v>
      </c>
      <c r="D1200" s="4">
        <v>4</v>
      </c>
      <c r="E1200" s="5">
        <v>70</v>
      </c>
      <c r="F1200" s="5">
        <v>45.07</v>
      </c>
      <c r="G1200" s="3" t="str">
        <f>VLOOKUP(Registros[[#This Row],[Cliente]],Cliente_Region[],2,FALSE)</f>
        <v>Argentina</v>
      </c>
      <c r="H1200" s="3" t="str">
        <f>VLOOKUP(Registros[[#This Row],[Producto]],Producto[],2,FALSE)</f>
        <v>QUOKAR</v>
      </c>
    </row>
    <row r="1201" spans="1:8" ht="20.100000000000001" customHeight="1" x14ac:dyDescent="0.25">
      <c r="A1201" s="3" t="s">
        <v>137</v>
      </c>
      <c r="B1201" s="3" t="s">
        <v>283</v>
      </c>
      <c r="C1201" s="3">
        <v>2022</v>
      </c>
      <c r="D1201" s="4">
        <v>5</v>
      </c>
      <c r="E1201" s="5">
        <v>105</v>
      </c>
      <c r="F1201" s="5">
        <v>67.62</v>
      </c>
      <c r="G1201" s="3" t="str">
        <f>VLOOKUP(Registros[[#This Row],[Cliente]],Cliente_Region[],2,FALSE)</f>
        <v>Argentina</v>
      </c>
      <c r="H1201" s="3" t="str">
        <f>VLOOKUP(Registros[[#This Row],[Producto]],Producto[],2,FALSE)</f>
        <v>QUOKAR</v>
      </c>
    </row>
    <row r="1202" spans="1:8" ht="20.100000000000001" customHeight="1" x14ac:dyDescent="0.25">
      <c r="A1202" s="3" t="s">
        <v>137</v>
      </c>
      <c r="B1202" s="3" t="s">
        <v>283</v>
      </c>
      <c r="C1202" s="3">
        <v>2022</v>
      </c>
      <c r="D1202" s="4">
        <v>6</v>
      </c>
      <c r="E1202" s="5">
        <v>35</v>
      </c>
      <c r="F1202" s="5">
        <v>22.54</v>
      </c>
      <c r="G1202" s="3" t="str">
        <f>VLOOKUP(Registros[[#This Row],[Cliente]],Cliente_Region[],2,FALSE)</f>
        <v>Argentina</v>
      </c>
      <c r="H1202" s="3" t="str">
        <f>VLOOKUP(Registros[[#This Row],[Producto]],Producto[],2,FALSE)</f>
        <v>QUOKAR</v>
      </c>
    </row>
    <row r="1203" spans="1:8" ht="20.100000000000001" customHeight="1" x14ac:dyDescent="0.25">
      <c r="A1203" s="3" t="s">
        <v>86</v>
      </c>
      <c r="B1203" s="3" t="s">
        <v>283</v>
      </c>
      <c r="C1203" s="3">
        <v>2022</v>
      </c>
      <c r="D1203" s="4">
        <v>2</v>
      </c>
      <c r="E1203" s="5">
        <v>43.5</v>
      </c>
      <c r="F1203" s="5">
        <v>27.53</v>
      </c>
      <c r="G1203" s="3" t="str">
        <f>VLOOKUP(Registros[[#This Row],[Cliente]],Cliente_Region[],2,FALSE)</f>
        <v>Argentina</v>
      </c>
      <c r="H1203" s="3" t="str">
        <f>VLOOKUP(Registros[[#This Row],[Producto]],Producto[],2,FALSE)</f>
        <v>GAMBO</v>
      </c>
    </row>
    <row r="1204" spans="1:8" ht="20.100000000000001" customHeight="1" x14ac:dyDescent="0.25">
      <c r="A1204" s="3" t="s">
        <v>88</v>
      </c>
      <c r="B1204" s="3" t="s">
        <v>283</v>
      </c>
      <c r="C1204" s="3">
        <v>2022</v>
      </c>
      <c r="D1204" s="4">
        <v>2</v>
      </c>
      <c r="E1204" s="5">
        <v>79.2</v>
      </c>
      <c r="F1204" s="5">
        <v>64.489999999999995</v>
      </c>
      <c r="G1204" s="3" t="str">
        <f>VLOOKUP(Registros[[#This Row],[Cliente]],Cliente_Region[],2,FALSE)</f>
        <v>Argentina</v>
      </c>
      <c r="H1204" s="3" t="str">
        <f>VLOOKUP(Registros[[#This Row],[Producto]],Producto[],2,FALSE)</f>
        <v>DAWNE</v>
      </c>
    </row>
    <row r="1205" spans="1:8" ht="20.100000000000001" customHeight="1" x14ac:dyDescent="0.25">
      <c r="A1205" s="3" t="s">
        <v>89</v>
      </c>
      <c r="B1205" s="3" t="s">
        <v>283</v>
      </c>
      <c r="C1205" s="3">
        <v>2022</v>
      </c>
      <c r="D1205" s="4">
        <v>4</v>
      </c>
      <c r="E1205" s="5">
        <v>13.2</v>
      </c>
      <c r="F1205" s="5">
        <v>10.75</v>
      </c>
      <c r="G1205" s="3" t="str">
        <f>VLOOKUP(Registros[[#This Row],[Cliente]],Cliente_Region[],2,FALSE)</f>
        <v>Argentina</v>
      </c>
      <c r="H1205" s="3" t="str">
        <f>VLOOKUP(Registros[[#This Row],[Producto]],Producto[],2,FALSE)</f>
        <v>QUOKAR</v>
      </c>
    </row>
    <row r="1206" spans="1:8" ht="20.100000000000001" customHeight="1" x14ac:dyDescent="0.25">
      <c r="A1206" s="3" t="s">
        <v>90</v>
      </c>
      <c r="B1206" s="3" t="s">
        <v>283</v>
      </c>
      <c r="C1206" s="3">
        <v>2022</v>
      </c>
      <c r="D1206" s="4">
        <v>2</v>
      </c>
      <c r="E1206" s="5">
        <v>120</v>
      </c>
      <c r="F1206" s="5">
        <v>95.07</v>
      </c>
      <c r="G1206" s="3" t="str">
        <f>VLOOKUP(Registros[[#This Row],[Cliente]],Cliente_Region[],2,FALSE)</f>
        <v>Argentina</v>
      </c>
      <c r="H1206" s="3" t="str">
        <f>VLOOKUP(Registros[[#This Row],[Producto]],Producto[],2,FALSE)</f>
        <v>CHOTUS</v>
      </c>
    </row>
    <row r="1207" spans="1:8" ht="20.100000000000001" customHeight="1" x14ac:dyDescent="0.25">
      <c r="A1207" s="3" t="s">
        <v>91</v>
      </c>
      <c r="B1207" s="3" t="s">
        <v>283</v>
      </c>
      <c r="C1207" s="3">
        <v>2022</v>
      </c>
      <c r="D1207" s="4">
        <v>3</v>
      </c>
      <c r="E1207" s="5">
        <v>60</v>
      </c>
      <c r="F1207" s="5">
        <v>47.53</v>
      </c>
      <c r="G1207" s="3" t="str">
        <f>VLOOKUP(Registros[[#This Row],[Cliente]],Cliente_Region[],2,FALSE)</f>
        <v>Argentina</v>
      </c>
      <c r="H1207" s="3" t="str">
        <f>VLOOKUP(Registros[[#This Row],[Producto]],Producto[],2,FALSE)</f>
        <v>GAMBO</v>
      </c>
    </row>
    <row r="1208" spans="1:8" ht="20.100000000000001" customHeight="1" x14ac:dyDescent="0.25">
      <c r="A1208" s="3" t="s">
        <v>91</v>
      </c>
      <c r="B1208" s="3" t="s">
        <v>283</v>
      </c>
      <c r="C1208" s="3">
        <v>2022</v>
      </c>
      <c r="D1208" s="4">
        <v>4</v>
      </c>
      <c r="E1208" s="5">
        <v>30</v>
      </c>
      <c r="F1208" s="5">
        <v>23.76</v>
      </c>
      <c r="G1208" s="3" t="str">
        <f>VLOOKUP(Registros[[#This Row],[Cliente]],Cliente_Region[],2,FALSE)</f>
        <v>Argentina</v>
      </c>
      <c r="H1208" s="3" t="str">
        <f>VLOOKUP(Registros[[#This Row],[Producto]],Producto[],2,FALSE)</f>
        <v>GAMBO</v>
      </c>
    </row>
    <row r="1209" spans="1:8" ht="20.100000000000001" customHeight="1" x14ac:dyDescent="0.25">
      <c r="A1209" s="3" t="s">
        <v>297</v>
      </c>
      <c r="B1209" s="3" t="s">
        <v>283</v>
      </c>
      <c r="C1209" s="3">
        <v>2022</v>
      </c>
      <c r="D1209" s="4">
        <v>2</v>
      </c>
      <c r="E1209" s="5">
        <v>102</v>
      </c>
      <c r="F1209" s="5">
        <v>28.9</v>
      </c>
      <c r="G1209" s="3" t="str">
        <f>VLOOKUP(Registros[[#This Row],[Cliente]],Cliente_Region[],2,FALSE)</f>
        <v>Argentina</v>
      </c>
      <c r="H1209" s="3" t="str">
        <f>VLOOKUP(Registros[[#This Row],[Producto]],Producto[],2,FALSE)</f>
        <v>LAX</v>
      </c>
    </row>
    <row r="1210" spans="1:8" ht="20.100000000000001" customHeight="1" x14ac:dyDescent="0.25">
      <c r="A1210" s="3" t="s">
        <v>298</v>
      </c>
      <c r="B1210" s="3" t="s">
        <v>283</v>
      </c>
      <c r="C1210" s="3">
        <v>2022</v>
      </c>
      <c r="D1210" s="4">
        <v>3</v>
      </c>
      <c r="E1210" s="5">
        <v>25.5</v>
      </c>
      <c r="F1210" s="5">
        <v>7.17</v>
      </c>
      <c r="G1210" s="3" t="str">
        <f>VLOOKUP(Registros[[#This Row],[Cliente]],Cliente_Region[],2,FALSE)</f>
        <v>Argentina</v>
      </c>
      <c r="H1210" s="3" t="str">
        <f>VLOOKUP(Registros[[#This Row],[Producto]],Producto[],2,FALSE)</f>
        <v>QUOKAR</v>
      </c>
    </row>
    <row r="1211" spans="1:8" ht="20.100000000000001" customHeight="1" x14ac:dyDescent="0.25">
      <c r="A1211" s="3" t="s">
        <v>298</v>
      </c>
      <c r="B1211" s="3" t="s">
        <v>283</v>
      </c>
      <c r="C1211" s="3">
        <v>2022</v>
      </c>
      <c r="D1211" s="4">
        <v>4</v>
      </c>
      <c r="E1211" s="5">
        <v>25.5</v>
      </c>
      <c r="F1211" s="5">
        <v>7.17</v>
      </c>
      <c r="G1211" s="3" t="str">
        <f>VLOOKUP(Registros[[#This Row],[Cliente]],Cliente_Region[],2,FALSE)</f>
        <v>Argentina</v>
      </c>
      <c r="H1211" s="3" t="str">
        <f>VLOOKUP(Registros[[#This Row],[Producto]],Producto[],2,FALSE)</f>
        <v>QUOKAR</v>
      </c>
    </row>
    <row r="1212" spans="1:8" ht="20.100000000000001" customHeight="1" x14ac:dyDescent="0.25">
      <c r="A1212" s="3" t="s">
        <v>92</v>
      </c>
      <c r="B1212" s="3" t="s">
        <v>283</v>
      </c>
      <c r="C1212" s="3">
        <v>2022</v>
      </c>
      <c r="D1212" s="4">
        <v>2</v>
      </c>
      <c r="E1212" s="5">
        <v>240</v>
      </c>
      <c r="F1212" s="5">
        <v>127.61</v>
      </c>
      <c r="G1212" s="3" t="str">
        <f>VLOOKUP(Registros[[#This Row],[Cliente]],Cliente_Region[],2,FALSE)</f>
        <v>Argentina</v>
      </c>
      <c r="H1212" s="3" t="str">
        <f>VLOOKUP(Registros[[#This Row],[Producto]],Producto[],2,FALSE)</f>
        <v>MOC</v>
      </c>
    </row>
    <row r="1213" spans="1:8" ht="20.100000000000001" customHeight="1" x14ac:dyDescent="0.25">
      <c r="A1213" s="3" t="s">
        <v>93</v>
      </c>
      <c r="B1213" s="3" t="s">
        <v>283</v>
      </c>
      <c r="C1213" s="3">
        <v>2022</v>
      </c>
      <c r="D1213" s="4">
        <v>3</v>
      </c>
      <c r="E1213" s="5">
        <v>40</v>
      </c>
      <c r="F1213" s="5">
        <v>21.27</v>
      </c>
      <c r="G1213" s="3" t="str">
        <f>VLOOKUP(Registros[[#This Row],[Cliente]],Cliente_Region[],2,FALSE)</f>
        <v>Argentina</v>
      </c>
      <c r="H1213" s="3" t="str">
        <f>VLOOKUP(Registros[[#This Row],[Producto]],Producto[],2,FALSE)</f>
        <v>GAMBO</v>
      </c>
    </row>
    <row r="1214" spans="1:8" ht="20.100000000000001" customHeight="1" x14ac:dyDescent="0.25">
      <c r="A1214" s="3" t="s">
        <v>299</v>
      </c>
      <c r="B1214" s="3" t="s">
        <v>283</v>
      </c>
      <c r="C1214" s="3">
        <v>2022</v>
      </c>
      <c r="D1214" s="4">
        <v>2</v>
      </c>
      <c r="E1214" s="5">
        <v>355</v>
      </c>
      <c r="F1214" s="5">
        <v>186.6</v>
      </c>
      <c r="G1214" s="3" t="str">
        <f>VLOOKUP(Registros[[#This Row],[Cliente]],Cliente_Region[],2,FALSE)</f>
        <v>Argentina</v>
      </c>
      <c r="H1214" s="3" t="str">
        <f>VLOOKUP(Registros[[#This Row],[Producto]],Producto[],2,FALSE)</f>
        <v>SALF</v>
      </c>
    </row>
    <row r="1215" spans="1:8" ht="20.100000000000001" customHeight="1" x14ac:dyDescent="0.25">
      <c r="A1215" s="3" t="s">
        <v>255</v>
      </c>
      <c r="B1215" s="3" t="s">
        <v>283</v>
      </c>
      <c r="C1215" s="3">
        <v>2022</v>
      </c>
      <c r="D1215" s="4">
        <v>3</v>
      </c>
      <c r="E1215" s="5">
        <v>177.5</v>
      </c>
      <c r="F1215" s="5">
        <v>93.3</v>
      </c>
      <c r="G1215" s="3" t="str">
        <f>VLOOKUP(Registros[[#This Row],[Cliente]],Cliente_Region[],2,FALSE)</f>
        <v>Argentina</v>
      </c>
      <c r="H1215" s="3" t="str">
        <f>VLOOKUP(Registros[[#This Row],[Producto]],Producto[],2,FALSE)</f>
        <v>MOC</v>
      </c>
    </row>
    <row r="1216" spans="1:8" ht="20.100000000000001" customHeight="1" x14ac:dyDescent="0.25">
      <c r="A1216" s="3" t="s">
        <v>255</v>
      </c>
      <c r="B1216" s="3" t="s">
        <v>283</v>
      </c>
      <c r="C1216" s="3">
        <v>2022</v>
      </c>
      <c r="D1216" s="4">
        <v>4</v>
      </c>
      <c r="E1216" s="5">
        <v>88.75</v>
      </c>
      <c r="F1216" s="5">
        <v>46.65</v>
      </c>
      <c r="G1216" s="3" t="str">
        <f>VLOOKUP(Registros[[#This Row],[Cliente]],Cliente_Region[],2,FALSE)</f>
        <v>Argentina</v>
      </c>
      <c r="H1216" s="3" t="str">
        <f>VLOOKUP(Registros[[#This Row],[Producto]],Producto[],2,FALSE)</f>
        <v>MOC</v>
      </c>
    </row>
    <row r="1217" spans="1:8" ht="20.100000000000001" customHeight="1" x14ac:dyDescent="0.25">
      <c r="A1217" s="3" t="s">
        <v>81</v>
      </c>
      <c r="B1217" s="3" t="s">
        <v>283</v>
      </c>
      <c r="C1217" s="3">
        <v>2022</v>
      </c>
      <c r="D1217" s="4">
        <v>2</v>
      </c>
      <c r="E1217" s="5">
        <v>135</v>
      </c>
      <c r="F1217" s="5">
        <v>51.14</v>
      </c>
      <c r="G1217" s="3" t="str">
        <f>VLOOKUP(Registros[[#This Row],[Cliente]],Cliente_Region[],2,FALSE)</f>
        <v>Argentina</v>
      </c>
      <c r="H1217" s="3" t="str">
        <f>VLOOKUP(Registros[[#This Row],[Producto]],Producto[],2,FALSE)</f>
        <v>QUOKAR</v>
      </c>
    </row>
    <row r="1218" spans="1:8" ht="20.100000000000001" customHeight="1" x14ac:dyDescent="0.25">
      <c r="A1218" s="3" t="s">
        <v>82</v>
      </c>
      <c r="B1218" s="3" t="s">
        <v>283</v>
      </c>
      <c r="C1218" s="3">
        <v>2022</v>
      </c>
      <c r="D1218" s="4">
        <v>3</v>
      </c>
      <c r="E1218" s="5">
        <v>90</v>
      </c>
      <c r="F1218" s="5">
        <v>34.1</v>
      </c>
      <c r="G1218" s="3" t="str">
        <f>VLOOKUP(Registros[[#This Row],[Cliente]],Cliente_Region[],2,FALSE)</f>
        <v>Argentina</v>
      </c>
      <c r="H1218" s="3" t="str">
        <f>VLOOKUP(Registros[[#This Row],[Producto]],Producto[],2,FALSE)</f>
        <v>LAX</v>
      </c>
    </row>
    <row r="1219" spans="1:8" ht="20.100000000000001" customHeight="1" x14ac:dyDescent="0.25">
      <c r="A1219" s="3" t="s">
        <v>82</v>
      </c>
      <c r="B1219" s="3" t="s">
        <v>283</v>
      </c>
      <c r="C1219" s="3">
        <v>2022</v>
      </c>
      <c r="D1219" s="4">
        <v>4</v>
      </c>
      <c r="E1219" s="5">
        <v>22.5</v>
      </c>
      <c r="F1219" s="5">
        <v>8.52</v>
      </c>
      <c r="G1219" s="3" t="str">
        <f>VLOOKUP(Registros[[#This Row],[Cliente]],Cliente_Region[],2,FALSE)</f>
        <v>Argentina</v>
      </c>
      <c r="H1219" s="3" t="str">
        <f>VLOOKUP(Registros[[#This Row],[Producto]],Producto[],2,FALSE)</f>
        <v>LAX</v>
      </c>
    </row>
    <row r="1220" spans="1:8" ht="20.100000000000001" customHeight="1" x14ac:dyDescent="0.25">
      <c r="A1220" s="3" t="s">
        <v>82</v>
      </c>
      <c r="B1220" s="3" t="s">
        <v>283</v>
      </c>
      <c r="C1220" s="3">
        <v>2022</v>
      </c>
      <c r="D1220" s="4">
        <v>5</v>
      </c>
      <c r="E1220" s="5">
        <v>22.5</v>
      </c>
      <c r="F1220" s="5">
        <v>8.52</v>
      </c>
      <c r="G1220" s="3" t="str">
        <f>VLOOKUP(Registros[[#This Row],[Cliente]],Cliente_Region[],2,FALSE)</f>
        <v>Argentina</v>
      </c>
      <c r="H1220" s="3" t="str">
        <f>VLOOKUP(Registros[[#This Row],[Producto]],Producto[],2,FALSE)</f>
        <v>LAX</v>
      </c>
    </row>
    <row r="1221" spans="1:8" ht="20.100000000000001" customHeight="1" x14ac:dyDescent="0.25">
      <c r="A1221" s="3" t="s">
        <v>36</v>
      </c>
      <c r="B1221" s="3" t="s">
        <v>300</v>
      </c>
      <c r="C1221" s="3">
        <v>2022</v>
      </c>
      <c r="D1221" s="4">
        <v>1</v>
      </c>
      <c r="E1221" s="5">
        <v>66.3</v>
      </c>
      <c r="F1221" s="5">
        <v>41.52</v>
      </c>
      <c r="G1221" s="3" t="str">
        <f>VLOOKUP(Registros[[#This Row],[Cliente]],Cliente_Region[],2,FALSE)</f>
        <v>Canada</v>
      </c>
      <c r="H1221" s="3" t="str">
        <f>VLOOKUP(Registros[[#This Row],[Producto]],Producto[],2,FALSE)</f>
        <v>QUOKAR</v>
      </c>
    </row>
    <row r="1222" spans="1:8" ht="20.100000000000001" customHeight="1" x14ac:dyDescent="0.25">
      <c r="A1222" s="3" t="s">
        <v>37</v>
      </c>
      <c r="B1222" s="3" t="s">
        <v>300</v>
      </c>
      <c r="C1222" s="3">
        <v>2022</v>
      </c>
      <c r="D1222" s="4">
        <v>2</v>
      </c>
      <c r="E1222" s="5">
        <v>34.5</v>
      </c>
      <c r="F1222" s="5">
        <v>22.11</v>
      </c>
      <c r="G1222" s="3" t="str">
        <f>VLOOKUP(Registros[[#This Row],[Cliente]],Cliente_Region[],2,FALSE)</f>
        <v>Canada</v>
      </c>
      <c r="H1222" s="3" t="str">
        <f>VLOOKUP(Registros[[#This Row],[Producto]],Producto[],2,FALSE)</f>
        <v>DONANY</v>
      </c>
    </row>
    <row r="1223" spans="1:8" ht="20.100000000000001" customHeight="1" x14ac:dyDescent="0.25">
      <c r="A1223" s="3" t="s">
        <v>37</v>
      </c>
      <c r="B1223" s="3" t="s">
        <v>300</v>
      </c>
      <c r="C1223" s="3">
        <v>2022</v>
      </c>
      <c r="D1223" s="4">
        <v>3</v>
      </c>
      <c r="E1223" s="5">
        <v>43.38</v>
      </c>
      <c r="F1223" s="5">
        <v>26.86</v>
      </c>
      <c r="G1223" s="3" t="str">
        <f>VLOOKUP(Registros[[#This Row],[Cliente]],Cliente_Region[],2,FALSE)</f>
        <v>Canada</v>
      </c>
      <c r="H1223" s="3" t="str">
        <f>VLOOKUP(Registros[[#This Row],[Producto]],Producto[],2,FALSE)</f>
        <v>DONANY</v>
      </c>
    </row>
    <row r="1224" spans="1:8" ht="20.100000000000001" customHeight="1" x14ac:dyDescent="0.25">
      <c r="A1224" s="3" t="s">
        <v>37</v>
      </c>
      <c r="B1224" s="3" t="s">
        <v>300</v>
      </c>
      <c r="C1224" s="3">
        <v>2022</v>
      </c>
      <c r="D1224" s="4">
        <v>4</v>
      </c>
      <c r="E1224" s="5">
        <v>31.5</v>
      </c>
      <c r="F1224" s="5">
        <v>19.11</v>
      </c>
      <c r="G1224" s="3" t="str">
        <f>VLOOKUP(Registros[[#This Row],[Cliente]],Cliente_Region[],2,FALSE)</f>
        <v>Canada</v>
      </c>
      <c r="H1224" s="3" t="str">
        <f>VLOOKUP(Registros[[#This Row],[Producto]],Producto[],2,FALSE)</f>
        <v>DONANY</v>
      </c>
    </row>
    <row r="1225" spans="1:8" ht="20.100000000000001" customHeight="1" x14ac:dyDescent="0.25">
      <c r="A1225" s="3" t="s">
        <v>37</v>
      </c>
      <c r="B1225" s="3" t="s">
        <v>300</v>
      </c>
      <c r="C1225" s="3">
        <v>2022</v>
      </c>
      <c r="D1225" s="4">
        <v>5</v>
      </c>
      <c r="E1225" s="5">
        <v>63</v>
      </c>
      <c r="F1225" s="5">
        <v>38.22</v>
      </c>
      <c r="G1225" s="3" t="str">
        <f>VLOOKUP(Registros[[#This Row],[Cliente]],Cliente_Region[],2,FALSE)</f>
        <v>Canada</v>
      </c>
      <c r="H1225" s="3" t="str">
        <f>VLOOKUP(Registros[[#This Row],[Producto]],Producto[],2,FALSE)</f>
        <v>DONANY</v>
      </c>
    </row>
    <row r="1226" spans="1:8" ht="20.100000000000001" customHeight="1" x14ac:dyDescent="0.25">
      <c r="A1226" s="3" t="s">
        <v>37</v>
      </c>
      <c r="B1226" s="3" t="s">
        <v>300</v>
      </c>
      <c r="C1226" s="3">
        <v>2022</v>
      </c>
      <c r="D1226" s="4">
        <v>6</v>
      </c>
      <c r="E1226" s="5">
        <v>21</v>
      </c>
      <c r="F1226" s="5">
        <v>12.74</v>
      </c>
      <c r="G1226" s="3" t="str">
        <f>VLOOKUP(Registros[[#This Row],[Cliente]],Cliente_Region[],2,FALSE)</f>
        <v>Canada</v>
      </c>
      <c r="H1226" s="3" t="str">
        <f>VLOOKUP(Registros[[#This Row],[Producto]],Producto[],2,FALSE)</f>
        <v>DONANY</v>
      </c>
    </row>
    <row r="1227" spans="1:8" ht="20.100000000000001" customHeight="1" x14ac:dyDescent="0.25">
      <c r="A1227" s="3" t="s">
        <v>108</v>
      </c>
      <c r="B1227" s="3" t="s">
        <v>300</v>
      </c>
      <c r="C1227" s="3">
        <v>2022</v>
      </c>
      <c r="D1227" s="4">
        <v>1</v>
      </c>
      <c r="E1227" s="5">
        <v>322.5</v>
      </c>
      <c r="F1227" s="5">
        <v>139.96</v>
      </c>
      <c r="G1227" s="3" t="str">
        <f>VLOOKUP(Registros[[#This Row],[Cliente]],Cliente_Region[],2,FALSE)</f>
        <v>Canada</v>
      </c>
      <c r="H1227" s="3" t="str">
        <f>VLOOKUP(Registros[[#This Row],[Producto]],Producto[],2,FALSE)</f>
        <v>LAX</v>
      </c>
    </row>
    <row r="1228" spans="1:8" ht="20.100000000000001" customHeight="1" x14ac:dyDescent="0.25">
      <c r="A1228" s="3" t="s">
        <v>109</v>
      </c>
      <c r="B1228" s="3" t="s">
        <v>300</v>
      </c>
      <c r="C1228" s="3">
        <v>2022</v>
      </c>
      <c r="D1228" s="4">
        <v>2</v>
      </c>
      <c r="E1228" s="5">
        <v>225.75</v>
      </c>
      <c r="F1228" s="5">
        <v>122.43</v>
      </c>
      <c r="G1228" s="3" t="str">
        <f>VLOOKUP(Registros[[#This Row],[Cliente]],Cliente_Region[],2,FALSE)</f>
        <v>Canada</v>
      </c>
      <c r="H1228" s="3" t="str">
        <f>VLOOKUP(Registros[[#This Row],[Producto]],Producto[],2,FALSE)</f>
        <v>LAX</v>
      </c>
    </row>
    <row r="1229" spans="1:8" ht="20.100000000000001" customHeight="1" x14ac:dyDescent="0.25">
      <c r="A1229" s="3" t="s">
        <v>109</v>
      </c>
      <c r="B1229" s="3" t="s">
        <v>300</v>
      </c>
      <c r="C1229" s="3">
        <v>2022</v>
      </c>
      <c r="D1229" s="4">
        <v>3</v>
      </c>
      <c r="E1229" s="5">
        <v>247.25</v>
      </c>
      <c r="F1229" s="5">
        <v>134.09</v>
      </c>
      <c r="G1229" s="3" t="str">
        <f>VLOOKUP(Registros[[#This Row],[Cliente]],Cliente_Region[],2,FALSE)</f>
        <v>Canada</v>
      </c>
      <c r="H1229" s="3" t="str">
        <f>VLOOKUP(Registros[[#This Row],[Producto]],Producto[],2,FALSE)</f>
        <v>LAX</v>
      </c>
    </row>
    <row r="1230" spans="1:8" ht="20.100000000000001" customHeight="1" x14ac:dyDescent="0.25">
      <c r="A1230" s="3" t="s">
        <v>109</v>
      </c>
      <c r="B1230" s="3" t="s">
        <v>300</v>
      </c>
      <c r="C1230" s="3">
        <v>2022</v>
      </c>
      <c r="D1230" s="4">
        <v>4</v>
      </c>
      <c r="E1230" s="5">
        <v>182.75</v>
      </c>
      <c r="F1230" s="5">
        <v>85.38</v>
      </c>
      <c r="G1230" s="3" t="str">
        <f>VLOOKUP(Registros[[#This Row],[Cliente]],Cliente_Region[],2,FALSE)</f>
        <v>Canada</v>
      </c>
      <c r="H1230" s="3" t="str">
        <f>VLOOKUP(Registros[[#This Row],[Producto]],Producto[],2,FALSE)</f>
        <v>LAX</v>
      </c>
    </row>
    <row r="1231" spans="1:8" ht="20.100000000000001" customHeight="1" x14ac:dyDescent="0.25">
      <c r="A1231" s="3" t="s">
        <v>109</v>
      </c>
      <c r="B1231" s="3" t="s">
        <v>300</v>
      </c>
      <c r="C1231" s="3">
        <v>2022</v>
      </c>
      <c r="D1231" s="4">
        <v>5</v>
      </c>
      <c r="E1231" s="5">
        <v>204.25</v>
      </c>
      <c r="F1231" s="5">
        <v>110.77</v>
      </c>
      <c r="G1231" s="3" t="str">
        <f>VLOOKUP(Registros[[#This Row],[Cliente]],Cliente_Region[],2,FALSE)</f>
        <v>Canada</v>
      </c>
      <c r="H1231" s="3" t="str">
        <f>VLOOKUP(Registros[[#This Row],[Producto]],Producto[],2,FALSE)</f>
        <v>LAX</v>
      </c>
    </row>
    <row r="1232" spans="1:8" ht="20.100000000000001" customHeight="1" x14ac:dyDescent="0.25">
      <c r="A1232" s="3" t="s">
        <v>109</v>
      </c>
      <c r="B1232" s="3" t="s">
        <v>300</v>
      </c>
      <c r="C1232" s="3">
        <v>2022</v>
      </c>
      <c r="D1232" s="4">
        <v>6</v>
      </c>
      <c r="E1232" s="5">
        <v>204.25</v>
      </c>
      <c r="F1232" s="5">
        <v>110.77</v>
      </c>
      <c r="G1232" s="3" t="str">
        <f>VLOOKUP(Registros[[#This Row],[Cliente]],Cliente_Region[],2,FALSE)</f>
        <v>Canada</v>
      </c>
      <c r="H1232" s="3" t="str">
        <f>VLOOKUP(Registros[[#This Row],[Producto]],Producto[],2,FALSE)</f>
        <v>LAX</v>
      </c>
    </row>
    <row r="1233" spans="1:8" ht="20.100000000000001" customHeight="1" x14ac:dyDescent="0.25">
      <c r="A1233" s="3" t="s">
        <v>290</v>
      </c>
      <c r="B1233" s="3" t="s">
        <v>300</v>
      </c>
      <c r="C1233" s="3">
        <v>2022</v>
      </c>
      <c r="D1233" s="4">
        <v>5</v>
      </c>
      <c r="E1233" s="5">
        <v>27.5</v>
      </c>
      <c r="F1233" s="5">
        <v>15.98</v>
      </c>
      <c r="G1233" s="3" t="str">
        <f>VLOOKUP(Registros[[#This Row],[Cliente]],Cliente_Region[],2,FALSE)</f>
        <v>Canada</v>
      </c>
      <c r="H1233" s="3" t="str">
        <f>VLOOKUP(Registros[[#This Row],[Producto]],Producto[],2,FALSE)</f>
        <v>QUOKAR</v>
      </c>
    </row>
    <row r="1234" spans="1:8" ht="20.100000000000001" customHeight="1" x14ac:dyDescent="0.25">
      <c r="A1234" s="3" t="s">
        <v>11</v>
      </c>
      <c r="B1234" s="3" t="s">
        <v>300</v>
      </c>
      <c r="C1234" s="3">
        <v>2022</v>
      </c>
      <c r="D1234" s="4">
        <v>1</v>
      </c>
      <c r="E1234" s="5">
        <v>282.75</v>
      </c>
      <c r="F1234" s="5">
        <v>109.46</v>
      </c>
      <c r="G1234" s="3" t="str">
        <f>VLOOKUP(Registros[[#This Row],[Cliente]],Cliente_Region[],2,FALSE)</f>
        <v>Canada</v>
      </c>
      <c r="H1234" s="3" t="str">
        <f>VLOOKUP(Registros[[#This Row],[Producto]],Producto[],2,FALSE)</f>
        <v>DONANY</v>
      </c>
    </row>
    <row r="1235" spans="1:8" ht="20.100000000000001" customHeight="1" x14ac:dyDescent="0.25">
      <c r="A1235" s="3" t="s">
        <v>292</v>
      </c>
      <c r="B1235" s="3" t="s">
        <v>300</v>
      </c>
      <c r="C1235" s="3">
        <v>2022</v>
      </c>
      <c r="D1235" s="4">
        <v>2</v>
      </c>
      <c r="E1235" s="5">
        <v>252.75</v>
      </c>
      <c r="F1235" s="5">
        <v>121.27</v>
      </c>
      <c r="G1235" s="3" t="str">
        <f>VLOOKUP(Registros[[#This Row],[Cliente]],Cliente_Region[],2,FALSE)</f>
        <v>Canada</v>
      </c>
      <c r="H1235" s="3" t="str">
        <f>VLOOKUP(Registros[[#This Row],[Producto]],Producto[],2,FALSE)</f>
        <v>QUOKAR</v>
      </c>
    </row>
    <row r="1236" spans="1:8" ht="20.100000000000001" customHeight="1" x14ac:dyDescent="0.25">
      <c r="A1236" s="3" t="s">
        <v>292</v>
      </c>
      <c r="B1236" s="3" t="s">
        <v>300</v>
      </c>
      <c r="C1236" s="3">
        <v>2022</v>
      </c>
      <c r="D1236" s="4">
        <v>3</v>
      </c>
      <c r="E1236" s="5">
        <v>221.25</v>
      </c>
      <c r="F1236" s="5">
        <v>89.78</v>
      </c>
      <c r="G1236" s="3" t="str">
        <f>VLOOKUP(Registros[[#This Row],[Cliente]],Cliente_Region[],2,FALSE)</f>
        <v>Canada</v>
      </c>
      <c r="H1236" s="3" t="str">
        <f>VLOOKUP(Registros[[#This Row],[Producto]],Producto[],2,FALSE)</f>
        <v>QUOKAR</v>
      </c>
    </row>
    <row r="1237" spans="1:8" ht="20.100000000000001" customHeight="1" x14ac:dyDescent="0.25">
      <c r="A1237" s="3" t="s">
        <v>292</v>
      </c>
      <c r="B1237" s="3" t="s">
        <v>300</v>
      </c>
      <c r="C1237" s="3">
        <v>2022</v>
      </c>
      <c r="D1237" s="4">
        <v>4</v>
      </c>
      <c r="E1237" s="5">
        <v>195</v>
      </c>
      <c r="F1237" s="5">
        <v>75.489999999999995</v>
      </c>
      <c r="G1237" s="3" t="str">
        <f>VLOOKUP(Registros[[#This Row],[Cliente]],Cliente_Region[],2,FALSE)</f>
        <v>Canada</v>
      </c>
      <c r="H1237" s="3" t="str">
        <f>VLOOKUP(Registros[[#This Row],[Producto]],Producto[],2,FALSE)</f>
        <v>QUOKAR</v>
      </c>
    </row>
    <row r="1238" spans="1:8" ht="20.100000000000001" customHeight="1" x14ac:dyDescent="0.25">
      <c r="A1238" s="3" t="s">
        <v>292</v>
      </c>
      <c r="B1238" s="3" t="s">
        <v>300</v>
      </c>
      <c r="C1238" s="3">
        <v>2022</v>
      </c>
      <c r="D1238" s="4">
        <v>5</v>
      </c>
      <c r="E1238" s="5">
        <v>202.13</v>
      </c>
      <c r="F1238" s="5">
        <v>82.62</v>
      </c>
      <c r="G1238" s="3" t="str">
        <f>VLOOKUP(Registros[[#This Row],[Cliente]],Cliente_Region[],2,FALSE)</f>
        <v>Canada</v>
      </c>
      <c r="H1238" s="3" t="str">
        <f>VLOOKUP(Registros[[#This Row],[Producto]],Producto[],2,FALSE)</f>
        <v>QUOKAR</v>
      </c>
    </row>
    <row r="1239" spans="1:8" ht="20.100000000000001" customHeight="1" x14ac:dyDescent="0.25">
      <c r="A1239" s="3" t="s">
        <v>292</v>
      </c>
      <c r="B1239" s="3" t="s">
        <v>300</v>
      </c>
      <c r="C1239" s="3">
        <v>2022</v>
      </c>
      <c r="D1239" s="4">
        <v>6</v>
      </c>
      <c r="E1239" s="5">
        <v>175.5</v>
      </c>
      <c r="F1239" s="5">
        <v>67.930000000000007</v>
      </c>
      <c r="G1239" s="3" t="str">
        <f>VLOOKUP(Registros[[#This Row],[Cliente]],Cliente_Region[],2,FALSE)</f>
        <v>Canada</v>
      </c>
      <c r="H1239" s="3" t="str">
        <f>VLOOKUP(Registros[[#This Row],[Producto]],Producto[],2,FALSE)</f>
        <v>QUOKAR</v>
      </c>
    </row>
    <row r="1240" spans="1:8" ht="20.100000000000001" customHeight="1" x14ac:dyDescent="0.25">
      <c r="A1240" s="3" t="s">
        <v>301</v>
      </c>
      <c r="B1240" s="3" t="s">
        <v>300</v>
      </c>
      <c r="C1240" s="3">
        <v>2022</v>
      </c>
      <c r="D1240" s="4">
        <v>1</v>
      </c>
      <c r="E1240" s="5">
        <v>320</v>
      </c>
      <c r="F1240" s="5">
        <v>137.29</v>
      </c>
      <c r="G1240" s="3" t="str">
        <f>VLOOKUP(Registros[[#This Row],[Cliente]],Cliente_Region[],2,FALSE)</f>
        <v>Canada</v>
      </c>
      <c r="H1240" s="3" t="str">
        <f>VLOOKUP(Registros[[#This Row],[Producto]],Producto[],2,FALSE)</f>
        <v>CHOTUS</v>
      </c>
    </row>
    <row r="1241" spans="1:8" ht="20.100000000000001" customHeight="1" x14ac:dyDescent="0.25">
      <c r="A1241" s="3" t="s">
        <v>302</v>
      </c>
      <c r="B1241" s="3" t="s">
        <v>300</v>
      </c>
      <c r="C1241" s="3">
        <v>2022</v>
      </c>
      <c r="D1241" s="4">
        <v>2</v>
      </c>
      <c r="E1241" s="5">
        <v>304.5</v>
      </c>
      <c r="F1241" s="5">
        <v>149.19</v>
      </c>
      <c r="G1241" s="3" t="str">
        <f>VLOOKUP(Registros[[#This Row],[Cliente]],Cliente_Region[],2,FALSE)</f>
        <v>Canada</v>
      </c>
      <c r="H1241" s="3" t="str">
        <f>VLOOKUP(Registros[[#This Row],[Producto]],Producto[],2,FALSE)</f>
        <v>CHOTUS</v>
      </c>
    </row>
    <row r="1242" spans="1:8" ht="20.100000000000001" customHeight="1" x14ac:dyDescent="0.25">
      <c r="A1242" s="3" t="s">
        <v>302</v>
      </c>
      <c r="B1242" s="3" t="s">
        <v>300</v>
      </c>
      <c r="C1242" s="3">
        <v>2022</v>
      </c>
      <c r="D1242" s="4">
        <v>3</v>
      </c>
      <c r="E1242" s="5">
        <v>261</v>
      </c>
      <c r="F1242" s="5">
        <v>114.82</v>
      </c>
      <c r="G1242" s="3" t="str">
        <f>VLOOKUP(Registros[[#This Row],[Cliente]],Cliente_Region[],2,FALSE)</f>
        <v>Canada</v>
      </c>
      <c r="H1242" s="3" t="str">
        <f>VLOOKUP(Registros[[#This Row],[Producto]],Producto[],2,FALSE)</f>
        <v>CHOTUS</v>
      </c>
    </row>
    <row r="1243" spans="1:8" ht="20.100000000000001" customHeight="1" x14ac:dyDescent="0.25">
      <c r="A1243" s="3" t="s">
        <v>302</v>
      </c>
      <c r="B1243" s="3" t="s">
        <v>300</v>
      </c>
      <c r="C1243" s="3">
        <v>2022</v>
      </c>
      <c r="D1243" s="4">
        <v>4</v>
      </c>
      <c r="E1243" s="5">
        <v>256</v>
      </c>
      <c r="F1243" s="5">
        <v>109.83</v>
      </c>
      <c r="G1243" s="3" t="str">
        <f>VLOOKUP(Registros[[#This Row],[Cliente]],Cliente_Region[],2,FALSE)</f>
        <v>Canada</v>
      </c>
      <c r="H1243" s="3" t="str">
        <f>VLOOKUP(Registros[[#This Row],[Producto]],Producto[],2,FALSE)</f>
        <v>CHOTUS</v>
      </c>
    </row>
    <row r="1244" spans="1:8" ht="20.100000000000001" customHeight="1" x14ac:dyDescent="0.25">
      <c r="A1244" s="3" t="s">
        <v>302</v>
      </c>
      <c r="B1244" s="3" t="s">
        <v>300</v>
      </c>
      <c r="C1244" s="3">
        <v>2022</v>
      </c>
      <c r="D1244" s="4">
        <v>5</v>
      </c>
      <c r="E1244" s="5">
        <v>160</v>
      </c>
      <c r="F1244" s="5">
        <v>68.64</v>
      </c>
      <c r="G1244" s="3" t="str">
        <f>VLOOKUP(Registros[[#This Row],[Cliente]],Cliente_Region[],2,FALSE)</f>
        <v>Canada</v>
      </c>
      <c r="H1244" s="3" t="str">
        <f>VLOOKUP(Registros[[#This Row],[Producto]],Producto[],2,FALSE)</f>
        <v>CHOTUS</v>
      </c>
    </row>
    <row r="1245" spans="1:8" ht="20.100000000000001" customHeight="1" x14ac:dyDescent="0.25">
      <c r="A1245" s="3" t="s">
        <v>302</v>
      </c>
      <c r="B1245" s="3" t="s">
        <v>300</v>
      </c>
      <c r="C1245" s="3">
        <v>2022</v>
      </c>
      <c r="D1245" s="4">
        <v>6</v>
      </c>
      <c r="E1245" s="5">
        <v>240</v>
      </c>
      <c r="F1245" s="5">
        <v>102.97</v>
      </c>
      <c r="G1245" s="3" t="str">
        <f>VLOOKUP(Registros[[#This Row],[Cliente]],Cliente_Region[],2,FALSE)</f>
        <v>Canada</v>
      </c>
      <c r="H1245" s="3" t="str">
        <f>VLOOKUP(Registros[[#This Row],[Producto]],Producto[],2,FALSE)</f>
        <v>CHOTUS</v>
      </c>
    </row>
    <row r="1246" spans="1:8" ht="20.100000000000001" customHeight="1" x14ac:dyDescent="0.25">
      <c r="A1246" s="3" t="s">
        <v>295</v>
      </c>
      <c r="B1246" s="3" t="s">
        <v>300</v>
      </c>
      <c r="C1246" s="3">
        <v>2022</v>
      </c>
      <c r="D1246" s="4">
        <v>1</v>
      </c>
      <c r="E1246" s="5">
        <v>116</v>
      </c>
      <c r="F1246" s="5">
        <v>55.29</v>
      </c>
      <c r="G1246" s="3" t="str">
        <f>VLOOKUP(Registros[[#This Row],[Cliente]],Cliente_Region[],2,FALSE)</f>
        <v>Canada</v>
      </c>
      <c r="H1246" s="3" t="str">
        <f>VLOOKUP(Registros[[#This Row],[Producto]],Producto[],2,FALSE)</f>
        <v>QUOKAR</v>
      </c>
    </row>
    <row r="1247" spans="1:8" ht="20.100000000000001" customHeight="1" x14ac:dyDescent="0.25">
      <c r="A1247" s="3" t="s">
        <v>296</v>
      </c>
      <c r="B1247" s="3" t="s">
        <v>300</v>
      </c>
      <c r="C1247" s="3">
        <v>2022</v>
      </c>
      <c r="D1247" s="4">
        <v>2</v>
      </c>
      <c r="E1247" s="5">
        <v>103.75</v>
      </c>
      <c r="F1247" s="5">
        <v>54.11</v>
      </c>
      <c r="G1247" s="3" t="str">
        <f>VLOOKUP(Registros[[#This Row],[Cliente]],Cliente_Region[],2,FALSE)</f>
        <v>Canada</v>
      </c>
      <c r="H1247" s="3" t="str">
        <f>VLOOKUP(Registros[[#This Row],[Producto]],Producto[],2,FALSE)</f>
        <v>SALF</v>
      </c>
    </row>
    <row r="1248" spans="1:8" ht="20.100000000000001" customHeight="1" x14ac:dyDescent="0.25">
      <c r="A1248" s="3" t="s">
        <v>296</v>
      </c>
      <c r="B1248" s="3" t="s">
        <v>300</v>
      </c>
      <c r="C1248" s="3">
        <v>2022</v>
      </c>
      <c r="D1248" s="4">
        <v>3</v>
      </c>
      <c r="E1248" s="5">
        <v>100.25</v>
      </c>
      <c r="F1248" s="5">
        <v>50.57</v>
      </c>
      <c r="G1248" s="3" t="str">
        <f>VLOOKUP(Registros[[#This Row],[Cliente]],Cliente_Region[],2,FALSE)</f>
        <v>Canada</v>
      </c>
      <c r="H1248" s="3" t="str">
        <f>VLOOKUP(Registros[[#This Row],[Producto]],Producto[],2,FALSE)</f>
        <v>SALF</v>
      </c>
    </row>
    <row r="1249" spans="1:8" ht="20.100000000000001" customHeight="1" x14ac:dyDescent="0.25">
      <c r="A1249" s="3" t="s">
        <v>296</v>
      </c>
      <c r="B1249" s="3" t="s">
        <v>300</v>
      </c>
      <c r="C1249" s="3">
        <v>2022</v>
      </c>
      <c r="D1249" s="4">
        <v>4</v>
      </c>
      <c r="E1249" s="5">
        <v>123.75</v>
      </c>
      <c r="F1249" s="5">
        <v>74.08</v>
      </c>
      <c r="G1249" s="3" t="str">
        <f>VLOOKUP(Registros[[#This Row],[Cliente]],Cliente_Region[],2,FALSE)</f>
        <v>Canada</v>
      </c>
      <c r="H1249" s="3" t="str">
        <f>VLOOKUP(Registros[[#This Row],[Producto]],Producto[],2,FALSE)</f>
        <v>SALF</v>
      </c>
    </row>
    <row r="1250" spans="1:8" ht="20.100000000000001" customHeight="1" x14ac:dyDescent="0.25">
      <c r="A1250" s="3" t="s">
        <v>296</v>
      </c>
      <c r="B1250" s="3" t="s">
        <v>300</v>
      </c>
      <c r="C1250" s="3">
        <v>2022</v>
      </c>
      <c r="D1250" s="4">
        <v>5</v>
      </c>
      <c r="E1250" s="5">
        <v>82.5</v>
      </c>
      <c r="F1250" s="5">
        <v>49.38</v>
      </c>
      <c r="G1250" s="3" t="str">
        <f>VLOOKUP(Registros[[#This Row],[Cliente]],Cliente_Region[],2,FALSE)</f>
        <v>Canada</v>
      </c>
      <c r="H1250" s="3" t="str">
        <f>VLOOKUP(Registros[[#This Row],[Producto]],Producto[],2,FALSE)</f>
        <v>SALF</v>
      </c>
    </row>
    <row r="1251" spans="1:8" ht="20.100000000000001" customHeight="1" x14ac:dyDescent="0.25">
      <c r="A1251" s="3" t="s">
        <v>296</v>
      </c>
      <c r="B1251" s="3" t="s">
        <v>300</v>
      </c>
      <c r="C1251" s="3">
        <v>2022</v>
      </c>
      <c r="D1251" s="4">
        <v>6</v>
      </c>
      <c r="E1251" s="5">
        <v>110</v>
      </c>
      <c r="F1251" s="5">
        <v>65.849999999999994</v>
      </c>
      <c r="G1251" s="3" t="str">
        <f>VLOOKUP(Registros[[#This Row],[Cliente]],Cliente_Region[],2,FALSE)</f>
        <v>Canada</v>
      </c>
      <c r="H1251" s="3" t="str">
        <f>VLOOKUP(Registros[[#This Row],[Producto]],Producto[],2,FALSE)</f>
        <v>SALF</v>
      </c>
    </row>
    <row r="1252" spans="1:8" ht="20.100000000000001" customHeight="1" x14ac:dyDescent="0.25">
      <c r="A1252" s="3" t="s">
        <v>280</v>
      </c>
      <c r="B1252" s="3" t="s">
        <v>300</v>
      </c>
      <c r="C1252" s="3">
        <v>2022</v>
      </c>
      <c r="D1252" s="4">
        <v>4</v>
      </c>
      <c r="E1252" s="5">
        <v>41</v>
      </c>
      <c r="F1252" s="5">
        <v>22.27</v>
      </c>
      <c r="G1252" s="3" t="str">
        <f>VLOOKUP(Registros[[#This Row],[Cliente]],Cliente_Region[],2,FALSE)</f>
        <v>Canada</v>
      </c>
      <c r="H1252" s="3" t="str">
        <f>VLOOKUP(Registros[[#This Row],[Producto]],Producto[],2,FALSE)</f>
        <v>CHOTUS</v>
      </c>
    </row>
    <row r="1253" spans="1:8" ht="20.100000000000001" customHeight="1" x14ac:dyDescent="0.25">
      <c r="A1253" s="3" t="s">
        <v>38</v>
      </c>
      <c r="B1253" s="3" t="s">
        <v>300</v>
      </c>
      <c r="C1253" s="3">
        <v>2022</v>
      </c>
      <c r="D1253" s="4">
        <v>1</v>
      </c>
      <c r="E1253" s="5">
        <v>47.6</v>
      </c>
      <c r="F1253" s="5">
        <v>26.92</v>
      </c>
      <c r="G1253" s="3" t="str">
        <f>VLOOKUP(Registros[[#This Row],[Cliente]],Cliente_Region[],2,FALSE)</f>
        <v>Canada</v>
      </c>
      <c r="H1253" s="3" t="str">
        <f>VLOOKUP(Registros[[#This Row],[Producto]],Producto[],2,FALSE)</f>
        <v>LAX</v>
      </c>
    </row>
    <row r="1254" spans="1:8" ht="20.100000000000001" customHeight="1" x14ac:dyDescent="0.25">
      <c r="A1254" s="3" t="s">
        <v>39</v>
      </c>
      <c r="B1254" s="3" t="s">
        <v>300</v>
      </c>
      <c r="C1254" s="3">
        <v>2022</v>
      </c>
      <c r="D1254" s="4">
        <v>2</v>
      </c>
      <c r="E1254" s="5">
        <v>47.6</v>
      </c>
      <c r="F1254" s="5">
        <v>26.92</v>
      </c>
      <c r="G1254" s="3" t="str">
        <f>VLOOKUP(Registros[[#This Row],[Cliente]],Cliente_Region[],2,FALSE)</f>
        <v>Canada</v>
      </c>
      <c r="H1254" s="3" t="str">
        <f>VLOOKUP(Registros[[#This Row],[Producto]],Producto[],2,FALSE)</f>
        <v>SALF</v>
      </c>
    </row>
    <row r="1255" spans="1:8" ht="20.100000000000001" customHeight="1" x14ac:dyDescent="0.25">
      <c r="A1255" s="3" t="s">
        <v>39</v>
      </c>
      <c r="B1255" s="3" t="s">
        <v>300</v>
      </c>
      <c r="C1255" s="3">
        <v>2022</v>
      </c>
      <c r="D1255" s="4">
        <v>3</v>
      </c>
      <c r="E1255" s="5">
        <v>95.2</v>
      </c>
      <c r="F1255" s="5">
        <v>53.84</v>
      </c>
      <c r="G1255" s="3" t="str">
        <f>VLOOKUP(Registros[[#This Row],[Cliente]],Cliente_Region[],2,FALSE)</f>
        <v>Canada</v>
      </c>
      <c r="H1255" s="3" t="str">
        <f>VLOOKUP(Registros[[#This Row],[Producto]],Producto[],2,FALSE)</f>
        <v>SALF</v>
      </c>
    </row>
    <row r="1256" spans="1:8" ht="20.100000000000001" customHeight="1" x14ac:dyDescent="0.25">
      <c r="A1256" s="3" t="s">
        <v>39</v>
      </c>
      <c r="B1256" s="3" t="s">
        <v>300</v>
      </c>
      <c r="C1256" s="3">
        <v>2022</v>
      </c>
      <c r="D1256" s="4">
        <v>4</v>
      </c>
      <c r="E1256" s="5">
        <v>47.6</v>
      </c>
      <c r="F1256" s="5">
        <v>26.92</v>
      </c>
      <c r="G1256" s="3" t="str">
        <f>VLOOKUP(Registros[[#This Row],[Cliente]],Cliente_Region[],2,FALSE)</f>
        <v>Canada</v>
      </c>
      <c r="H1256" s="3" t="str">
        <f>VLOOKUP(Registros[[#This Row],[Producto]],Producto[],2,FALSE)</f>
        <v>SALF</v>
      </c>
    </row>
    <row r="1257" spans="1:8" ht="20.100000000000001" customHeight="1" x14ac:dyDescent="0.25">
      <c r="A1257" s="3" t="s">
        <v>39</v>
      </c>
      <c r="B1257" s="3" t="s">
        <v>300</v>
      </c>
      <c r="C1257" s="3">
        <v>2022</v>
      </c>
      <c r="D1257" s="4">
        <v>5</v>
      </c>
      <c r="E1257" s="5">
        <v>119</v>
      </c>
      <c r="F1257" s="5">
        <v>67.31</v>
      </c>
      <c r="G1257" s="3" t="str">
        <f>VLOOKUP(Registros[[#This Row],[Cliente]],Cliente_Region[],2,FALSE)</f>
        <v>Canada</v>
      </c>
      <c r="H1257" s="3" t="str">
        <f>VLOOKUP(Registros[[#This Row],[Producto]],Producto[],2,FALSE)</f>
        <v>SALF</v>
      </c>
    </row>
    <row r="1258" spans="1:8" ht="20.100000000000001" customHeight="1" x14ac:dyDescent="0.25">
      <c r="A1258" s="3" t="s">
        <v>39</v>
      </c>
      <c r="B1258" s="3" t="s">
        <v>300</v>
      </c>
      <c r="C1258" s="3">
        <v>2022</v>
      </c>
      <c r="D1258" s="4">
        <v>6</v>
      </c>
      <c r="E1258" s="5">
        <v>47.6</v>
      </c>
      <c r="F1258" s="5">
        <v>26.92</v>
      </c>
      <c r="G1258" s="3" t="str">
        <f>VLOOKUP(Registros[[#This Row],[Cliente]],Cliente_Region[],2,FALSE)</f>
        <v>Canada</v>
      </c>
      <c r="H1258" s="3" t="str">
        <f>VLOOKUP(Registros[[#This Row],[Producto]],Producto[],2,FALSE)</f>
        <v>SALF</v>
      </c>
    </row>
    <row r="1259" spans="1:8" ht="20.100000000000001" customHeight="1" x14ac:dyDescent="0.25">
      <c r="A1259" s="3" t="s">
        <v>40</v>
      </c>
      <c r="B1259" s="3" t="s">
        <v>300</v>
      </c>
      <c r="C1259" s="3">
        <v>2022</v>
      </c>
      <c r="D1259" s="4">
        <v>1</v>
      </c>
      <c r="E1259" s="5">
        <v>43</v>
      </c>
      <c r="F1259" s="5">
        <v>23.16</v>
      </c>
      <c r="G1259" s="3" t="str">
        <f>VLOOKUP(Registros[[#This Row],[Cliente]],Cliente_Region[],2,FALSE)</f>
        <v>Canada</v>
      </c>
      <c r="H1259" s="3" t="str">
        <f>VLOOKUP(Registros[[#This Row],[Producto]],Producto[],2,FALSE)</f>
        <v>DAWNE</v>
      </c>
    </row>
    <row r="1260" spans="1:8" ht="20.100000000000001" customHeight="1" x14ac:dyDescent="0.25">
      <c r="A1260" s="3" t="s">
        <v>41</v>
      </c>
      <c r="B1260" s="3" t="s">
        <v>300</v>
      </c>
      <c r="C1260" s="3">
        <v>2022</v>
      </c>
      <c r="D1260" s="4">
        <v>2</v>
      </c>
      <c r="E1260" s="5">
        <v>43</v>
      </c>
      <c r="F1260" s="5">
        <v>23.16</v>
      </c>
      <c r="G1260" s="3" t="str">
        <f>VLOOKUP(Registros[[#This Row],[Cliente]],Cliente_Region[],2,FALSE)</f>
        <v>Canada</v>
      </c>
      <c r="H1260" s="3" t="str">
        <f>VLOOKUP(Registros[[#This Row],[Producto]],Producto[],2,FALSE)</f>
        <v>DONANY</v>
      </c>
    </row>
    <row r="1261" spans="1:8" ht="20.100000000000001" customHeight="1" x14ac:dyDescent="0.25">
      <c r="A1261" s="3" t="s">
        <v>41</v>
      </c>
      <c r="B1261" s="3" t="s">
        <v>300</v>
      </c>
      <c r="C1261" s="3">
        <v>2022</v>
      </c>
      <c r="D1261" s="4">
        <v>3</v>
      </c>
      <c r="E1261" s="5">
        <v>43</v>
      </c>
      <c r="F1261" s="5">
        <v>23.16</v>
      </c>
      <c r="G1261" s="3" t="str">
        <f>VLOOKUP(Registros[[#This Row],[Cliente]],Cliente_Region[],2,FALSE)</f>
        <v>Canada</v>
      </c>
      <c r="H1261" s="3" t="str">
        <f>VLOOKUP(Registros[[#This Row],[Producto]],Producto[],2,FALSE)</f>
        <v>DONANY</v>
      </c>
    </row>
    <row r="1262" spans="1:8" ht="20.100000000000001" customHeight="1" x14ac:dyDescent="0.25">
      <c r="A1262" s="3" t="s">
        <v>41</v>
      </c>
      <c r="B1262" s="3" t="s">
        <v>300</v>
      </c>
      <c r="C1262" s="3">
        <v>2022</v>
      </c>
      <c r="D1262" s="4">
        <v>4</v>
      </c>
      <c r="E1262" s="5">
        <v>64.5</v>
      </c>
      <c r="F1262" s="5">
        <v>34.74</v>
      </c>
      <c r="G1262" s="3" t="str">
        <f>VLOOKUP(Registros[[#This Row],[Cliente]],Cliente_Region[],2,FALSE)</f>
        <v>Canada</v>
      </c>
      <c r="H1262" s="3" t="str">
        <f>VLOOKUP(Registros[[#This Row],[Producto]],Producto[],2,FALSE)</f>
        <v>DONANY</v>
      </c>
    </row>
    <row r="1263" spans="1:8" ht="20.100000000000001" customHeight="1" x14ac:dyDescent="0.25">
      <c r="A1263" s="3" t="s">
        <v>41</v>
      </c>
      <c r="B1263" s="3" t="s">
        <v>300</v>
      </c>
      <c r="C1263" s="3">
        <v>2022</v>
      </c>
      <c r="D1263" s="4">
        <v>5</v>
      </c>
      <c r="E1263" s="5">
        <v>64.5</v>
      </c>
      <c r="F1263" s="5">
        <v>34.74</v>
      </c>
      <c r="G1263" s="3" t="str">
        <f>VLOOKUP(Registros[[#This Row],[Cliente]],Cliente_Region[],2,FALSE)</f>
        <v>Canada</v>
      </c>
      <c r="H1263" s="3" t="str">
        <f>VLOOKUP(Registros[[#This Row],[Producto]],Producto[],2,FALSE)</f>
        <v>DONANY</v>
      </c>
    </row>
    <row r="1264" spans="1:8" ht="20.100000000000001" customHeight="1" x14ac:dyDescent="0.25">
      <c r="A1264" s="3" t="s">
        <v>41</v>
      </c>
      <c r="B1264" s="3" t="s">
        <v>300</v>
      </c>
      <c r="C1264" s="3">
        <v>2022</v>
      </c>
      <c r="D1264" s="4">
        <v>6</v>
      </c>
      <c r="E1264" s="5">
        <v>21.5</v>
      </c>
      <c r="F1264" s="5">
        <v>11.58</v>
      </c>
      <c r="G1264" s="3" t="str">
        <f>VLOOKUP(Registros[[#This Row],[Cliente]],Cliente_Region[],2,FALSE)</f>
        <v>Canada</v>
      </c>
      <c r="H1264" s="3" t="str">
        <f>VLOOKUP(Registros[[#This Row],[Producto]],Producto[],2,FALSE)</f>
        <v>DONANY</v>
      </c>
    </row>
    <row r="1265" spans="1:8" ht="20.100000000000001" customHeight="1" x14ac:dyDescent="0.25">
      <c r="A1265" s="3" t="s">
        <v>282</v>
      </c>
      <c r="B1265" s="3" t="s">
        <v>300</v>
      </c>
      <c r="C1265" s="3">
        <v>2022</v>
      </c>
      <c r="D1265" s="4">
        <v>1</v>
      </c>
      <c r="E1265" s="5">
        <v>399</v>
      </c>
      <c r="F1265" s="5">
        <v>195.36</v>
      </c>
      <c r="G1265" s="3" t="str">
        <f>VLOOKUP(Registros[[#This Row],[Cliente]],Cliente_Region[],2,FALSE)</f>
        <v>Canada</v>
      </c>
      <c r="H1265" s="3" t="str">
        <f>VLOOKUP(Registros[[#This Row],[Producto]],Producto[],2,FALSE)</f>
        <v>DAWNE</v>
      </c>
    </row>
    <row r="1266" spans="1:8" ht="20.100000000000001" customHeight="1" x14ac:dyDescent="0.25">
      <c r="A1266" s="3" t="s">
        <v>114</v>
      </c>
      <c r="B1266" s="3" t="s">
        <v>300</v>
      </c>
      <c r="C1266" s="3">
        <v>2022</v>
      </c>
      <c r="D1266" s="4">
        <v>2</v>
      </c>
      <c r="E1266" s="5">
        <v>231.25</v>
      </c>
      <c r="F1266" s="5">
        <v>126.04</v>
      </c>
      <c r="G1266" s="3" t="str">
        <f>VLOOKUP(Registros[[#This Row],[Cliente]],Cliente_Region[],2,FALSE)</f>
        <v>Canada</v>
      </c>
      <c r="H1266" s="3" t="str">
        <f>VLOOKUP(Registros[[#This Row],[Producto]],Producto[],2,FALSE)</f>
        <v>DAWNE</v>
      </c>
    </row>
    <row r="1267" spans="1:8" ht="20.100000000000001" customHeight="1" x14ac:dyDescent="0.25">
      <c r="A1267" s="3" t="s">
        <v>114</v>
      </c>
      <c r="B1267" s="3" t="s">
        <v>300</v>
      </c>
      <c r="C1267" s="3">
        <v>2022</v>
      </c>
      <c r="D1267" s="4">
        <v>3</v>
      </c>
      <c r="E1267" s="5">
        <v>304.5</v>
      </c>
      <c r="F1267" s="5">
        <v>157.19999999999999</v>
      </c>
      <c r="G1267" s="3" t="str">
        <f>VLOOKUP(Registros[[#This Row],[Cliente]],Cliente_Region[],2,FALSE)</f>
        <v>Canada</v>
      </c>
      <c r="H1267" s="3" t="str">
        <f>VLOOKUP(Registros[[#This Row],[Producto]],Producto[],2,FALSE)</f>
        <v>DAWNE</v>
      </c>
    </row>
    <row r="1268" spans="1:8" ht="20.100000000000001" customHeight="1" x14ac:dyDescent="0.25">
      <c r="A1268" s="3" t="s">
        <v>114</v>
      </c>
      <c r="B1268" s="3" t="s">
        <v>300</v>
      </c>
      <c r="C1268" s="3">
        <v>2022</v>
      </c>
      <c r="D1268" s="4">
        <v>4</v>
      </c>
      <c r="E1268" s="5">
        <v>213.75</v>
      </c>
      <c r="F1268" s="5">
        <v>108.53</v>
      </c>
      <c r="G1268" s="3" t="str">
        <f>VLOOKUP(Registros[[#This Row],[Cliente]],Cliente_Region[],2,FALSE)</f>
        <v>Canada</v>
      </c>
      <c r="H1268" s="3" t="str">
        <f>VLOOKUP(Registros[[#This Row],[Producto]],Producto[],2,FALSE)</f>
        <v>DAWNE</v>
      </c>
    </row>
    <row r="1269" spans="1:8" ht="20.100000000000001" customHeight="1" x14ac:dyDescent="0.25">
      <c r="A1269" s="3" t="s">
        <v>114</v>
      </c>
      <c r="B1269" s="3" t="s">
        <v>300</v>
      </c>
      <c r="C1269" s="3">
        <v>2022</v>
      </c>
      <c r="D1269" s="4">
        <v>5</v>
      </c>
      <c r="E1269" s="5">
        <v>256.5</v>
      </c>
      <c r="F1269" s="5">
        <v>130.24</v>
      </c>
      <c r="G1269" s="3" t="str">
        <f>VLOOKUP(Registros[[#This Row],[Cliente]],Cliente_Region[],2,FALSE)</f>
        <v>Canada</v>
      </c>
      <c r="H1269" s="3" t="str">
        <f>VLOOKUP(Registros[[#This Row],[Producto]],Producto[],2,FALSE)</f>
        <v>DAWNE</v>
      </c>
    </row>
    <row r="1270" spans="1:8" ht="20.100000000000001" customHeight="1" x14ac:dyDescent="0.25">
      <c r="A1270" s="3" t="s">
        <v>114</v>
      </c>
      <c r="B1270" s="3" t="s">
        <v>300</v>
      </c>
      <c r="C1270" s="3">
        <v>2022</v>
      </c>
      <c r="D1270" s="4">
        <v>6</v>
      </c>
      <c r="E1270" s="5">
        <v>242.25</v>
      </c>
      <c r="F1270" s="5">
        <v>123.01</v>
      </c>
      <c r="G1270" s="3" t="str">
        <f>VLOOKUP(Registros[[#This Row],[Cliente]],Cliente_Region[],2,FALSE)</f>
        <v>Canada</v>
      </c>
      <c r="H1270" s="3" t="str">
        <f>VLOOKUP(Registros[[#This Row],[Producto]],Producto[],2,FALSE)</f>
        <v>DAWNE</v>
      </c>
    </row>
    <row r="1271" spans="1:8" ht="20.100000000000001" customHeight="1" x14ac:dyDescent="0.25">
      <c r="A1271" s="3" t="s">
        <v>135</v>
      </c>
      <c r="B1271" s="3" t="s">
        <v>300</v>
      </c>
      <c r="C1271" s="3">
        <v>2022</v>
      </c>
      <c r="D1271" s="4">
        <v>1</v>
      </c>
      <c r="E1271" s="5">
        <v>456.25</v>
      </c>
      <c r="F1271" s="5">
        <v>287.11</v>
      </c>
      <c r="G1271" s="3" t="str">
        <f>VLOOKUP(Registros[[#This Row],[Cliente]],Cliente_Region[],2,FALSE)</f>
        <v>Canada</v>
      </c>
      <c r="H1271" s="3" t="str">
        <f>VLOOKUP(Registros[[#This Row],[Producto]],Producto[],2,FALSE)</f>
        <v>GAMBO</v>
      </c>
    </row>
    <row r="1272" spans="1:8" ht="20.100000000000001" customHeight="1" x14ac:dyDescent="0.25">
      <c r="A1272" s="3" t="s">
        <v>93</v>
      </c>
      <c r="B1272" s="3" t="s">
        <v>300</v>
      </c>
      <c r="C1272" s="3">
        <v>2022</v>
      </c>
      <c r="D1272" s="4">
        <v>2</v>
      </c>
      <c r="E1272" s="5">
        <v>413</v>
      </c>
      <c r="F1272" s="5">
        <v>291.68</v>
      </c>
      <c r="G1272" s="3" t="str">
        <f>VLOOKUP(Registros[[#This Row],[Cliente]],Cliente_Region[],2,FALSE)</f>
        <v>Canada</v>
      </c>
      <c r="H1272" s="3" t="str">
        <f>VLOOKUP(Registros[[#This Row],[Producto]],Producto[],2,FALSE)</f>
        <v>GAMBO</v>
      </c>
    </row>
    <row r="1273" spans="1:8" ht="20.100000000000001" customHeight="1" x14ac:dyDescent="0.25">
      <c r="A1273" s="3" t="s">
        <v>93</v>
      </c>
      <c r="B1273" s="3" t="s">
        <v>300</v>
      </c>
      <c r="C1273" s="3">
        <v>2022</v>
      </c>
      <c r="D1273" s="4">
        <v>3</v>
      </c>
      <c r="E1273" s="5">
        <v>341.5</v>
      </c>
      <c r="F1273" s="5">
        <v>220.18</v>
      </c>
      <c r="G1273" s="3" t="str">
        <f>VLOOKUP(Registros[[#This Row],[Cliente]],Cliente_Region[],2,FALSE)</f>
        <v>Canada</v>
      </c>
      <c r="H1273" s="3" t="str">
        <f>VLOOKUP(Registros[[#This Row],[Producto]],Producto[],2,FALSE)</f>
        <v>GAMBO</v>
      </c>
    </row>
    <row r="1274" spans="1:8" ht="20.100000000000001" customHeight="1" x14ac:dyDescent="0.25">
      <c r="A1274" s="3" t="s">
        <v>93</v>
      </c>
      <c r="B1274" s="3" t="s">
        <v>300</v>
      </c>
      <c r="C1274" s="3">
        <v>2022</v>
      </c>
      <c r="D1274" s="4">
        <v>4</v>
      </c>
      <c r="E1274" s="5">
        <v>328.5</v>
      </c>
      <c r="F1274" s="5">
        <v>207.18</v>
      </c>
      <c r="G1274" s="3" t="str">
        <f>VLOOKUP(Registros[[#This Row],[Cliente]],Cliente_Region[],2,FALSE)</f>
        <v>Canada</v>
      </c>
      <c r="H1274" s="3" t="str">
        <f>VLOOKUP(Registros[[#This Row],[Producto]],Producto[],2,FALSE)</f>
        <v>GAMBO</v>
      </c>
    </row>
    <row r="1275" spans="1:8" ht="20.100000000000001" customHeight="1" x14ac:dyDescent="0.25">
      <c r="A1275" s="3" t="s">
        <v>93</v>
      </c>
      <c r="B1275" s="3" t="s">
        <v>300</v>
      </c>
      <c r="C1275" s="3">
        <v>2022</v>
      </c>
      <c r="D1275" s="4">
        <v>5</v>
      </c>
      <c r="E1275" s="5">
        <v>310.25</v>
      </c>
      <c r="F1275" s="5">
        <v>195.67</v>
      </c>
      <c r="G1275" s="3" t="str">
        <f>VLOOKUP(Registros[[#This Row],[Cliente]],Cliente_Region[],2,FALSE)</f>
        <v>Canada</v>
      </c>
      <c r="H1275" s="3" t="str">
        <f>VLOOKUP(Registros[[#This Row],[Producto]],Producto[],2,FALSE)</f>
        <v>GAMBO</v>
      </c>
    </row>
    <row r="1276" spans="1:8" ht="20.100000000000001" customHeight="1" x14ac:dyDescent="0.25">
      <c r="A1276" s="3" t="s">
        <v>93</v>
      </c>
      <c r="B1276" s="3" t="s">
        <v>300</v>
      </c>
      <c r="C1276" s="3">
        <v>2022</v>
      </c>
      <c r="D1276" s="4">
        <v>6</v>
      </c>
      <c r="E1276" s="5">
        <v>292</v>
      </c>
      <c r="F1276" s="5">
        <v>184.16</v>
      </c>
      <c r="G1276" s="3" t="str">
        <f>VLOOKUP(Registros[[#This Row],[Cliente]],Cliente_Region[],2,FALSE)</f>
        <v>Canada</v>
      </c>
      <c r="H1276" s="3" t="str">
        <f>VLOOKUP(Registros[[#This Row],[Producto]],Producto[],2,FALSE)</f>
        <v>GAMBO</v>
      </c>
    </row>
    <row r="1277" spans="1:8" ht="20.100000000000001" customHeight="1" x14ac:dyDescent="0.25">
      <c r="A1277" s="3" t="s">
        <v>136</v>
      </c>
      <c r="B1277" s="3" t="s">
        <v>300</v>
      </c>
      <c r="C1277" s="3">
        <v>2022</v>
      </c>
      <c r="D1277" s="4">
        <v>1</v>
      </c>
      <c r="E1277" s="5">
        <v>431.25</v>
      </c>
      <c r="F1277" s="5">
        <v>119.68</v>
      </c>
      <c r="G1277" s="3" t="str">
        <f>VLOOKUP(Registros[[#This Row],[Cliente]],Cliente_Region[],2,FALSE)</f>
        <v>Canada</v>
      </c>
      <c r="H1277" s="3" t="str">
        <f>VLOOKUP(Registros[[#This Row],[Producto]],Producto[],2,FALSE)</f>
        <v>CHOTUS</v>
      </c>
    </row>
    <row r="1278" spans="1:8" ht="20.100000000000001" customHeight="1" x14ac:dyDescent="0.25">
      <c r="A1278" s="3" t="s">
        <v>137</v>
      </c>
      <c r="B1278" s="3" t="s">
        <v>300</v>
      </c>
      <c r="C1278" s="3">
        <v>2022</v>
      </c>
      <c r="D1278" s="4">
        <v>2</v>
      </c>
      <c r="E1278" s="5">
        <v>444.9</v>
      </c>
      <c r="F1278" s="5">
        <v>220.55</v>
      </c>
      <c r="G1278" s="3" t="str">
        <f>VLOOKUP(Registros[[#This Row],[Cliente]],Cliente_Region[],2,FALSE)</f>
        <v>Canada</v>
      </c>
      <c r="H1278" s="3" t="str">
        <f>VLOOKUP(Registros[[#This Row],[Producto]],Producto[],2,FALSE)</f>
        <v>QUOKAR</v>
      </c>
    </row>
    <row r="1279" spans="1:8" ht="20.100000000000001" customHeight="1" x14ac:dyDescent="0.25">
      <c r="A1279" s="3" t="s">
        <v>137</v>
      </c>
      <c r="B1279" s="3" t="s">
        <v>300</v>
      </c>
      <c r="C1279" s="3">
        <v>2022</v>
      </c>
      <c r="D1279" s="4">
        <v>3</v>
      </c>
      <c r="E1279" s="5">
        <v>344.7</v>
      </c>
      <c r="F1279" s="5">
        <v>120.36</v>
      </c>
      <c r="G1279" s="3" t="str">
        <f>VLOOKUP(Registros[[#This Row],[Cliente]],Cliente_Region[],2,FALSE)</f>
        <v>Canada</v>
      </c>
      <c r="H1279" s="3" t="str">
        <f>VLOOKUP(Registros[[#This Row],[Producto]],Producto[],2,FALSE)</f>
        <v>QUOKAR</v>
      </c>
    </row>
    <row r="1280" spans="1:8" ht="20.100000000000001" customHeight="1" x14ac:dyDescent="0.25">
      <c r="A1280" s="3" t="s">
        <v>137</v>
      </c>
      <c r="B1280" s="3" t="s">
        <v>300</v>
      </c>
      <c r="C1280" s="3">
        <v>2022</v>
      </c>
      <c r="D1280" s="4">
        <v>4</v>
      </c>
      <c r="E1280" s="5">
        <v>327.75</v>
      </c>
      <c r="F1280" s="5">
        <v>90.93</v>
      </c>
      <c r="G1280" s="3" t="str">
        <f>VLOOKUP(Registros[[#This Row],[Cliente]],Cliente_Region[],2,FALSE)</f>
        <v>Canada</v>
      </c>
      <c r="H1280" s="3" t="str">
        <f>VLOOKUP(Registros[[#This Row],[Producto]],Producto[],2,FALSE)</f>
        <v>QUOKAR</v>
      </c>
    </row>
    <row r="1281" spans="1:8" ht="20.100000000000001" customHeight="1" x14ac:dyDescent="0.25">
      <c r="A1281" s="3" t="s">
        <v>137</v>
      </c>
      <c r="B1281" s="3" t="s">
        <v>300</v>
      </c>
      <c r="C1281" s="3">
        <v>2022</v>
      </c>
      <c r="D1281" s="4">
        <v>5</v>
      </c>
      <c r="E1281" s="5">
        <v>310.5</v>
      </c>
      <c r="F1281" s="5">
        <v>86.15</v>
      </c>
      <c r="G1281" s="3" t="str">
        <f>VLOOKUP(Registros[[#This Row],[Cliente]],Cliente_Region[],2,FALSE)</f>
        <v>Canada</v>
      </c>
      <c r="H1281" s="3" t="str">
        <f>VLOOKUP(Registros[[#This Row],[Producto]],Producto[],2,FALSE)</f>
        <v>QUOKAR</v>
      </c>
    </row>
    <row r="1282" spans="1:8" ht="20.100000000000001" customHeight="1" x14ac:dyDescent="0.25">
      <c r="A1282" s="3" t="s">
        <v>137</v>
      </c>
      <c r="B1282" s="3" t="s">
        <v>300</v>
      </c>
      <c r="C1282" s="3">
        <v>2022</v>
      </c>
      <c r="D1282" s="4">
        <v>6</v>
      </c>
      <c r="E1282" s="5">
        <v>276</v>
      </c>
      <c r="F1282" s="5">
        <v>76.569999999999993</v>
      </c>
      <c r="G1282" s="3" t="str">
        <f>VLOOKUP(Registros[[#This Row],[Cliente]],Cliente_Region[],2,FALSE)</f>
        <v>Canada</v>
      </c>
      <c r="H1282" s="3" t="str">
        <f>VLOOKUP(Registros[[#This Row],[Producto]],Producto[],2,FALSE)</f>
        <v>QUOKAR</v>
      </c>
    </row>
    <row r="1283" spans="1:8" ht="20.100000000000001" customHeight="1" x14ac:dyDescent="0.25">
      <c r="A1283" s="3" t="s">
        <v>90</v>
      </c>
      <c r="B1283" s="3" t="s">
        <v>300</v>
      </c>
      <c r="C1283" s="3">
        <v>2022</v>
      </c>
      <c r="D1283" s="4">
        <v>3</v>
      </c>
      <c r="E1283" s="5">
        <v>15.13</v>
      </c>
      <c r="F1283" s="5">
        <v>12.01</v>
      </c>
      <c r="G1283" s="3" t="str">
        <f>VLOOKUP(Registros[[#This Row],[Cliente]],Cliente_Region[],2,FALSE)</f>
        <v>Canada</v>
      </c>
      <c r="H1283" s="3" t="str">
        <f>VLOOKUP(Registros[[#This Row],[Producto]],Producto[],2,FALSE)</f>
        <v>CHOTUS</v>
      </c>
    </row>
    <row r="1284" spans="1:8" ht="20.100000000000001" customHeight="1" x14ac:dyDescent="0.25">
      <c r="A1284" s="3" t="s">
        <v>91</v>
      </c>
      <c r="B1284" s="3" t="s">
        <v>300</v>
      </c>
      <c r="C1284" s="3">
        <v>2022</v>
      </c>
      <c r="D1284" s="4">
        <v>5</v>
      </c>
      <c r="E1284" s="5">
        <v>30.26</v>
      </c>
      <c r="F1284" s="5">
        <v>24.03</v>
      </c>
      <c r="G1284" s="3" t="str">
        <f>VLOOKUP(Registros[[#This Row],[Cliente]],Cliente_Region[],2,FALSE)</f>
        <v>Canada</v>
      </c>
      <c r="H1284" s="3" t="str">
        <f>VLOOKUP(Registros[[#This Row],[Producto]],Producto[],2,FALSE)</f>
        <v>GAMBO</v>
      </c>
    </row>
    <row r="1285" spans="1:8" ht="20.100000000000001" customHeight="1" x14ac:dyDescent="0.25">
      <c r="A1285" s="3" t="s">
        <v>297</v>
      </c>
      <c r="B1285" s="3" t="s">
        <v>300</v>
      </c>
      <c r="C1285" s="3">
        <v>2022</v>
      </c>
      <c r="D1285" s="4">
        <v>3</v>
      </c>
      <c r="E1285" s="5">
        <v>37</v>
      </c>
      <c r="F1285" s="5">
        <v>18.670000000000002</v>
      </c>
      <c r="G1285" s="3" t="str">
        <f>VLOOKUP(Registros[[#This Row],[Cliente]],Cliente_Region[],2,FALSE)</f>
        <v>Canada</v>
      </c>
      <c r="H1285" s="3" t="str">
        <f>VLOOKUP(Registros[[#This Row],[Producto]],Producto[],2,FALSE)</f>
        <v>LAX</v>
      </c>
    </row>
    <row r="1286" spans="1:8" ht="20.100000000000001" customHeight="1" x14ac:dyDescent="0.25">
      <c r="A1286" s="3" t="s">
        <v>77</v>
      </c>
      <c r="B1286" s="3" t="s">
        <v>300</v>
      </c>
      <c r="C1286" s="3">
        <v>2022</v>
      </c>
      <c r="D1286" s="4">
        <v>3</v>
      </c>
      <c r="E1286" s="5">
        <v>40</v>
      </c>
      <c r="F1286" s="5">
        <v>20.239999999999998</v>
      </c>
      <c r="G1286" s="3" t="str">
        <f>VLOOKUP(Registros[[#This Row],[Cliente]],Cliente_Region[],2,FALSE)</f>
        <v>Canada</v>
      </c>
      <c r="H1286" s="3" t="str">
        <f>VLOOKUP(Registros[[#This Row],[Producto]],Producto[],2,FALSE)</f>
        <v>LAX</v>
      </c>
    </row>
    <row r="1287" spans="1:8" ht="20.100000000000001" customHeight="1" x14ac:dyDescent="0.25">
      <c r="A1287" s="3" t="s">
        <v>92</v>
      </c>
      <c r="B1287" s="3" t="s">
        <v>300</v>
      </c>
      <c r="C1287" s="3">
        <v>2022</v>
      </c>
      <c r="D1287" s="4">
        <v>1</v>
      </c>
      <c r="E1287" s="5">
        <v>40.15</v>
      </c>
      <c r="F1287" s="5">
        <v>21.42</v>
      </c>
      <c r="G1287" s="3" t="str">
        <f>VLOOKUP(Registros[[#This Row],[Cliente]],Cliente_Region[],2,FALSE)</f>
        <v>Canada</v>
      </c>
      <c r="H1287" s="3" t="str">
        <f>VLOOKUP(Registros[[#This Row],[Producto]],Producto[],2,FALSE)</f>
        <v>MOC</v>
      </c>
    </row>
    <row r="1288" spans="1:8" ht="20.100000000000001" customHeight="1" x14ac:dyDescent="0.25">
      <c r="A1288" s="3" t="s">
        <v>299</v>
      </c>
      <c r="B1288" s="3" t="s">
        <v>300</v>
      </c>
      <c r="C1288" s="3">
        <v>2022</v>
      </c>
      <c r="D1288" s="4">
        <v>1</v>
      </c>
      <c r="E1288" s="5">
        <v>95</v>
      </c>
      <c r="F1288" s="5">
        <v>52.9</v>
      </c>
      <c r="G1288" s="3" t="str">
        <f>VLOOKUP(Registros[[#This Row],[Cliente]],Cliente_Region[],2,FALSE)</f>
        <v>Canada</v>
      </c>
      <c r="H1288" s="3" t="str">
        <f>VLOOKUP(Registros[[#This Row],[Producto]],Producto[],2,FALSE)</f>
        <v>SALF</v>
      </c>
    </row>
    <row r="1289" spans="1:8" ht="20.100000000000001" customHeight="1" x14ac:dyDescent="0.25">
      <c r="A1289" s="3" t="s">
        <v>81</v>
      </c>
      <c r="B1289" s="3" t="s">
        <v>300</v>
      </c>
      <c r="C1289" s="3">
        <v>2022</v>
      </c>
      <c r="D1289" s="4">
        <v>1</v>
      </c>
      <c r="E1289" s="5">
        <v>23.93</v>
      </c>
      <c r="F1289" s="5">
        <v>9.9499999999999993</v>
      </c>
      <c r="G1289" s="3" t="str">
        <f>VLOOKUP(Registros[[#This Row],[Cliente]],Cliente_Region[],2,FALSE)</f>
        <v>Canada</v>
      </c>
      <c r="H1289" s="3" t="str">
        <f>VLOOKUP(Registros[[#This Row],[Producto]],Producto[],2,FALSE)</f>
        <v>QUOKAR</v>
      </c>
    </row>
    <row r="1290" spans="1:8" ht="20.100000000000001" customHeight="1" x14ac:dyDescent="0.25">
      <c r="A1290" s="3" t="s">
        <v>82</v>
      </c>
      <c r="B1290" s="3" t="s">
        <v>300</v>
      </c>
      <c r="C1290" s="3">
        <v>2022</v>
      </c>
      <c r="D1290" s="4">
        <v>3</v>
      </c>
      <c r="E1290" s="5">
        <v>23.93</v>
      </c>
      <c r="F1290" s="5">
        <v>9.9499999999999993</v>
      </c>
      <c r="G1290" s="3" t="str">
        <f>VLOOKUP(Registros[[#This Row],[Cliente]],Cliente_Region[],2,FALSE)</f>
        <v>Canada</v>
      </c>
      <c r="H1290" s="3" t="str">
        <f>VLOOKUP(Registros[[#This Row],[Producto]],Producto[],2,FALSE)</f>
        <v>LAX</v>
      </c>
    </row>
    <row r="1291" spans="1:8" ht="20.100000000000001" customHeight="1" x14ac:dyDescent="0.25">
      <c r="A1291" s="3" t="s">
        <v>11</v>
      </c>
      <c r="B1291" s="3" t="s">
        <v>303</v>
      </c>
      <c r="C1291" s="3">
        <v>2022</v>
      </c>
      <c r="D1291" s="4">
        <v>1</v>
      </c>
      <c r="E1291" s="5">
        <v>40.049999999999997</v>
      </c>
      <c r="F1291" s="5">
        <v>16.14</v>
      </c>
      <c r="G1291" s="3" t="str">
        <f>VLOOKUP(Registros[[#This Row],[Cliente]],Cliente_Region[],2,FALSE)</f>
        <v>Canada</v>
      </c>
      <c r="H1291" s="3" t="str">
        <f>VLOOKUP(Registros[[#This Row],[Producto]],Producto[],2,FALSE)</f>
        <v>DONANY</v>
      </c>
    </row>
    <row r="1292" spans="1:8" ht="20.100000000000001" customHeight="1" x14ac:dyDescent="0.25">
      <c r="A1292" s="3" t="s">
        <v>292</v>
      </c>
      <c r="B1292" s="3" t="s">
        <v>303</v>
      </c>
      <c r="C1292" s="3">
        <v>2022</v>
      </c>
      <c r="D1292" s="4">
        <v>2</v>
      </c>
      <c r="E1292" s="5">
        <v>36</v>
      </c>
      <c r="F1292" s="5">
        <v>18.059999999999999</v>
      </c>
      <c r="G1292" s="3" t="str">
        <f>VLOOKUP(Registros[[#This Row],[Cliente]],Cliente_Region[],2,FALSE)</f>
        <v>Canada</v>
      </c>
      <c r="H1292" s="3" t="str">
        <f>VLOOKUP(Registros[[#This Row],[Producto]],Producto[],2,FALSE)</f>
        <v>QUOKAR</v>
      </c>
    </row>
    <row r="1293" spans="1:8" ht="20.100000000000001" customHeight="1" x14ac:dyDescent="0.25">
      <c r="A1293" s="3" t="s">
        <v>292</v>
      </c>
      <c r="B1293" s="3" t="s">
        <v>303</v>
      </c>
      <c r="C1293" s="3">
        <v>2022</v>
      </c>
      <c r="D1293" s="4">
        <v>3</v>
      </c>
      <c r="E1293" s="5">
        <v>22.1</v>
      </c>
      <c r="F1293" s="5">
        <v>10.14</v>
      </c>
      <c r="G1293" s="3" t="str">
        <f>VLOOKUP(Registros[[#This Row],[Cliente]],Cliente_Region[],2,FALSE)</f>
        <v>Canada</v>
      </c>
      <c r="H1293" s="3" t="str">
        <f>VLOOKUP(Registros[[#This Row],[Producto]],Producto[],2,FALSE)</f>
        <v>QUOKAR</v>
      </c>
    </row>
    <row r="1294" spans="1:8" ht="20.100000000000001" customHeight="1" x14ac:dyDescent="0.25">
      <c r="A1294" s="3" t="s">
        <v>304</v>
      </c>
      <c r="B1294" s="3" t="s">
        <v>303</v>
      </c>
      <c r="C1294" s="3">
        <v>2022</v>
      </c>
      <c r="D1294" s="4">
        <v>1</v>
      </c>
      <c r="E1294" s="5">
        <v>58.25</v>
      </c>
      <c r="F1294" s="5">
        <v>35.799999999999997</v>
      </c>
      <c r="G1294" s="3" t="str">
        <f>VLOOKUP(Registros[[#This Row],[Cliente]],Cliente_Region[],2,FALSE)</f>
        <v>Canada</v>
      </c>
      <c r="H1294" s="3" t="str">
        <f>VLOOKUP(Registros[[#This Row],[Producto]],Producto[],2,FALSE)</f>
        <v>QUOKAR</v>
      </c>
    </row>
    <row r="1295" spans="1:8" ht="20.100000000000001" customHeight="1" x14ac:dyDescent="0.25">
      <c r="A1295" s="3" t="s">
        <v>305</v>
      </c>
      <c r="B1295" s="3" t="s">
        <v>303</v>
      </c>
      <c r="C1295" s="3">
        <v>2022</v>
      </c>
      <c r="D1295" s="4">
        <v>2</v>
      </c>
      <c r="E1295" s="5">
        <v>52</v>
      </c>
      <c r="F1295" s="5">
        <v>34.04</v>
      </c>
      <c r="G1295" s="3" t="str">
        <f>VLOOKUP(Registros[[#This Row],[Cliente]],Cliente_Region[],2,FALSE)</f>
        <v>Canada</v>
      </c>
      <c r="H1295" s="3" t="str">
        <f>VLOOKUP(Registros[[#This Row],[Producto]],Producto[],2,FALSE)</f>
        <v>DAWNE</v>
      </c>
    </row>
    <row r="1296" spans="1:8" ht="20.100000000000001" customHeight="1" x14ac:dyDescent="0.25">
      <c r="A1296" s="3" t="s">
        <v>305</v>
      </c>
      <c r="B1296" s="3" t="s">
        <v>303</v>
      </c>
      <c r="C1296" s="3">
        <v>2022</v>
      </c>
      <c r="D1296" s="4">
        <v>3</v>
      </c>
      <c r="E1296" s="5">
        <v>37</v>
      </c>
      <c r="F1296" s="5">
        <v>23.53</v>
      </c>
      <c r="G1296" s="3" t="str">
        <f>VLOOKUP(Registros[[#This Row],[Cliente]],Cliente_Region[],2,FALSE)</f>
        <v>Canada</v>
      </c>
      <c r="H1296" s="3" t="str">
        <f>VLOOKUP(Registros[[#This Row],[Producto]],Producto[],2,FALSE)</f>
        <v>DAWNE</v>
      </c>
    </row>
    <row r="1297" spans="1:8" ht="20.100000000000001" customHeight="1" x14ac:dyDescent="0.25">
      <c r="A1297" s="3" t="s">
        <v>282</v>
      </c>
      <c r="B1297" s="3" t="s">
        <v>303</v>
      </c>
      <c r="C1297" s="3">
        <v>2022</v>
      </c>
      <c r="D1297" s="4">
        <v>1</v>
      </c>
      <c r="E1297" s="5">
        <v>44.5</v>
      </c>
      <c r="F1297" s="5">
        <v>23.47</v>
      </c>
      <c r="G1297" s="3" t="str">
        <f>VLOOKUP(Registros[[#This Row],[Cliente]],Cliente_Region[],2,FALSE)</f>
        <v>Canada</v>
      </c>
      <c r="H1297" s="3" t="str">
        <f>VLOOKUP(Registros[[#This Row],[Producto]],Producto[],2,FALSE)</f>
        <v>DAWNE</v>
      </c>
    </row>
    <row r="1298" spans="1:8" ht="20.100000000000001" customHeight="1" x14ac:dyDescent="0.25">
      <c r="A1298" s="3" t="s">
        <v>114</v>
      </c>
      <c r="B1298" s="3" t="s">
        <v>303</v>
      </c>
      <c r="C1298" s="3">
        <v>2022</v>
      </c>
      <c r="D1298" s="4">
        <v>2</v>
      </c>
      <c r="E1298" s="5">
        <v>48</v>
      </c>
      <c r="F1298" s="5">
        <v>26.97</v>
      </c>
      <c r="G1298" s="3" t="str">
        <f>VLOOKUP(Registros[[#This Row],[Cliente]],Cliente_Region[],2,FALSE)</f>
        <v>Canada</v>
      </c>
      <c r="H1298" s="3" t="str">
        <f>VLOOKUP(Registros[[#This Row],[Producto]],Producto[],2,FALSE)</f>
        <v>DAWNE</v>
      </c>
    </row>
    <row r="1299" spans="1:8" ht="20.100000000000001" customHeight="1" x14ac:dyDescent="0.25">
      <c r="A1299" s="3" t="s">
        <v>114</v>
      </c>
      <c r="B1299" s="3" t="s">
        <v>303</v>
      </c>
      <c r="C1299" s="3">
        <v>2022</v>
      </c>
      <c r="D1299" s="4">
        <v>3</v>
      </c>
      <c r="E1299" s="5">
        <v>46</v>
      </c>
      <c r="F1299" s="5">
        <v>24.96</v>
      </c>
      <c r="G1299" s="3" t="str">
        <f>VLOOKUP(Registros[[#This Row],[Cliente]],Cliente_Region[],2,FALSE)</f>
        <v>Canada</v>
      </c>
      <c r="H1299" s="3" t="str">
        <f>VLOOKUP(Registros[[#This Row],[Producto]],Producto[],2,FALSE)</f>
        <v>DAWNE</v>
      </c>
    </row>
    <row r="1300" spans="1:8" ht="20.100000000000001" customHeight="1" x14ac:dyDescent="0.25">
      <c r="A1300" s="3" t="s">
        <v>135</v>
      </c>
      <c r="B1300" s="3" t="s">
        <v>303</v>
      </c>
      <c r="C1300" s="3">
        <v>2022</v>
      </c>
      <c r="D1300" s="4">
        <v>2</v>
      </c>
      <c r="E1300" s="5">
        <v>24.75</v>
      </c>
      <c r="F1300" s="5">
        <v>18.010000000000002</v>
      </c>
      <c r="G1300" s="3" t="str">
        <f>VLOOKUP(Registros[[#This Row],[Cliente]],Cliente_Region[],2,FALSE)</f>
        <v>Canada</v>
      </c>
      <c r="H1300" s="3" t="str">
        <f>VLOOKUP(Registros[[#This Row],[Producto]],Producto[],2,FALSE)</f>
        <v>GAMBO</v>
      </c>
    </row>
    <row r="1301" spans="1:8" ht="20.100000000000001" customHeight="1" x14ac:dyDescent="0.25">
      <c r="A1301" s="3" t="s">
        <v>93</v>
      </c>
      <c r="B1301" s="3" t="s">
        <v>303</v>
      </c>
      <c r="C1301" s="3">
        <v>2022</v>
      </c>
      <c r="D1301" s="4">
        <v>3</v>
      </c>
      <c r="E1301" s="5">
        <v>37.5</v>
      </c>
      <c r="F1301" s="5">
        <v>24.02</v>
      </c>
      <c r="G1301" s="3" t="str">
        <f>VLOOKUP(Registros[[#This Row],[Cliente]],Cliente_Region[],2,FALSE)</f>
        <v>Canada</v>
      </c>
      <c r="H1301" s="3" t="str">
        <f>VLOOKUP(Registros[[#This Row],[Producto]],Producto[],2,FALSE)</f>
        <v>GAMBO</v>
      </c>
    </row>
    <row r="1302" spans="1:8" ht="20.100000000000001" customHeight="1" x14ac:dyDescent="0.25">
      <c r="A1302" s="3" t="s">
        <v>136</v>
      </c>
      <c r="B1302" s="3" t="s">
        <v>303</v>
      </c>
      <c r="C1302" s="3">
        <v>2022</v>
      </c>
      <c r="D1302" s="4">
        <v>1</v>
      </c>
      <c r="E1302" s="5">
        <v>79</v>
      </c>
      <c r="F1302" s="5">
        <v>29.15</v>
      </c>
      <c r="G1302" s="3" t="str">
        <f>VLOOKUP(Registros[[#This Row],[Cliente]],Cliente_Region[],2,FALSE)</f>
        <v>Canada</v>
      </c>
      <c r="H1302" s="3" t="str">
        <f>VLOOKUP(Registros[[#This Row],[Producto]],Producto[],2,FALSE)</f>
        <v>CHOTUS</v>
      </c>
    </row>
    <row r="1303" spans="1:8" ht="20.100000000000001" customHeight="1" x14ac:dyDescent="0.25">
      <c r="A1303" s="3" t="s">
        <v>137</v>
      </c>
      <c r="B1303" s="3" t="s">
        <v>303</v>
      </c>
      <c r="C1303" s="3">
        <v>2022</v>
      </c>
      <c r="D1303" s="4">
        <v>2</v>
      </c>
      <c r="E1303" s="5">
        <v>102.6</v>
      </c>
      <c r="F1303" s="5">
        <v>52.75</v>
      </c>
      <c r="G1303" s="3" t="str">
        <f>VLOOKUP(Registros[[#This Row],[Cliente]],Cliente_Region[],2,FALSE)</f>
        <v>Canada</v>
      </c>
      <c r="H1303" s="3" t="str">
        <f>VLOOKUP(Registros[[#This Row],[Producto]],Producto[],2,FALSE)</f>
        <v>QUOKAR</v>
      </c>
    </row>
    <row r="1304" spans="1:8" ht="20.100000000000001" customHeight="1" x14ac:dyDescent="0.25">
      <c r="A1304" s="3" t="s">
        <v>137</v>
      </c>
      <c r="B1304" s="3" t="s">
        <v>303</v>
      </c>
      <c r="C1304" s="3">
        <v>2022</v>
      </c>
      <c r="D1304" s="4">
        <v>3</v>
      </c>
      <c r="E1304" s="5">
        <v>104.55</v>
      </c>
      <c r="F1304" s="5">
        <v>42.23</v>
      </c>
      <c r="G1304" s="3" t="str">
        <f>VLOOKUP(Registros[[#This Row],[Cliente]],Cliente_Region[],2,FALSE)</f>
        <v>Canada</v>
      </c>
      <c r="H1304" s="3" t="str">
        <f>VLOOKUP(Registros[[#This Row],[Producto]],Producto[],2,FALSE)</f>
        <v>QUOKAR</v>
      </c>
    </row>
    <row r="1305" spans="1:8" ht="20.100000000000001" customHeight="1" x14ac:dyDescent="0.25">
      <c r="A1305" s="3" t="s">
        <v>90</v>
      </c>
      <c r="B1305" s="3" t="s">
        <v>303</v>
      </c>
      <c r="C1305" s="3">
        <v>2022</v>
      </c>
      <c r="D1305" s="4">
        <v>3</v>
      </c>
      <c r="E1305" s="5">
        <v>15.13</v>
      </c>
      <c r="F1305" s="5">
        <v>12.01</v>
      </c>
      <c r="G1305" s="3" t="str">
        <f>VLOOKUP(Registros[[#This Row],[Cliente]],Cliente_Region[],2,FALSE)</f>
        <v>Canada</v>
      </c>
      <c r="H1305" s="3" t="str">
        <f>VLOOKUP(Registros[[#This Row],[Producto]],Producto[],2,FALSE)</f>
        <v>CHOTUS</v>
      </c>
    </row>
    <row r="1306" spans="1:8" ht="20.100000000000001" customHeight="1" x14ac:dyDescent="0.25">
      <c r="A1306" s="3" t="s">
        <v>77</v>
      </c>
      <c r="B1306" s="3" t="s">
        <v>303</v>
      </c>
      <c r="C1306" s="3">
        <v>2022</v>
      </c>
      <c r="D1306" s="4">
        <v>1</v>
      </c>
      <c r="E1306" s="5">
        <v>25.85</v>
      </c>
      <c r="F1306" s="5">
        <v>15.97</v>
      </c>
      <c r="G1306" s="3" t="str">
        <f>VLOOKUP(Registros[[#This Row],[Cliente]],Cliente_Region[],2,FALSE)</f>
        <v>Canada</v>
      </c>
      <c r="H1306" s="3" t="str">
        <f>VLOOKUP(Registros[[#This Row],[Producto]],Producto[],2,FALSE)</f>
        <v>LAX</v>
      </c>
    </row>
    <row r="1307" spans="1:8" ht="20.100000000000001" customHeight="1" x14ac:dyDescent="0.25">
      <c r="A1307" s="3" t="s">
        <v>78</v>
      </c>
      <c r="B1307" s="3" t="s">
        <v>303</v>
      </c>
      <c r="C1307" s="3">
        <v>2022</v>
      </c>
      <c r="D1307" s="4">
        <v>3</v>
      </c>
      <c r="E1307" s="5">
        <v>34.1</v>
      </c>
      <c r="F1307" s="5">
        <v>24.22</v>
      </c>
      <c r="G1307" s="3" t="str">
        <f>VLOOKUP(Registros[[#This Row],[Cliente]],Cliente_Region[],2,FALSE)</f>
        <v>Canada</v>
      </c>
      <c r="H1307" s="3" t="str">
        <f>VLOOKUP(Registros[[#This Row],[Producto]],Producto[],2,FALSE)</f>
        <v>MOC</v>
      </c>
    </row>
    <row r="1308" spans="1:8" ht="20.100000000000001" customHeight="1" x14ac:dyDescent="0.25">
      <c r="A1308" s="3" t="s">
        <v>81</v>
      </c>
      <c r="B1308" s="3" t="s">
        <v>303</v>
      </c>
      <c r="C1308" s="3">
        <v>2022</v>
      </c>
      <c r="D1308" s="4">
        <v>1</v>
      </c>
      <c r="E1308" s="5">
        <v>25</v>
      </c>
      <c r="F1308" s="5">
        <v>11.02</v>
      </c>
      <c r="G1308" s="3" t="str">
        <f>VLOOKUP(Registros[[#This Row],[Cliente]],Cliente_Region[],2,FALSE)</f>
        <v>Canada</v>
      </c>
      <c r="H1308" s="3" t="str">
        <f>VLOOKUP(Registros[[#This Row],[Producto]],Producto[],2,FALSE)</f>
        <v>QUOKAR</v>
      </c>
    </row>
    <row r="1309" spans="1:8" ht="20.100000000000001" customHeight="1" x14ac:dyDescent="0.25">
      <c r="A1309" s="3" t="s">
        <v>86</v>
      </c>
      <c r="B1309" s="3" t="s">
        <v>306</v>
      </c>
      <c r="C1309" s="3">
        <v>2022</v>
      </c>
      <c r="D1309" s="4">
        <v>6</v>
      </c>
      <c r="E1309" s="5">
        <v>14.58</v>
      </c>
      <c r="F1309" s="5">
        <v>9.2899999999999991</v>
      </c>
      <c r="G1309" s="3" t="str">
        <f>VLOOKUP(Registros[[#This Row],[Cliente]],Cliente_Region[],2,FALSE)</f>
        <v>Peru</v>
      </c>
      <c r="H1309" s="3" t="str">
        <f>VLOOKUP(Registros[[#This Row],[Producto]],Producto[],2,FALSE)</f>
        <v>GAMBO</v>
      </c>
    </row>
    <row r="1310" spans="1:8" ht="20.100000000000001" customHeight="1" x14ac:dyDescent="0.25">
      <c r="A1310" s="3" t="s">
        <v>90</v>
      </c>
      <c r="B1310" s="3" t="s">
        <v>306</v>
      </c>
      <c r="C1310" s="3">
        <v>2022</v>
      </c>
      <c r="D1310" s="4">
        <v>1</v>
      </c>
      <c r="E1310" s="5">
        <v>19.5</v>
      </c>
      <c r="F1310" s="5">
        <v>16.38</v>
      </c>
      <c r="G1310" s="3" t="str">
        <f>VLOOKUP(Registros[[#This Row],[Cliente]],Cliente_Region[],2,FALSE)</f>
        <v>Peru</v>
      </c>
      <c r="H1310" s="3" t="str">
        <f>VLOOKUP(Registros[[#This Row],[Producto]],Producto[],2,FALSE)</f>
        <v>CHOTUS</v>
      </c>
    </row>
    <row r="1311" spans="1:8" ht="20.100000000000001" customHeight="1" x14ac:dyDescent="0.25">
      <c r="A1311" s="3" t="s">
        <v>91</v>
      </c>
      <c r="B1311" s="3" t="s">
        <v>306</v>
      </c>
      <c r="C1311" s="3">
        <v>2022</v>
      </c>
      <c r="D1311" s="4">
        <v>6</v>
      </c>
      <c r="E1311" s="5">
        <v>15.13</v>
      </c>
      <c r="F1311" s="5">
        <v>12.01</v>
      </c>
      <c r="G1311" s="3" t="str">
        <f>VLOOKUP(Registros[[#This Row],[Cliente]],Cliente_Region[],2,FALSE)</f>
        <v>Peru</v>
      </c>
      <c r="H1311" s="3" t="str">
        <f>VLOOKUP(Registros[[#This Row],[Producto]],Producto[],2,FALSE)</f>
        <v>GAMBO</v>
      </c>
    </row>
    <row r="1312" spans="1:8" ht="20.100000000000001" customHeight="1" x14ac:dyDescent="0.25">
      <c r="A1312" s="3" t="s">
        <v>77</v>
      </c>
      <c r="B1312" s="3" t="s">
        <v>306</v>
      </c>
      <c r="C1312" s="3">
        <v>2022</v>
      </c>
      <c r="D1312" s="4">
        <v>1</v>
      </c>
      <c r="E1312" s="5">
        <v>129.25</v>
      </c>
      <c r="F1312" s="5">
        <v>79.86</v>
      </c>
      <c r="G1312" s="3" t="str">
        <f>VLOOKUP(Registros[[#This Row],[Cliente]],Cliente_Region[],2,FALSE)</f>
        <v>Peru</v>
      </c>
      <c r="H1312" s="3" t="str">
        <f>VLOOKUP(Registros[[#This Row],[Producto]],Producto[],2,FALSE)</f>
        <v>LAX</v>
      </c>
    </row>
    <row r="1313" spans="1:8" ht="20.100000000000001" customHeight="1" x14ac:dyDescent="0.25">
      <c r="A1313" s="3" t="s">
        <v>78</v>
      </c>
      <c r="B1313" s="3" t="s">
        <v>306</v>
      </c>
      <c r="C1313" s="3">
        <v>2022</v>
      </c>
      <c r="D1313" s="4">
        <v>6</v>
      </c>
      <c r="E1313" s="5">
        <v>136.4</v>
      </c>
      <c r="F1313" s="5">
        <v>96.89</v>
      </c>
      <c r="G1313" s="3" t="str">
        <f>VLOOKUP(Registros[[#This Row],[Cliente]],Cliente_Region[],2,FALSE)</f>
        <v>Peru</v>
      </c>
      <c r="H1313" s="3" t="str">
        <f>VLOOKUP(Registros[[#This Row],[Producto]],Producto[],2,FALSE)</f>
        <v>MOC</v>
      </c>
    </row>
    <row r="1314" spans="1:8" ht="20.100000000000001" customHeight="1" x14ac:dyDescent="0.25">
      <c r="A1314" s="3" t="s">
        <v>92</v>
      </c>
      <c r="B1314" s="3" t="s">
        <v>306</v>
      </c>
      <c r="C1314" s="3">
        <v>2022</v>
      </c>
      <c r="D1314" s="4">
        <v>1</v>
      </c>
      <c r="E1314" s="5">
        <v>39.6</v>
      </c>
      <c r="F1314" s="5">
        <v>20.87</v>
      </c>
      <c r="G1314" s="3" t="str">
        <f>VLOOKUP(Registros[[#This Row],[Cliente]],Cliente_Region[],2,FALSE)</f>
        <v>Peru</v>
      </c>
      <c r="H1314" s="3" t="str">
        <f>VLOOKUP(Registros[[#This Row],[Producto]],Producto[],2,FALSE)</f>
        <v>MOC</v>
      </c>
    </row>
    <row r="1315" spans="1:8" ht="20.100000000000001" customHeight="1" x14ac:dyDescent="0.25">
      <c r="A1315" s="3" t="s">
        <v>93</v>
      </c>
      <c r="B1315" s="3" t="s">
        <v>306</v>
      </c>
      <c r="C1315" s="3">
        <v>2022</v>
      </c>
      <c r="D1315" s="4">
        <v>6</v>
      </c>
      <c r="E1315" s="5">
        <v>40.15</v>
      </c>
      <c r="F1315" s="5">
        <v>21.42</v>
      </c>
      <c r="G1315" s="3" t="str">
        <f>VLOOKUP(Registros[[#This Row],[Cliente]],Cliente_Region[],2,FALSE)</f>
        <v>Peru</v>
      </c>
      <c r="H1315" s="3" t="str">
        <f>VLOOKUP(Registros[[#This Row],[Producto]],Producto[],2,FALSE)</f>
        <v>GAMBO</v>
      </c>
    </row>
    <row r="1316" spans="1:8" ht="20.100000000000001" customHeight="1" x14ac:dyDescent="0.25">
      <c r="A1316" s="3" t="s">
        <v>299</v>
      </c>
      <c r="B1316" s="3" t="s">
        <v>306</v>
      </c>
      <c r="C1316" s="3">
        <v>2022</v>
      </c>
      <c r="D1316" s="4">
        <v>1</v>
      </c>
      <c r="E1316" s="5">
        <v>95</v>
      </c>
      <c r="F1316" s="5">
        <v>52.9</v>
      </c>
      <c r="G1316" s="3" t="str">
        <f>VLOOKUP(Registros[[#This Row],[Cliente]],Cliente_Region[],2,FALSE)</f>
        <v>Peru</v>
      </c>
      <c r="H1316" s="3" t="str">
        <f>VLOOKUP(Registros[[#This Row],[Producto]],Producto[],2,FALSE)</f>
        <v>SALF</v>
      </c>
    </row>
    <row r="1317" spans="1:8" ht="20.100000000000001" customHeight="1" x14ac:dyDescent="0.25">
      <c r="A1317" s="3" t="s">
        <v>255</v>
      </c>
      <c r="B1317" s="3" t="s">
        <v>306</v>
      </c>
      <c r="C1317" s="3">
        <v>2022</v>
      </c>
      <c r="D1317" s="4">
        <v>6</v>
      </c>
      <c r="E1317" s="5">
        <v>95</v>
      </c>
      <c r="F1317" s="5">
        <v>52.9</v>
      </c>
      <c r="G1317" s="3" t="str">
        <f>VLOOKUP(Registros[[#This Row],[Cliente]],Cliente_Region[],2,FALSE)</f>
        <v>Peru</v>
      </c>
      <c r="H1317" s="3" t="str">
        <f>VLOOKUP(Registros[[#This Row],[Producto]],Producto[],2,FALSE)</f>
        <v>MOC</v>
      </c>
    </row>
    <row r="1318" spans="1:8" ht="20.100000000000001" customHeight="1" x14ac:dyDescent="0.25">
      <c r="A1318" s="3" t="s">
        <v>81</v>
      </c>
      <c r="B1318" s="3" t="s">
        <v>306</v>
      </c>
      <c r="C1318" s="3">
        <v>2022</v>
      </c>
      <c r="D1318" s="4">
        <v>1</v>
      </c>
      <c r="E1318" s="5">
        <v>50</v>
      </c>
      <c r="F1318" s="5">
        <v>22.05</v>
      </c>
      <c r="G1318" s="3" t="str">
        <f>VLOOKUP(Registros[[#This Row],[Cliente]],Cliente_Region[],2,FALSE)</f>
        <v>Peru</v>
      </c>
      <c r="H1318" s="3" t="str">
        <f>VLOOKUP(Registros[[#This Row],[Producto]],Producto[],2,FALSE)</f>
        <v>QUOKAR</v>
      </c>
    </row>
    <row r="1319" spans="1:8" ht="20.100000000000001" customHeight="1" x14ac:dyDescent="0.25">
      <c r="A1319" s="3" t="s">
        <v>82</v>
      </c>
      <c r="B1319" s="3" t="s">
        <v>306</v>
      </c>
      <c r="C1319" s="3">
        <v>2022</v>
      </c>
      <c r="D1319" s="4">
        <v>6</v>
      </c>
      <c r="E1319" s="5">
        <v>23.93</v>
      </c>
      <c r="F1319" s="5">
        <v>9.9499999999999993</v>
      </c>
      <c r="G1319" s="3" t="str">
        <f>VLOOKUP(Registros[[#This Row],[Cliente]],Cliente_Region[],2,FALSE)</f>
        <v>Peru</v>
      </c>
      <c r="H1319" s="3" t="str">
        <f>VLOOKUP(Registros[[#This Row],[Producto]],Producto[],2,FALSE)</f>
        <v>LAX</v>
      </c>
    </row>
    <row r="1320" spans="1:8" ht="20.100000000000001" customHeight="1" x14ac:dyDescent="0.25">
      <c r="A1320" s="3" t="s">
        <v>36</v>
      </c>
      <c r="B1320" s="3" t="s">
        <v>307</v>
      </c>
      <c r="C1320" s="3">
        <v>2022</v>
      </c>
      <c r="D1320" s="4">
        <v>2</v>
      </c>
      <c r="E1320" s="5">
        <v>23</v>
      </c>
      <c r="F1320" s="5">
        <v>14.74</v>
      </c>
      <c r="G1320" s="3" t="str">
        <f>VLOOKUP(Registros[[#This Row],[Cliente]],Cliente_Region[],2,FALSE)</f>
        <v>Peru</v>
      </c>
      <c r="H1320" s="3" t="str">
        <f>VLOOKUP(Registros[[#This Row],[Producto]],Producto[],2,FALSE)</f>
        <v>QUOKAR</v>
      </c>
    </row>
    <row r="1321" spans="1:8" ht="20.100000000000001" customHeight="1" x14ac:dyDescent="0.25">
      <c r="A1321" s="3" t="s">
        <v>37</v>
      </c>
      <c r="B1321" s="3" t="s">
        <v>307</v>
      </c>
      <c r="C1321" s="3">
        <v>2022</v>
      </c>
      <c r="D1321" s="4">
        <v>3</v>
      </c>
      <c r="E1321" s="5">
        <v>30</v>
      </c>
      <c r="F1321" s="5">
        <v>17.61</v>
      </c>
      <c r="G1321" s="3" t="str">
        <f>VLOOKUP(Registros[[#This Row],[Cliente]],Cliente_Region[],2,FALSE)</f>
        <v>Peru</v>
      </c>
      <c r="H1321" s="3" t="str">
        <f>VLOOKUP(Registros[[#This Row],[Producto]],Producto[],2,FALSE)</f>
        <v>DONANY</v>
      </c>
    </row>
    <row r="1322" spans="1:8" ht="20.100000000000001" customHeight="1" x14ac:dyDescent="0.25">
      <c r="A1322" s="3" t="s">
        <v>37</v>
      </c>
      <c r="B1322" s="3" t="s">
        <v>307</v>
      </c>
      <c r="C1322" s="3">
        <v>2022</v>
      </c>
      <c r="D1322" s="4">
        <v>4</v>
      </c>
      <c r="E1322" s="5">
        <v>20</v>
      </c>
      <c r="F1322" s="5">
        <v>11.74</v>
      </c>
      <c r="G1322" s="3" t="str">
        <f>VLOOKUP(Registros[[#This Row],[Cliente]],Cliente_Region[],2,FALSE)</f>
        <v>Peru</v>
      </c>
      <c r="H1322" s="3" t="str">
        <f>VLOOKUP(Registros[[#This Row],[Producto]],Producto[],2,FALSE)</f>
        <v>DONANY</v>
      </c>
    </row>
    <row r="1323" spans="1:8" ht="20.100000000000001" customHeight="1" x14ac:dyDescent="0.25">
      <c r="A1323" s="3" t="s">
        <v>37</v>
      </c>
      <c r="B1323" s="3" t="s">
        <v>307</v>
      </c>
      <c r="C1323" s="3">
        <v>2022</v>
      </c>
      <c r="D1323" s="4">
        <v>5</v>
      </c>
      <c r="E1323" s="5">
        <v>20</v>
      </c>
      <c r="F1323" s="5">
        <v>11.74</v>
      </c>
      <c r="G1323" s="3" t="str">
        <f>VLOOKUP(Registros[[#This Row],[Cliente]],Cliente_Region[],2,FALSE)</f>
        <v>Peru</v>
      </c>
      <c r="H1323" s="3" t="str">
        <f>VLOOKUP(Registros[[#This Row],[Producto]],Producto[],2,FALSE)</f>
        <v>DONANY</v>
      </c>
    </row>
    <row r="1324" spans="1:8" ht="20.100000000000001" customHeight="1" x14ac:dyDescent="0.25">
      <c r="A1324" s="3" t="s">
        <v>37</v>
      </c>
      <c r="B1324" s="3" t="s">
        <v>307</v>
      </c>
      <c r="C1324" s="3">
        <v>2022</v>
      </c>
      <c r="D1324" s="4">
        <v>6</v>
      </c>
      <c r="E1324" s="5">
        <v>30</v>
      </c>
      <c r="F1324" s="5">
        <v>17.61</v>
      </c>
      <c r="G1324" s="3" t="str">
        <f>VLOOKUP(Registros[[#This Row],[Cliente]],Cliente_Region[],2,FALSE)</f>
        <v>Peru</v>
      </c>
      <c r="H1324" s="3" t="str">
        <f>VLOOKUP(Registros[[#This Row],[Producto]],Producto[],2,FALSE)</f>
        <v>DONANY</v>
      </c>
    </row>
    <row r="1325" spans="1:8" ht="20.100000000000001" customHeight="1" x14ac:dyDescent="0.25">
      <c r="A1325" s="3" t="s">
        <v>308</v>
      </c>
      <c r="B1325" s="3" t="s">
        <v>307</v>
      </c>
      <c r="C1325" s="3">
        <v>2022</v>
      </c>
      <c r="D1325" s="4">
        <v>3</v>
      </c>
      <c r="E1325" s="5">
        <v>10.25</v>
      </c>
      <c r="F1325" s="5">
        <v>3.54</v>
      </c>
      <c r="G1325" s="3" t="str">
        <f>VLOOKUP(Registros[[#This Row],[Cliente]],Cliente_Region[],2,FALSE)</f>
        <v>Peru</v>
      </c>
      <c r="H1325" s="3" t="str">
        <f>VLOOKUP(Registros[[#This Row],[Producto]],Producto[],2,FALSE)</f>
        <v>SALF</v>
      </c>
    </row>
    <row r="1326" spans="1:8" ht="20.100000000000001" customHeight="1" x14ac:dyDescent="0.25">
      <c r="A1326" s="3" t="s">
        <v>310</v>
      </c>
      <c r="B1326" s="3" t="s">
        <v>307</v>
      </c>
      <c r="C1326" s="3">
        <v>2022</v>
      </c>
      <c r="D1326" s="4">
        <v>1</v>
      </c>
      <c r="E1326" s="5">
        <v>29.5</v>
      </c>
      <c r="F1326" s="5">
        <v>18.46</v>
      </c>
      <c r="G1326" s="3" t="str">
        <f>VLOOKUP(Registros[[#This Row],[Cliente]],Cliente_Region[],2,FALSE)</f>
        <v>Peru</v>
      </c>
      <c r="H1326" s="3" t="str">
        <f>VLOOKUP(Registros[[#This Row],[Producto]],Producto[],2,FALSE)</f>
        <v>DONANY</v>
      </c>
    </row>
    <row r="1327" spans="1:8" ht="20.100000000000001" customHeight="1" x14ac:dyDescent="0.25">
      <c r="A1327" s="3" t="s">
        <v>311</v>
      </c>
      <c r="B1327" s="3" t="s">
        <v>307</v>
      </c>
      <c r="C1327" s="3">
        <v>2022</v>
      </c>
      <c r="D1327" s="4">
        <v>2</v>
      </c>
      <c r="E1327" s="5">
        <v>30</v>
      </c>
      <c r="F1327" s="5">
        <v>18.96</v>
      </c>
      <c r="G1327" s="3" t="str">
        <f>VLOOKUP(Registros[[#This Row],[Cliente]],Cliente_Region[],2,FALSE)</f>
        <v>Peru</v>
      </c>
      <c r="H1327" s="3" t="str">
        <f>VLOOKUP(Registros[[#This Row],[Producto]],Producto[],2,FALSE)</f>
        <v>CHOTUS</v>
      </c>
    </row>
    <row r="1328" spans="1:8" ht="20.100000000000001" customHeight="1" x14ac:dyDescent="0.25">
      <c r="A1328" s="3" t="s">
        <v>311</v>
      </c>
      <c r="B1328" s="3" t="s">
        <v>307</v>
      </c>
      <c r="C1328" s="3">
        <v>2022</v>
      </c>
      <c r="D1328" s="4">
        <v>3</v>
      </c>
      <c r="E1328" s="5">
        <v>59</v>
      </c>
      <c r="F1328" s="5">
        <v>36.92</v>
      </c>
      <c r="G1328" s="3" t="str">
        <f>VLOOKUP(Registros[[#This Row],[Cliente]],Cliente_Region[],2,FALSE)</f>
        <v>Peru</v>
      </c>
      <c r="H1328" s="3" t="str">
        <f>VLOOKUP(Registros[[#This Row],[Producto]],Producto[],2,FALSE)</f>
        <v>CHOTUS</v>
      </c>
    </row>
    <row r="1329" spans="1:8" ht="20.100000000000001" customHeight="1" x14ac:dyDescent="0.25">
      <c r="A1329" s="3" t="s">
        <v>311</v>
      </c>
      <c r="B1329" s="3" t="s">
        <v>307</v>
      </c>
      <c r="C1329" s="3">
        <v>2022</v>
      </c>
      <c r="D1329" s="4">
        <v>4</v>
      </c>
      <c r="E1329" s="5">
        <v>59</v>
      </c>
      <c r="F1329" s="5">
        <v>36.92</v>
      </c>
      <c r="G1329" s="3" t="str">
        <f>VLOOKUP(Registros[[#This Row],[Cliente]],Cliente_Region[],2,FALSE)</f>
        <v>Peru</v>
      </c>
      <c r="H1329" s="3" t="str">
        <f>VLOOKUP(Registros[[#This Row],[Producto]],Producto[],2,FALSE)</f>
        <v>CHOTUS</v>
      </c>
    </row>
    <row r="1330" spans="1:8" ht="20.100000000000001" customHeight="1" x14ac:dyDescent="0.25">
      <c r="A1330" s="3" t="s">
        <v>311</v>
      </c>
      <c r="B1330" s="3" t="s">
        <v>307</v>
      </c>
      <c r="C1330" s="3">
        <v>2022</v>
      </c>
      <c r="D1330" s="4">
        <v>5</v>
      </c>
      <c r="E1330" s="5">
        <v>59</v>
      </c>
      <c r="F1330" s="5">
        <v>36.92</v>
      </c>
      <c r="G1330" s="3" t="str">
        <f>VLOOKUP(Registros[[#This Row],[Cliente]],Cliente_Region[],2,FALSE)</f>
        <v>Peru</v>
      </c>
      <c r="H1330" s="3" t="str">
        <f>VLOOKUP(Registros[[#This Row],[Producto]],Producto[],2,FALSE)</f>
        <v>CHOTUS</v>
      </c>
    </row>
    <row r="1331" spans="1:8" ht="20.100000000000001" customHeight="1" x14ac:dyDescent="0.25">
      <c r="A1331" s="3" t="s">
        <v>311</v>
      </c>
      <c r="B1331" s="3" t="s">
        <v>307</v>
      </c>
      <c r="C1331" s="3">
        <v>2022</v>
      </c>
      <c r="D1331" s="4">
        <v>6</v>
      </c>
      <c r="E1331" s="5">
        <v>103.25</v>
      </c>
      <c r="F1331" s="5">
        <v>64.63</v>
      </c>
      <c r="G1331" s="3" t="str">
        <f>VLOOKUP(Registros[[#This Row],[Cliente]],Cliente_Region[],2,FALSE)</f>
        <v>Peru</v>
      </c>
      <c r="H1331" s="3" t="str">
        <f>VLOOKUP(Registros[[#This Row],[Producto]],Producto[],2,FALSE)</f>
        <v>CHOTUS</v>
      </c>
    </row>
    <row r="1332" spans="1:8" ht="20.100000000000001" customHeight="1" x14ac:dyDescent="0.25">
      <c r="A1332" s="3" t="s">
        <v>38</v>
      </c>
      <c r="B1332" s="3" t="s">
        <v>307</v>
      </c>
      <c r="C1332" s="3">
        <v>2022</v>
      </c>
      <c r="D1332" s="4">
        <v>1</v>
      </c>
      <c r="E1332" s="5">
        <v>69.8</v>
      </c>
      <c r="F1332" s="5">
        <v>38.78</v>
      </c>
      <c r="G1332" s="3" t="str">
        <f>VLOOKUP(Registros[[#This Row],[Cliente]],Cliente_Region[],2,FALSE)</f>
        <v>Peru</v>
      </c>
      <c r="H1332" s="3" t="str">
        <f>VLOOKUP(Registros[[#This Row],[Producto]],Producto[],2,FALSE)</f>
        <v>LAX</v>
      </c>
    </row>
    <row r="1333" spans="1:8" ht="20.100000000000001" customHeight="1" x14ac:dyDescent="0.25">
      <c r="A1333" s="3" t="s">
        <v>39</v>
      </c>
      <c r="B1333" s="3" t="s">
        <v>307</v>
      </c>
      <c r="C1333" s="3">
        <v>2022</v>
      </c>
      <c r="D1333" s="4">
        <v>2</v>
      </c>
      <c r="E1333" s="5">
        <v>23.8</v>
      </c>
      <c r="F1333" s="5">
        <v>13.46</v>
      </c>
      <c r="G1333" s="3" t="str">
        <f>VLOOKUP(Registros[[#This Row],[Cliente]],Cliente_Region[],2,FALSE)</f>
        <v>Peru</v>
      </c>
      <c r="H1333" s="3" t="str">
        <f>VLOOKUP(Registros[[#This Row],[Producto]],Producto[],2,FALSE)</f>
        <v>SALF</v>
      </c>
    </row>
    <row r="1334" spans="1:8" ht="20.100000000000001" customHeight="1" x14ac:dyDescent="0.25">
      <c r="A1334" s="3" t="s">
        <v>39</v>
      </c>
      <c r="B1334" s="3" t="s">
        <v>307</v>
      </c>
      <c r="C1334" s="3">
        <v>2022</v>
      </c>
      <c r="D1334" s="4">
        <v>3</v>
      </c>
      <c r="E1334" s="5">
        <v>46</v>
      </c>
      <c r="F1334" s="5">
        <v>25.32</v>
      </c>
      <c r="G1334" s="3" t="str">
        <f>VLOOKUP(Registros[[#This Row],[Cliente]],Cliente_Region[],2,FALSE)</f>
        <v>Peru</v>
      </c>
      <c r="H1334" s="3" t="str">
        <f>VLOOKUP(Registros[[#This Row],[Producto]],Producto[],2,FALSE)</f>
        <v>SALF</v>
      </c>
    </row>
    <row r="1335" spans="1:8" ht="20.100000000000001" customHeight="1" x14ac:dyDescent="0.25">
      <c r="A1335" s="3" t="s">
        <v>39</v>
      </c>
      <c r="B1335" s="3" t="s">
        <v>307</v>
      </c>
      <c r="C1335" s="3">
        <v>2022</v>
      </c>
      <c r="D1335" s="4">
        <v>4</v>
      </c>
      <c r="E1335" s="5">
        <v>46</v>
      </c>
      <c r="F1335" s="5">
        <v>25.32</v>
      </c>
      <c r="G1335" s="3" t="str">
        <f>VLOOKUP(Registros[[#This Row],[Cliente]],Cliente_Region[],2,FALSE)</f>
        <v>Peru</v>
      </c>
      <c r="H1335" s="3" t="str">
        <f>VLOOKUP(Registros[[#This Row],[Producto]],Producto[],2,FALSE)</f>
        <v>SALF</v>
      </c>
    </row>
    <row r="1336" spans="1:8" ht="20.100000000000001" customHeight="1" x14ac:dyDescent="0.25">
      <c r="A1336" s="3" t="s">
        <v>39</v>
      </c>
      <c r="B1336" s="3" t="s">
        <v>307</v>
      </c>
      <c r="C1336" s="3">
        <v>2022</v>
      </c>
      <c r="D1336" s="4">
        <v>6</v>
      </c>
      <c r="E1336" s="5">
        <v>46</v>
      </c>
      <c r="F1336" s="5">
        <v>25.32</v>
      </c>
      <c r="G1336" s="3" t="str">
        <f>VLOOKUP(Registros[[#This Row],[Cliente]],Cliente_Region[],2,FALSE)</f>
        <v>Peru</v>
      </c>
      <c r="H1336" s="3" t="str">
        <f>VLOOKUP(Registros[[#This Row],[Producto]],Producto[],2,FALSE)</f>
        <v>SALF</v>
      </c>
    </row>
    <row r="1337" spans="1:8" ht="20.100000000000001" customHeight="1" x14ac:dyDescent="0.25">
      <c r="A1337" s="3" t="s">
        <v>40</v>
      </c>
      <c r="B1337" s="3" t="s">
        <v>307</v>
      </c>
      <c r="C1337" s="3">
        <v>2022</v>
      </c>
      <c r="D1337" s="4">
        <v>1</v>
      </c>
      <c r="E1337" s="5">
        <v>51</v>
      </c>
      <c r="F1337" s="5">
        <v>31.16</v>
      </c>
      <c r="G1337" s="3" t="str">
        <f>VLOOKUP(Registros[[#This Row],[Cliente]],Cliente_Region[],2,FALSE)</f>
        <v>Peru</v>
      </c>
      <c r="H1337" s="3" t="str">
        <f>VLOOKUP(Registros[[#This Row],[Producto]],Producto[],2,FALSE)</f>
        <v>DAWNE</v>
      </c>
    </row>
    <row r="1338" spans="1:8" ht="20.100000000000001" customHeight="1" x14ac:dyDescent="0.25">
      <c r="A1338" s="3" t="s">
        <v>41</v>
      </c>
      <c r="B1338" s="3" t="s">
        <v>307</v>
      </c>
      <c r="C1338" s="3">
        <v>2022</v>
      </c>
      <c r="D1338" s="4">
        <v>2</v>
      </c>
      <c r="E1338" s="5">
        <v>43</v>
      </c>
      <c r="F1338" s="5">
        <v>23.16</v>
      </c>
      <c r="G1338" s="3" t="str">
        <f>VLOOKUP(Registros[[#This Row],[Cliente]],Cliente_Region[],2,FALSE)</f>
        <v>Peru</v>
      </c>
      <c r="H1338" s="3" t="str">
        <f>VLOOKUP(Registros[[#This Row],[Producto]],Producto[],2,FALSE)</f>
        <v>DONANY</v>
      </c>
    </row>
    <row r="1339" spans="1:8" ht="20.100000000000001" customHeight="1" x14ac:dyDescent="0.25">
      <c r="A1339" s="3" t="s">
        <v>41</v>
      </c>
      <c r="B1339" s="3" t="s">
        <v>307</v>
      </c>
      <c r="C1339" s="3">
        <v>2022</v>
      </c>
      <c r="D1339" s="4">
        <v>3</v>
      </c>
      <c r="E1339" s="5">
        <v>21.5</v>
      </c>
      <c r="F1339" s="5">
        <v>11.58</v>
      </c>
      <c r="G1339" s="3" t="str">
        <f>VLOOKUP(Registros[[#This Row],[Cliente]],Cliente_Region[],2,FALSE)</f>
        <v>Peru</v>
      </c>
      <c r="H1339" s="3" t="str">
        <f>VLOOKUP(Registros[[#This Row],[Producto]],Producto[],2,FALSE)</f>
        <v>DONANY</v>
      </c>
    </row>
    <row r="1340" spans="1:8" ht="20.100000000000001" customHeight="1" x14ac:dyDescent="0.25">
      <c r="A1340" s="3" t="s">
        <v>41</v>
      </c>
      <c r="B1340" s="3" t="s">
        <v>307</v>
      </c>
      <c r="C1340" s="3">
        <v>2022</v>
      </c>
      <c r="D1340" s="4">
        <v>4</v>
      </c>
      <c r="E1340" s="5">
        <v>21.5</v>
      </c>
      <c r="F1340" s="5">
        <v>11.58</v>
      </c>
      <c r="G1340" s="3" t="str">
        <f>VLOOKUP(Registros[[#This Row],[Cliente]],Cliente_Region[],2,FALSE)</f>
        <v>Peru</v>
      </c>
      <c r="H1340" s="3" t="str">
        <f>VLOOKUP(Registros[[#This Row],[Producto]],Producto[],2,FALSE)</f>
        <v>DONANY</v>
      </c>
    </row>
    <row r="1341" spans="1:8" ht="20.100000000000001" customHeight="1" x14ac:dyDescent="0.25">
      <c r="A1341" s="3" t="s">
        <v>41</v>
      </c>
      <c r="B1341" s="3" t="s">
        <v>307</v>
      </c>
      <c r="C1341" s="3">
        <v>2022</v>
      </c>
      <c r="D1341" s="4">
        <v>6</v>
      </c>
      <c r="E1341" s="5">
        <v>43</v>
      </c>
      <c r="F1341" s="5">
        <v>23.16</v>
      </c>
      <c r="G1341" s="3" t="str">
        <f>VLOOKUP(Registros[[#This Row],[Cliente]],Cliente_Region[],2,FALSE)</f>
        <v>Peru</v>
      </c>
      <c r="H1341" s="3" t="str">
        <f>VLOOKUP(Registros[[#This Row],[Producto]],Producto[],2,FALSE)</f>
        <v>DONANY</v>
      </c>
    </row>
    <row r="1342" spans="1:8" ht="20.100000000000001" customHeight="1" x14ac:dyDescent="0.25">
      <c r="A1342" s="3" t="s">
        <v>312</v>
      </c>
      <c r="B1342" s="3" t="s">
        <v>307</v>
      </c>
      <c r="C1342" s="3">
        <v>2022</v>
      </c>
      <c r="D1342" s="4">
        <v>3</v>
      </c>
      <c r="E1342" s="5">
        <v>14.1</v>
      </c>
      <c r="F1342" s="5">
        <v>2.6</v>
      </c>
      <c r="G1342" s="3" t="str">
        <f>VLOOKUP(Registros[[#This Row],[Cliente]],Cliente_Region[],2,FALSE)</f>
        <v>Peru</v>
      </c>
      <c r="H1342" s="3" t="str">
        <f>VLOOKUP(Registros[[#This Row],[Producto]],Producto[],2,FALSE)</f>
        <v>MOC</v>
      </c>
    </row>
    <row r="1343" spans="1:8" ht="20.100000000000001" customHeight="1" x14ac:dyDescent="0.25">
      <c r="A1343" s="3" t="s">
        <v>282</v>
      </c>
      <c r="B1343" s="3" t="s">
        <v>307</v>
      </c>
      <c r="C1343" s="3">
        <v>2022</v>
      </c>
      <c r="D1343" s="4">
        <v>1</v>
      </c>
      <c r="E1343" s="5">
        <v>169</v>
      </c>
      <c r="F1343" s="5">
        <v>84.83</v>
      </c>
      <c r="G1343" s="3" t="str">
        <f>VLOOKUP(Registros[[#This Row],[Cliente]],Cliente_Region[],2,FALSE)</f>
        <v>Peru</v>
      </c>
      <c r="H1343" s="3" t="str">
        <f>VLOOKUP(Registros[[#This Row],[Producto]],Producto[],2,FALSE)</f>
        <v>DAWNE</v>
      </c>
    </row>
    <row r="1344" spans="1:8" ht="20.100000000000001" customHeight="1" x14ac:dyDescent="0.25">
      <c r="A1344" s="3" t="s">
        <v>114</v>
      </c>
      <c r="B1344" s="3" t="s">
        <v>307</v>
      </c>
      <c r="C1344" s="3">
        <v>2022</v>
      </c>
      <c r="D1344" s="4">
        <v>2</v>
      </c>
      <c r="E1344" s="5">
        <v>144</v>
      </c>
      <c r="F1344" s="5">
        <v>80.88</v>
      </c>
      <c r="G1344" s="3" t="str">
        <f>VLOOKUP(Registros[[#This Row],[Cliente]],Cliente_Region[],2,FALSE)</f>
        <v>Peru</v>
      </c>
      <c r="H1344" s="3" t="str">
        <f>VLOOKUP(Registros[[#This Row],[Producto]],Producto[],2,FALSE)</f>
        <v>DAWNE</v>
      </c>
    </row>
    <row r="1345" spans="1:8" ht="20.100000000000001" customHeight="1" x14ac:dyDescent="0.25">
      <c r="A1345" s="3" t="s">
        <v>114</v>
      </c>
      <c r="B1345" s="3" t="s">
        <v>307</v>
      </c>
      <c r="C1345" s="3">
        <v>2022</v>
      </c>
      <c r="D1345" s="4">
        <v>3</v>
      </c>
      <c r="E1345" s="5">
        <v>98</v>
      </c>
      <c r="F1345" s="5">
        <v>48.91</v>
      </c>
      <c r="G1345" s="3" t="str">
        <f>VLOOKUP(Registros[[#This Row],[Cliente]],Cliente_Region[],2,FALSE)</f>
        <v>Peru</v>
      </c>
      <c r="H1345" s="3" t="str">
        <f>VLOOKUP(Registros[[#This Row],[Producto]],Producto[],2,FALSE)</f>
        <v>DAWNE</v>
      </c>
    </row>
    <row r="1346" spans="1:8" ht="20.100000000000001" customHeight="1" x14ac:dyDescent="0.25">
      <c r="A1346" s="3" t="s">
        <v>114</v>
      </c>
      <c r="B1346" s="3" t="s">
        <v>307</v>
      </c>
      <c r="C1346" s="3">
        <v>2022</v>
      </c>
      <c r="D1346" s="4">
        <v>4</v>
      </c>
      <c r="E1346" s="5">
        <v>140</v>
      </c>
      <c r="F1346" s="5">
        <v>69.86</v>
      </c>
      <c r="G1346" s="3" t="str">
        <f>VLOOKUP(Registros[[#This Row],[Cliente]],Cliente_Region[],2,FALSE)</f>
        <v>Peru</v>
      </c>
      <c r="H1346" s="3" t="str">
        <f>VLOOKUP(Registros[[#This Row],[Producto]],Producto[],2,FALSE)</f>
        <v>DAWNE</v>
      </c>
    </row>
    <row r="1347" spans="1:8" ht="20.100000000000001" customHeight="1" x14ac:dyDescent="0.25">
      <c r="A1347" s="3" t="s">
        <v>114</v>
      </c>
      <c r="B1347" s="3" t="s">
        <v>307</v>
      </c>
      <c r="C1347" s="3">
        <v>2022</v>
      </c>
      <c r="D1347" s="4">
        <v>5</v>
      </c>
      <c r="E1347" s="5">
        <v>126</v>
      </c>
      <c r="F1347" s="5">
        <v>62.88</v>
      </c>
      <c r="G1347" s="3" t="str">
        <f>VLOOKUP(Registros[[#This Row],[Cliente]],Cliente_Region[],2,FALSE)</f>
        <v>Peru</v>
      </c>
      <c r="H1347" s="3" t="str">
        <f>VLOOKUP(Registros[[#This Row],[Producto]],Producto[],2,FALSE)</f>
        <v>DAWNE</v>
      </c>
    </row>
    <row r="1348" spans="1:8" ht="20.100000000000001" customHeight="1" x14ac:dyDescent="0.25">
      <c r="A1348" s="3" t="s">
        <v>114</v>
      </c>
      <c r="B1348" s="3" t="s">
        <v>307</v>
      </c>
      <c r="C1348" s="3">
        <v>2022</v>
      </c>
      <c r="D1348" s="4">
        <v>6</v>
      </c>
      <c r="E1348" s="5">
        <v>126</v>
      </c>
      <c r="F1348" s="5">
        <v>62.9</v>
      </c>
      <c r="G1348" s="3" t="str">
        <f>VLOOKUP(Registros[[#This Row],[Cliente]],Cliente_Region[],2,FALSE)</f>
        <v>Peru</v>
      </c>
      <c r="H1348" s="3" t="str">
        <f>VLOOKUP(Registros[[#This Row],[Producto]],Producto[],2,FALSE)</f>
        <v>DAWNE</v>
      </c>
    </row>
    <row r="1349" spans="1:8" ht="20.100000000000001" customHeight="1" x14ac:dyDescent="0.25">
      <c r="A1349" s="3" t="s">
        <v>135</v>
      </c>
      <c r="B1349" s="3" t="s">
        <v>307</v>
      </c>
      <c r="C1349" s="3">
        <v>2022</v>
      </c>
      <c r="D1349" s="4">
        <v>1</v>
      </c>
      <c r="E1349" s="5">
        <v>241.75</v>
      </c>
      <c r="F1349" s="5">
        <v>152.85</v>
      </c>
      <c r="G1349" s="3" t="str">
        <f>VLOOKUP(Registros[[#This Row],[Cliente]],Cliente_Region[],2,FALSE)</f>
        <v>Peru</v>
      </c>
      <c r="H1349" s="3" t="str">
        <f>VLOOKUP(Registros[[#This Row],[Producto]],Producto[],2,FALSE)</f>
        <v>GAMBO</v>
      </c>
    </row>
    <row r="1350" spans="1:8" ht="20.100000000000001" customHeight="1" x14ac:dyDescent="0.25">
      <c r="A1350" s="3" t="s">
        <v>93</v>
      </c>
      <c r="B1350" s="3" t="s">
        <v>307</v>
      </c>
      <c r="C1350" s="3">
        <v>2022</v>
      </c>
      <c r="D1350" s="4">
        <v>2</v>
      </c>
      <c r="E1350" s="5">
        <v>173.25</v>
      </c>
      <c r="F1350" s="5">
        <v>126.07</v>
      </c>
      <c r="G1350" s="3" t="str">
        <f>VLOOKUP(Registros[[#This Row],[Cliente]],Cliente_Region[],2,FALSE)</f>
        <v>Peru</v>
      </c>
      <c r="H1350" s="3" t="str">
        <f>VLOOKUP(Registros[[#This Row],[Producto]],Producto[],2,FALSE)</f>
        <v>GAMBO</v>
      </c>
    </row>
    <row r="1351" spans="1:8" ht="20.100000000000001" customHeight="1" x14ac:dyDescent="0.25">
      <c r="A1351" s="3" t="s">
        <v>93</v>
      </c>
      <c r="B1351" s="3" t="s">
        <v>307</v>
      </c>
      <c r="C1351" s="3">
        <v>2022</v>
      </c>
      <c r="D1351" s="4">
        <v>3</v>
      </c>
      <c r="E1351" s="5">
        <v>131.25</v>
      </c>
      <c r="F1351" s="5">
        <v>84.07</v>
      </c>
      <c r="G1351" s="3" t="str">
        <f>VLOOKUP(Registros[[#This Row],[Cliente]],Cliente_Region[],2,FALSE)</f>
        <v>Peru</v>
      </c>
      <c r="H1351" s="3" t="str">
        <f>VLOOKUP(Registros[[#This Row],[Producto]],Producto[],2,FALSE)</f>
        <v>GAMBO</v>
      </c>
    </row>
    <row r="1352" spans="1:8" ht="20.100000000000001" customHeight="1" x14ac:dyDescent="0.25">
      <c r="A1352" s="3" t="s">
        <v>93</v>
      </c>
      <c r="B1352" s="3" t="s">
        <v>307</v>
      </c>
      <c r="C1352" s="3">
        <v>2022</v>
      </c>
      <c r="D1352" s="4">
        <v>4</v>
      </c>
      <c r="E1352" s="5">
        <v>56.25</v>
      </c>
      <c r="F1352" s="5">
        <v>36.03</v>
      </c>
      <c r="G1352" s="3" t="str">
        <f>VLOOKUP(Registros[[#This Row],[Cliente]],Cliente_Region[],2,FALSE)</f>
        <v>Peru</v>
      </c>
      <c r="H1352" s="3" t="str">
        <f>VLOOKUP(Registros[[#This Row],[Producto]],Producto[],2,FALSE)</f>
        <v>GAMBO</v>
      </c>
    </row>
    <row r="1353" spans="1:8" ht="20.100000000000001" customHeight="1" x14ac:dyDescent="0.25">
      <c r="A1353" s="3" t="s">
        <v>93</v>
      </c>
      <c r="B1353" s="3" t="s">
        <v>307</v>
      </c>
      <c r="C1353" s="3">
        <v>2022</v>
      </c>
      <c r="D1353" s="4">
        <v>5</v>
      </c>
      <c r="E1353" s="5">
        <v>93.75</v>
      </c>
      <c r="F1353" s="5">
        <v>60.05</v>
      </c>
      <c r="G1353" s="3" t="str">
        <f>VLOOKUP(Registros[[#This Row],[Cliente]],Cliente_Region[],2,FALSE)</f>
        <v>Peru</v>
      </c>
      <c r="H1353" s="3" t="str">
        <f>VLOOKUP(Registros[[#This Row],[Producto]],Producto[],2,FALSE)</f>
        <v>GAMBO</v>
      </c>
    </row>
    <row r="1354" spans="1:8" ht="20.100000000000001" customHeight="1" x14ac:dyDescent="0.25">
      <c r="A1354" s="3" t="s">
        <v>93</v>
      </c>
      <c r="B1354" s="3" t="s">
        <v>307</v>
      </c>
      <c r="C1354" s="3">
        <v>2022</v>
      </c>
      <c r="D1354" s="4">
        <v>6</v>
      </c>
      <c r="E1354" s="5">
        <v>131.25</v>
      </c>
      <c r="F1354" s="5">
        <v>84.07</v>
      </c>
      <c r="G1354" s="3" t="str">
        <f>VLOOKUP(Registros[[#This Row],[Cliente]],Cliente_Region[],2,FALSE)</f>
        <v>Peru</v>
      </c>
      <c r="H1354" s="3" t="str">
        <f>VLOOKUP(Registros[[#This Row],[Producto]],Producto[],2,FALSE)</f>
        <v>GAMBO</v>
      </c>
    </row>
    <row r="1355" spans="1:8" ht="20.100000000000001" customHeight="1" x14ac:dyDescent="0.25">
      <c r="A1355" s="3" t="s">
        <v>136</v>
      </c>
      <c r="B1355" s="3" t="s">
        <v>307</v>
      </c>
      <c r="C1355" s="3">
        <v>2022</v>
      </c>
      <c r="D1355" s="4">
        <v>1</v>
      </c>
      <c r="E1355" s="5">
        <v>211</v>
      </c>
      <c r="F1355" s="5">
        <v>61.49</v>
      </c>
      <c r="G1355" s="3" t="str">
        <f>VLOOKUP(Registros[[#This Row],[Cliente]],Cliente_Region[],2,FALSE)</f>
        <v>Peru</v>
      </c>
      <c r="H1355" s="3" t="str">
        <f>VLOOKUP(Registros[[#This Row],[Producto]],Producto[],2,FALSE)</f>
        <v>CHOTUS</v>
      </c>
    </row>
    <row r="1356" spans="1:8" ht="20.100000000000001" customHeight="1" x14ac:dyDescent="0.25">
      <c r="A1356" s="3" t="s">
        <v>137</v>
      </c>
      <c r="B1356" s="3" t="s">
        <v>307</v>
      </c>
      <c r="C1356" s="3">
        <v>2022</v>
      </c>
      <c r="D1356" s="4">
        <v>2</v>
      </c>
      <c r="E1356" s="5">
        <v>179.55</v>
      </c>
      <c r="F1356" s="5">
        <v>92.31</v>
      </c>
      <c r="G1356" s="3" t="str">
        <f>VLOOKUP(Registros[[#This Row],[Cliente]],Cliente_Region[],2,FALSE)</f>
        <v>Peru</v>
      </c>
      <c r="H1356" s="3" t="str">
        <f>VLOOKUP(Registros[[#This Row],[Producto]],Producto[],2,FALSE)</f>
        <v>QUOKAR</v>
      </c>
    </row>
    <row r="1357" spans="1:8" ht="20.100000000000001" customHeight="1" x14ac:dyDescent="0.25">
      <c r="A1357" s="3" t="s">
        <v>137</v>
      </c>
      <c r="B1357" s="3" t="s">
        <v>307</v>
      </c>
      <c r="C1357" s="3">
        <v>2022</v>
      </c>
      <c r="D1357" s="4">
        <v>3</v>
      </c>
      <c r="E1357" s="5">
        <v>106.5</v>
      </c>
      <c r="F1357" s="5">
        <v>31.72</v>
      </c>
      <c r="G1357" s="3" t="str">
        <f>VLOOKUP(Registros[[#This Row],[Cliente]],Cliente_Region[],2,FALSE)</f>
        <v>Peru</v>
      </c>
      <c r="H1357" s="3" t="str">
        <f>VLOOKUP(Registros[[#This Row],[Producto]],Producto[],2,FALSE)</f>
        <v>QUOKAR</v>
      </c>
    </row>
    <row r="1358" spans="1:8" ht="20.100000000000001" customHeight="1" x14ac:dyDescent="0.25">
      <c r="A1358" s="3" t="s">
        <v>137</v>
      </c>
      <c r="B1358" s="3" t="s">
        <v>307</v>
      </c>
      <c r="C1358" s="3">
        <v>2022</v>
      </c>
      <c r="D1358" s="4">
        <v>4</v>
      </c>
      <c r="E1358" s="5">
        <v>106.5</v>
      </c>
      <c r="F1358" s="5">
        <v>31.73</v>
      </c>
      <c r="G1358" s="3" t="str">
        <f>VLOOKUP(Registros[[#This Row],[Cliente]],Cliente_Region[],2,FALSE)</f>
        <v>Peru</v>
      </c>
      <c r="H1358" s="3" t="str">
        <f>VLOOKUP(Registros[[#This Row],[Producto]],Producto[],2,FALSE)</f>
        <v>QUOKAR</v>
      </c>
    </row>
    <row r="1359" spans="1:8" ht="20.100000000000001" customHeight="1" x14ac:dyDescent="0.25">
      <c r="A1359" s="3" t="s">
        <v>137</v>
      </c>
      <c r="B1359" s="3" t="s">
        <v>307</v>
      </c>
      <c r="C1359" s="3">
        <v>2022</v>
      </c>
      <c r="D1359" s="4">
        <v>5</v>
      </c>
      <c r="E1359" s="5">
        <v>71</v>
      </c>
      <c r="F1359" s="5">
        <v>21.16</v>
      </c>
      <c r="G1359" s="3" t="str">
        <f>VLOOKUP(Registros[[#This Row],[Cliente]],Cliente_Region[],2,FALSE)</f>
        <v>Peru</v>
      </c>
      <c r="H1359" s="3" t="str">
        <f>VLOOKUP(Registros[[#This Row],[Producto]],Producto[],2,FALSE)</f>
        <v>QUOKAR</v>
      </c>
    </row>
    <row r="1360" spans="1:8" ht="20.100000000000001" customHeight="1" x14ac:dyDescent="0.25">
      <c r="A1360" s="3" t="s">
        <v>137</v>
      </c>
      <c r="B1360" s="3" t="s">
        <v>307</v>
      </c>
      <c r="C1360" s="3">
        <v>2022</v>
      </c>
      <c r="D1360" s="4">
        <v>6</v>
      </c>
      <c r="E1360" s="5">
        <v>88.75</v>
      </c>
      <c r="F1360" s="5">
        <v>26.45</v>
      </c>
      <c r="G1360" s="3" t="str">
        <f>VLOOKUP(Registros[[#This Row],[Cliente]],Cliente_Region[],2,FALSE)</f>
        <v>Peru</v>
      </c>
      <c r="H1360" s="3" t="str">
        <f>VLOOKUP(Registros[[#This Row],[Producto]],Producto[],2,FALSE)</f>
        <v>QUOKAR</v>
      </c>
    </row>
    <row r="1361" spans="1:8" ht="20.100000000000001" customHeight="1" x14ac:dyDescent="0.25">
      <c r="A1361" s="3" t="s">
        <v>90</v>
      </c>
      <c r="B1361" s="3" t="s">
        <v>307</v>
      </c>
      <c r="C1361" s="3">
        <v>2022</v>
      </c>
      <c r="D1361" s="4">
        <v>5</v>
      </c>
      <c r="E1361" s="5">
        <v>15.13</v>
      </c>
      <c r="F1361" s="5">
        <v>12.01</v>
      </c>
      <c r="G1361" s="3" t="str">
        <f>VLOOKUP(Registros[[#This Row],[Cliente]],Cliente_Region[],2,FALSE)</f>
        <v>Peru</v>
      </c>
      <c r="H1361" s="3" t="str">
        <f>VLOOKUP(Registros[[#This Row],[Producto]],Producto[],2,FALSE)</f>
        <v>CHOTUS</v>
      </c>
    </row>
    <row r="1362" spans="1:8" ht="20.100000000000001" customHeight="1" x14ac:dyDescent="0.25">
      <c r="A1362" s="3" t="s">
        <v>313</v>
      </c>
      <c r="B1362" s="3" t="s">
        <v>307</v>
      </c>
      <c r="C1362" s="3">
        <v>2022</v>
      </c>
      <c r="D1362" s="4">
        <v>4</v>
      </c>
      <c r="E1362" s="5">
        <v>46.5</v>
      </c>
      <c r="F1362" s="5">
        <v>46.5</v>
      </c>
      <c r="G1362" s="3" t="str">
        <f>VLOOKUP(Registros[[#This Row],[Cliente]],Cliente_Region[],2,FALSE)</f>
        <v>Peru</v>
      </c>
      <c r="H1362" s="3" t="str">
        <f>VLOOKUP(Registros[[#This Row],[Producto]],Producto[],2,FALSE)</f>
        <v>QUOKAR</v>
      </c>
    </row>
    <row r="1363" spans="1:8" ht="20.100000000000001" customHeight="1" x14ac:dyDescent="0.25">
      <c r="A1363" s="3" t="s">
        <v>77</v>
      </c>
      <c r="B1363" s="3" t="s">
        <v>307</v>
      </c>
      <c r="C1363" s="3">
        <v>2022</v>
      </c>
      <c r="D1363" s="4">
        <v>1</v>
      </c>
      <c r="E1363" s="5">
        <v>59.95</v>
      </c>
      <c r="F1363" s="5">
        <v>40.19</v>
      </c>
      <c r="G1363" s="3" t="str">
        <f>VLOOKUP(Registros[[#This Row],[Cliente]],Cliente_Region[],2,FALSE)</f>
        <v>Peru</v>
      </c>
      <c r="H1363" s="3" t="str">
        <f>VLOOKUP(Registros[[#This Row],[Producto]],Producto[],2,FALSE)</f>
        <v>LAX</v>
      </c>
    </row>
    <row r="1364" spans="1:8" ht="20.100000000000001" customHeight="1" x14ac:dyDescent="0.25">
      <c r="A1364" s="3" t="s">
        <v>78</v>
      </c>
      <c r="B1364" s="3" t="s">
        <v>307</v>
      </c>
      <c r="C1364" s="3">
        <v>2022</v>
      </c>
      <c r="D1364" s="4">
        <v>3</v>
      </c>
      <c r="E1364" s="5">
        <v>34.1</v>
      </c>
      <c r="F1364" s="5">
        <v>24.22</v>
      </c>
      <c r="G1364" s="3" t="str">
        <f>VLOOKUP(Registros[[#This Row],[Cliente]],Cliente_Region[],2,FALSE)</f>
        <v>Peru</v>
      </c>
      <c r="H1364" s="3" t="str">
        <f>VLOOKUP(Registros[[#This Row],[Producto]],Producto[],2,FALSE)</f>
        <v>MOC</v>
      </c>
    </row>
    <row r="1365" spans="1:8" ht="20.100000000000001" customHeight="1" x14ac:dyDescent="0.25">
      <c r="A1365" s="3" t="s">
        <v>78</v>
      </c>
      <c r="B1365" s="3" t="s">
        <v>307</v>
      </c>
      <c r="C1365" s="3">
        <v>2022</v>
      </c>
      <c r="D1365" s="4">
        <v>4</v>
      </c>
      <c r="E1365" s="5">
        <v>34.1</v>
      </c>
      <c r="F1365" s="5">
        <v>24.22</v>
      </c>
      <c r="G1365" s="3" t="str">
        <f>VLOOKUP(Registros[[#This Row],[Cliente]],Cliente_Region[],2,FALSE)</f>
        <v>Peru</v>
      </c>
      <c r="H1365" s="3" t="str">
        <f>VLOOKUP(Registros[[#This Row],[Producto]],Producto[],2,FALSE)</f>
        <v>MOC</v>
      </c>
    </row>
    <row r="1366" spans="1:8" ht="20.100000000000001" customHeight="1" x14ac:dyDescent="0.25">
      <c r="A1366" s="3" t="s">
        <v>78</v>
      </c>
      <c r="B1366" s="3" t="s">
        <v>307</v>
      </c>
      <c r="C1366" s="3">
        <v>2022</v>
      </c>
      <c r="D1366" s="4">
        <v>5</v>
      </c>
      <c r="E1366" s="5">
        <v>64.099999999999994</v>
      </c>
      <c r="F1366" s="5">
        <v>44.34</v>
      </c>
      <c r="G1366" s="3" t="str">
        <f>VLOOKUP(Registros[[#This Row],[Cliente]],Cliente_Region[],2,FALSE)</f>
        <v>Peru</v>
      </c>
      <c r="H1366" s="3" t="str">
        <f>VLOOKUP(Registros[[#This Row],[Producto]],Producto[],2,FALSE)</f>
        <v>MOC</v>
      </c>
    </row>
    <row r="1367" spans="1:8" ht="20.100000000000001" customHeight="1" x14ac:dyDescent="0.25">
      <c r="A1367" s="3" t="s">
        <v>81</v>
      </c>
      <c r="B1367" s="3" t="s">
        <v>307</v>
      </c>
      <c r="C1367" s="3">
        <v>2022</v>
      </c>
      <c r="D1367" s="4">
        <v>1</v>
      </c>
      <c r="E1367" s="5">
        <v>25</v>
      </c>
      <c r="F1367" s="5">
        <v>11.02</v>
      </c>
      <c r="G1367" s="3" t="str">
        <f>VLOOKUP(Registros[[#This Row],[Cliente]],Cliente_Region[],2,FALSE)</f>
        <v>Peru</v>
      </c>
      <c r="H1367" s="3" t="str">
        <f>VLOOKUP(Registros[[#This Row],[Producto]],Producto[],2,FALSE)</f>
        <v>QUOKAR</v>
      </c>
    </row>
    <row r="1368" spans="1:8" ht="20.100000000000001" customHeight="1" x14ac:dyDescent="0.25">
      <c r="A1368" s="3" t="s">
        <v>82</v>
      </c>
      <c r="B1368" s="3" t="s">
        <v>307</v>
      </c>
      <c r="C1368" s="3">
        <v>2022</v>
      </c>
      <c r="D1368" s="4">
        <v>4</v>
      </c>
      <c r="E1368" s="5">
        <v>23.93</v>
      </c>
      <c r="F1368" s="5">
        <v>9.9499999999999993</v>
      </c>
      <c r="G1368" s="3" t="str">
        <f>VLOOKUP(Registros[[#This Row],[Cliente]],Cliente_Region[],2,FALSE)</f>
        <v>Peru</v>
      </c>
      <c r="H1368" s="3" t="str">
        <f>VLOOKUP(Registros[[#This Row],[Producto]],Producto[],2,FALSE)</f>
        <v>LAX</v>
      </c>
    </row>
    <row r="1369" spans="1:8" ht="20.100000000000001" customHeight="1" x14ac:dyDescent="0.25">
      <c r="A1369" s="3" t="s">
        <v>82</v>
      </c>
      <c r="B1369" s="3" t="s">
        <v>307</v>
      </c>
      <c r="C1369" s="3">
        <v>2022</v>
      </c>
      <c r="D1369" s="4">
        <v>5</v>
      </c>
      <c r="E1369" s="5">
        <v>23.93</v>
      </c>
      <c r="F1369" s="5">
        <v>9.9499999999999993</v>
      </c>
      <c r="G1369" s="3" t="str">
        <f>VLOOKUP(Registros[[#This Row],[Cliente]],Cliente_Region[],2,FALSE)</f>
        <v>Peru</v>
      </c>
      <c r="H1369" s="3" t="str">
        <f>VLOOKUP(Registros[[#This Row],[Producto]],Producto[],2,FALSE)</f>
        <v>LAX</v>
      </c>
    </row>
    <row r="1370" spans="1:8" ht="20.100000000000001" customHeight="1" x14ac:dyDescent="0.25">
      <c r="A1370" s="3" t="s">
        <v>13</v>
      </c>
      <c r="B1370" s="3" t="s">
        <v>314</v>
      </c>
      <c r="C1370" s="3">
        <v>2022</v>
      </c>
      <c r="D1370" s="4">
        <v>1</v>
      </c>
      <c r="E1370" s="5">
        <v>29</v>
      </c>
      <c r="F1370" s="5">
        <v>10.17</v>
      </c>
      <c r="G1370" s="3" t="str">
        <f>VLOOKUP(Registros[[#This Row],[Cliente]],Cliente_Region[],2,FALSE)</f>
        <v>Mexico</v>
      </c>
      <c r="H1370" s="3" t="str">
        <f>VLOOKUP(Registros[[#This Row],[Producto]],Producto[],2,FALSE)</f>
        <v>DAWNE</v>
      </c>
    </row>
    <row r="1371" spans="1:8" ht="20.100000000000001" customHeight="1" x14ac:dyDescent="0.25">
      <c r="A1371" s="3" t="s">
        <v>284</v>
      </c>
      <c r="B1371" s="3" t="s">
        <v>314</v>
      </c>
      <c r="C1371" s="3">
        <v>2022</v>
      </c>
      <c r="D1371" s="4">
        <v>4</v>
      </c>
      <c r="E1371" s="5">
        <v>13.2</v>
      </c>
      <c r="F1371" s="5">
        <v>8.7200000000000006</v>
      </c>
      <c r="G1371" s="3" t="str">
        <f>VLOOKUP(Registros[[#This Row],[Cliente]],Cliente_Region[],2,FALSE)</f>
        <v>Mexico</v>
      </c>
      <c r="H1371" s="3" t="str">
        <f>VLOOKUP(Registros[[#This Row],[Producto]],Producto[],2,FALSE)</f>
        <v>DONANY</v>
      </c>
    </row>
    <row r="1372" spans="1:8" ht="20.100000000000001" customHeight="1" x14ac:dyDescent="0.25">
      <c r="A1372" s="3" t="s">
        <v>268</v>
      </c>
      <c r="B1372" s="3" t="s">
        <v>314</v>
      </c>
      <c r="C1372" s="3">
        <v>2022</v>
      </c>
      <c r="D1372" s="4">
        <v>5</v>
      </c>
      <c r="E1372" s="5">
        <v>11.5</v>
      </c>
      <c r="F1372" s="5">
        <v>-0.42</v>
      </c>
      <c r="G1372" s="3" t="str">
        <f>VLOOKUP(Registros[[#This Row],[Cliente]],Cliente_Region[],2,FALSE)</f>
        <v>Mexico</v>
      </c>
      <c r="H1372" s="3" t="str">
        <f>VLOOKUP(Registros[[#This Row],[Producto]],Producto[],2,FALSE)</f>
        <v>GAMBO</v>
      </c>
    </row>
    <row r="1373" spans="1:8" ht="20.100000000000001" customHeight="1" x14ac:dyDescent="0.25">
      <c r="A1373" s="3" t="s">
        <v>30</v>
      </c>
      <c r="B1373" s="3" t="s">
        <v>314</v>
      </c>
      <c r="C1373" s="3">
        <v>2022</v>
      </c>
      <c r="D1373" s="4">
        <v>5</v>
      </c>
      <c r="E1373" s="5">
        <v>26.4</v>
      </c>
      <c r="F1373" s="5">
        <v>22.39</v>
      </c>
      <c r="G1373" s="3" t="str">
        <f>VLOOKUP(Registros[[#This Row],[Cliente]],Cliente_Region[],2,FALSE)</f>
        <v>Mexico</v>
      </c>
      <c r="H1373" s="3" t="str">
        <f>VLOOKUP(Registros[[#This Row],[Producto]],Producto[],2,FALSE)</f>
        <v>CHOTUS</v>
      </c>
    </row>
    <row r="1374" spans="1:8" ht="20.100000000000001" customHeight="1" x14ac:dyDescent="0.25">
      <c r="A1374" s="3" t="s">
        <v>34</v>
      </c>
      <c r="B1374" s="3" t="s">
        <v>314</v>
      </c>
      <c r="C1374" s="3">
        <v>2022</v>
      </c>
      <c r="D1374" s="4">
        <v>5</v>
      </c>
      <c r="E1374" s="5">
        <v>25.85</v>
      </c>
      <c r="F1374" s="5">
        <v>21.97</v>
      </c>
      <c r="G1374" s="3" t="str">
        <f>VLOOKUP(Registros[[#This Row],[Cliente]],Cliente_Region[],2,FALSE)</f>
        <v>Mexico</v>
      </c>
      <c r="H1374" s="3" t="str">
        <f>VLOOKUP(Registros[[#This Row],[Producto]],Producto[],2,FALSE)</f>
        <v>DONANY</v>
      </c>
    </row>
    <row r="1375" spans="1:8" ht="20.100000000000001" customHeight="1" x14ac:dyDescent="0.25">
      <c r="A1375" s="3" t="s">
        <v>108</v>
      </c>
      <c r="B1375" s="3" t="s">
        <v>314</v>
      </c>
      <c r="C1375" s="3">
        <v>2022</v>
      </c>
      <c r="D1375" s="4">
        <v>1</v>
      </c>
      <c r="E1375" s="5">
        <v>75.25</v>
      </c>
      <c r="F1375" s="5">
        <v>40.81</v>
      </c>
      <c r="G1375" s="3" t="str">
        <f>VLOOKUP(Registros[[#This Row],[Cliente]],Cliente_Region[],2,FALSE)</f>
        <v>Mexico</v>
      </c>
      <c r="H1375" s="3" t="str">
        <f>VLOOKUP(Registros[[#This Row],[Producto]],Producto[],2,FALSE)</f>
        <v>LAX</v>
      </c>
    </row>
    <row r="1376" spans="1:8" ht="20.100000000000001" customHeight="1" x14ac:dyDescent="0.25">
      <c r="A1376" s="3" t="s">
        <v>109</v>
      </c>
      <c r="B1376" s="3" t="s">
        <v>314</v>
      </c>
      <c r="C1376" s="3">
        <v>2022</v>
      </c>
      <c r="D1376" s="4">
        <v>2</v>
      </c>
      <c r="E1376" s="5">
        <v>53.75</v>
      </c>
      <c r="F1376" s="5">
        <v>29.15</v>
      </c>
      <c r="G1376" s="3" t="str">
        <f>VLOOKUP(Registros[[#This Row],[Cliente]],Cliente_Region[],2,FALSE)</f>
        <v>Mexico</v>
      </c>
      <c r="H1376" s="3" t="str">
        <f>VLOOKUP(Registros[[#This Row],[Producto]],Producto[],2,FALSE)</f>
        <v>LAX</v>
      </c>
    </row>
    <row r="1377" spans="1:8" ht="20.100000000000001" customHeight="1" x14ac:dyDescent="0.25">
      <c r="A1377" s="3" t="s">
        <v>109</v>
      </c>
      <c r="B1377" s="3" t="s">
        <v>314</v>
      </c>
      <c r="C1377" s="3">
        <v>2022</v>
      </c>
      <c r="D1377" s="4">
        <v>3</v>
      </c>
      <c r="E1377" s="5">
        <v>86</v>
      </c>
      <c r="F1377" s="5">
        <v>46.64</v>
      </c>
      <c r="G1377" s="3" t="str">
        <f>VLOOKUP(Registros[[#This Row],[Cliente]],Cliente_Region[],2,FALSE)</f>
        <v>Mexico</v>
      </c>
      <c r="H1377" s="3" t="str">
        <f>VLOOKUP(Registros[[#This Row],[Producto]],Producto[],2,FALSE)</f>
        <v>LAX</v>
      </c>
    </row>
    <row r="1378" spans="1:8" ht="20.100000000000001" customHeight="1" x14ac:dyDescent="0.25">
      <c r="A1378" s="3" t="s">
        <v>109</v>
      </c>
      <c r="B1378" s="3" t="s">
        <v>314</v>
      </c>
      <c r="C1378" s="3">
        <v>2022</v>
      </c>
      <c r="D1378" s="4">
        <v>4</v>
      </c>
      <c r="E1378" s="5">
        <v>21.5</v>
      </c>
      <c r="F1378" s="5">
        <v>11.66</v>
      </c>
      <c r="G1378" s="3" t="str">
        <f>VLOOKUP(Registros[[#This Row],[Cliente]],Cliente_Region[],2,FALSE)</f>
        <v>Mexico</v>
      </c>
      <c r="H1378" s="3" t="str">
        <f>VLOOKUP(Registros[[#This Row],[Producto]],Producto[],2,FALSE)</f>
        <v>LAX</v>
      </c>
    </row>
    <row r="1379" spans="1:8" ht="20.100000000000001" customHeight="1" x14ac:dyDescent="0.25">
      <c r="A1379" s="3" t="s">
        <v>109</v>
      </c>
      <c r="B1379" s="3" t="s">
        <v>314</v>
      </c>
      <c r="C1379" s="3">
        <v>2022</v>
      </c>
      <c r="D1379" s="4">
        <v>5</v>
      </c>
      <c r="E1379" s="5">
        <v>21.5</v>
      </c>
      <c r="F1379" s="5">
        <v>11.66</v>
      </c>
      <c r="G1379" s="3" t="str">
        <f>VLOOKUP(Registros[[#This Row],[Cliente]],Cliente_Region[],2,FALSE)</f>
        <v>Mexico</v>
      </c>
      <c r="H1379" s="3" t="str">
        <f>VLOOKUP(Registros[[#This Row],[Producto]],Producto[],2,FALSE)</f>
        <v>LAX</v>
      </c>
    </row>
    <row r="1380" spans="1:8" ht="20.100000000000001" customHeight="1" x14ac:dyDescent="0.25">
      <c r="A1380" s="3" t="s">
        <v>11</v>
      </c>
      <c r="B1380" s="3" t="s">
        <v>314</v>
      </c>
      <c r="C1380" s="3">
        <v>2022</v>
      </c>
      <c r="D1380" s="4">
        <v>1</v>
      </c>
      <c r="E1380" s="5">
        <v>185.25</v>
      </c>
      <c r="F1380" s="5">
        <v>71.7</v>
      </c>
      <c r="G1380" s="3" t="str">
        <f>VLOOKUP(Registros[[#This Row],[Cliente]],Cliente_Region[],2,FALSE)</f>
        <v>Mexico</v>
      </c>
      <c r="H1380" s="3" t="str">
        <f>VLOOKUP(Registros[[#This Row],[Producto]],Producto[],2,FALSE)</f>
        <v>DONANY</v>
      </c>
    </row>
    <row r="1381" spans="1:8" ht="20.100000000000001" customHeight="1" x14ac:dyDescent="0.25">
      <c r="A1381" s="3" t="s">
        <v>292</v>
      </c>
      <c r="B1381" s="3" t="s">
        <v>314</v>
      </c>
      <c r="C1381" s="3">
        <v>2022</v>
      </c>
      <c r="D1381" s="4">
        <v>2</v>
      </c>
      <c r="E1381" s="5">
        <v>164.25</v>
      </c>
      <c r="F1381" s="5">
        <v>74.61</v>
      </c>
      <c r="G1381" s="3" t="str">
        <f>VLOOKUP(Registros[[#This Row],[Cliente]],Cliente_Region[],2,FALSE)</f>
        <v>Mexico</v>
      </c>
      <c r="H1381" s="3" t="str">
        <f>VLOOKUP(Registros[[#This Row],[Producto]],Producto[],2,FALSE)</f>
        <v>QUOKAR</v>
      </c>
    </row>
    <row r="1382" spans="1:8" ht="20.100000000000001" customHeight="1" x14ac:dyDescent="0.25">
      <c r="A1382" s="3" t="s">
        <v>292</v>
      </c>
      <c r="B1382" s="3" t="s">
        <v>314</v>
      </c>
      <c r="C1382" s="3">
        <v>2022</v>
      </c>
      <c r="D1382" s="4">
        <v>3</v>
      </c>
      <c r="E1382" s="5">
        <v>138.75</v>
      </c>
      <c r="F1382" s="5">
        <v>55.09</v>
      </c>
      <c r="G1382" s="3" t="str">
        <f>VLOOKUP(Registros[[#This Row],[Cliente]],Cliente_Region[],2,FALSE)</f>
        <v>Mexico</v>
      </c>
      <c r="H1382" s="3" t="str">
        <f>VLOOKUP(Registros[[#This Row],[Producto]],Producto[],2,FALSE)</f>
        <v>QUOKAR</v>
      </c>
    </row>
    <row r="1383" spans="1:8" ht="20.100000000000001" customHeight="1" x14ac:dyDescent="0.25">
      <c r="A1383" s="3" t="s">
        <v>292</v>
      </c>
      <c r="B1383" s="3" t="s">
        <v>314</v>
      </c>
      <c r="C1383" s="3">
        <v>2022</v>
      </c>
      <c r="D1383" s="4">
        <v>4</v>
      </c>
      <c r="E1383" s="5">
        <v>136.5</v>
      </c>
      <c r="F1383" s="5">
        <v>52.84</v>
      </c>
      <c r="G1383" s="3" t="str">
        <f>VLOOKUP(Registros[[#This Row],[Cliente]],Cliente_Region[],2,FALSE)</f>
        <v>Mexico</v>
      </c>
      <c r="H1383" s="3" t="str">
        <f>VLOOKUP(Registros[[#This Row],[Producto]],Producto[],2,FALSE)</f>
        <v>QUOKAR</v>
      </c>
    </row>
    <row r="1384" spans="1:8" ht="20.100000000000001" customHeight="1" x14ac:dyDescent="0.25">
      <c r="A1384" s="3" t="s">
        <v>292</v>
      </c>
      <c r="B1384" s="3" t="s">
        <v>314</v>
      </c>
      <c r="C1384" s="3">
        <v>2022</v>
      </c>
      <c r="D1384" s="4">
        <v>5</v>
      </c>
      <c r="E1384" s="5">
        <v>243.75</v>
      </c>
      <c r="F1384" s="5">
        <v>94.34</v>
      </c>
      <c r="G1384" s="3" t="str">
        <f>VLOOKUP(Registros[[#This Row],[Cliente]],Cliente_Region[],2,FALSE)</f>
        <v>Mexico</v>
      </c>
      <c r="H1384" s="3" t="str">
        <f>VLOOKUP(Registros[[#This Row],[Producto]],Producto[],2,FALSE)</f>
        <v>QUOKAR</v>
      </c>
    </row>
    <row r="1385" spans="1:8" ht="20.100000000000001" customHeight="1" x14ac:dyDescent="0.25">
      <c r="A1385" s="3" t="s">
        <v>292</v>
      </c>
      <c r="B1385" s="3" t="s">
        <v>314</v>
      </c>
      <c r="C1385" s="3">
        <v>2022</v>
      </c>
      <c r="D1385" s="4">
        <v>6</v>
      </c>
      <c r="E1385" s="5">
        <v>126.75</v>
      </c>
      <c r="F1385" s="5">
        <v>49.06</v>
      </c>
      <c r="G1385" s="3" t="str">
        <f>VLOOKUP(Registros[[#This Row],[Cliente]],Cliente_Region[],2,FALSE)</f>
        <v>Mexico</v>
      </c>
      <c r="H1385" s="3" t="str">
        <f>VLOOKUP(Registros[[#This Row],[Producto]],Producto[],2,FALSE)</f>
        <v>QUOKAR</v>
      </c>
    </row>
    <row r="1386" spans="1:8" ht="20.100000000000001" customHeight="1" x14ac:dyDescent="0.25">
      <c r="A1386" s="3" t="s">
        <v>293</v>
      </c>
      <c r="B1386" s="3" t="s">
        <v>314</v>
      </c>
      <c r="C1386" s="3">
        <v>2022</v>
      </c>
      <c r="D1386" s="4">
        <v>3</v>
      </c>
      <c r="E1386" s="5">
        <v>24.76</v>
      </c>
      <c r="F1386" s="5">
        <v>0.19</v>
      </c>
      <c r="G1386" s="3" t="str">
        <f>VLOOKUP(Registros[[#This Row],[Cliente]],Cliente_Region[],2,FALSE)</f>
        <v>Mexico</v>
      </c>
      <c r="H1386" s="3" t="str">
        <f>VLOOKUP(Registros[[#This Row],[Producto]],Producto[],2,FALSE)</f>
        <v>QUOKAR</v>
      </c>
    </row>
    <row r="1387" spans="1:8" ht="20.100000000000001" customHeight="1" x14ac:dyDescent="0.25">
      <c r="A1387" s="3" t="s">
        <v>294</v>
      </c>
      <c r="B1387" s="3" t="s">
        <v>314</v>
      </c>
      <c r="C1387" s="3">
        <v>2022</v>
      </c>
      <c r="D1387" s="4">
        <v>4</v>
      </c>
      <c r="E1387" s="5">
        <v>12.38</v>
      </c>
      <c r="F1387" s="5">
        <v>2.58</v>
      </c>
      <c r="G1387" s="3" t="str">
        <f>VLOOKUP(Registros[[#This Row],[Cliente]],Cliente_Region[],2,FALSE)</f>
        <v>Mexico</v>
      </c>
      <c r="H1387" s="3" t="str">
        <f>VLOOKUP(Registros[[#This Row],[Producto]],Producto[],2,FALSE)</f>
        <v>CHOTUS</v>
      </c>
    </row>
    <row r="1388" spans="1:8" ht="20.100000000000001" customHeight="1" x14ac:dyDescent="0.25">
      <c r="A1388" s="3" t="s">
        <v>304</v>
      </c>
      <c r="B1388" s="3" t="s">
        <v>314</v>
      </c>
      <c r="C1388" s="3">
        <v>2022</v>
      </c>
      <c r="D1388" s="4">
        <v>1</v>
      </c>
      <c r="E1388" s="5">
        <v>108</v>
      </c>
      <c r="F1388" s="5">
        <v>67.59</v>
      </c>
      <c r="G1388" s="3" t="str">
        <f>VLOOKUP(Registros[[#This Row],[Cliente]],Cliente_Region[],2,FALSE)</f>
        <v>Mexico</v>
      </c>
      <c r="H1388" s="3" t="str">
        <f>VLOOKUP(Registros[[#This Row],[Producto]],Producto[],2,FALSE)</f>
        <v>QUOKAR</v>
      </c>
    </row>
    <row r="1389" spans="1:8" ht="20.100000000000001" customHeight="1" x14ac:dyDescent="0.25">
      <c r="A1389" s="3" t="s">
        <v>305</v>
      </c>
      <c r="B1389" s="3" t="s">
        <v>314</v>
      </c>
      <c r="C1389" s="3">
        <v>2022</v>
      </c>
      <c r="D1389" s="4">
        <v>2</v>
      </c>
      <c r="E1389" s="5">
        <v>102</v>
      </c>
      <c r="F1389" s="5">
        <v>66.08</v>
      </c>
      <c r="G1389" s="3" t="str">
        <f>VLOOKUP(Registros[[#This Row],[Cliente]],Cliente_Region[],2,FALSE)</f>
        <v>Mexico</v>
      </c>
      <c r="H1389" s="3" t="str">
        <f>VLOOKUP(Registros[[#This Row],[Producto]],Producto[],2,FALSE)</f>
        <v>DAWNE</v>
      </c>
    </row>
    <row r="1390" spans="1:8" ht="20.100000000000001" customHeight="1" x14ac:dyDescent="0.25">
      <c r="A1390" s="3" t="s">
        <v>305</v>
      </c>
      <c r="B1390" s="3" t="s">
        <v>314</v>
      </c>
      <c r="C1390" s="3">
        <v>2022</v>
      </c>
      <c r="D1390" s="4">
        <v>3</v>
      </c>
      <c r="E1390" s="5">
        <v>121</v>
      </c>
      <c r="F1390" s="5">
        <v>68.02</v>
      </c>
      <c r="G1390" s="3" t="str">
        <f>VLOOKUP(Registros[[#This Row],[Cliente]],Cliente_Region[],2,FALSE)</f>
        <v>Mexico</v>
      </c>
      <c r="H1390" s="3" t="str">
        <f>VLOOKUP(Registros[[#This Row],[Producto]],Producto[],2,FALSE)</f>
        <v>DAWNE</v>
      </c>
    </row>
    <row r="1391" spans="1:8" ht="20.100000000000001" customHeight="1" x14ac:dyDescent="0.25">
      <c r="A1391" s="3" t="s">
        <v>305</v>
      </c>
      <c r="B1391" s="3" t="s">
        <v>314</v>
      </c>
      <c r="C1391" s="3">
        <v>2022</v>
      </c>
      <c r="D1391" s="4">
        <v>4</v>
      </c>
      <c r="E1391" s="5">
        <v>24</v>
      </c>
      <c r="F1391" s="5">
        <v>15.02</v>
      </c>
      <c r="G1391" s="3" t="str">
        <f>VLOOKUP(Registros[[#This Row],[Cliente]],Cliente_Region[],2,FALSE)</f>
        <v>Mexico</v>
      </c>
      <c r="H1391" s="3" t="str">
        <f>VLOOKUP(Registros[[#This Row],[Producto]],Producto[],2,FALSE)</f>
        <v>DAWNE</v>
      </c>
    </row>
    <row r="1392" spans="1:8" ht="20.100000000000001" customHeight="1" x14ac:dyDescent="0.25">
      <c r="A1392" s="3" t="s">
        <v>305</v>
      </c>
      <c r="B1392" s="3" t="s">
        <v>314</v>
      </c>
      <c r="C1392" s="3">
        <v>2022</v>
      </c>
      <c r="D1392" s="4">
        <v>5</v>
      </c>
      <c r="E1392" s="5">
        <v>84</v>
      </c>
      <c r="F1392" s="5">
        <v>52.57</v>
      </c>
      <c r="G1392" s="3" t="str">
        <f>VLOOKUP(Registros[[#This Row],[Cliente]],Cliente_Region[],2,FALSE)</f>
        <v>Mexico</v>
      </c>
      <c r="H1392" s="3" t="str">
        <f>VLOOKUP(Registros[[#This Row],[Producto]],Producto[],2,FALSE)</f>
        <v>DAWNE</v>
      </c>
    </row>
    <row r="1393" spans="1:8" ht="20.100000000000001" customHeight="1" x14ac:dyDescent="0.25">
      <c r="A1393" s="3" t="s">
        <v>305</v>
      </c>
      <c r="B1393" s="3" t="s">
        <v>314</v>
      </c>
      <c r="C1393" s="3">
        <v>2022</v>
      </c>
      <c r="D1393" s="4">
        <v>6</v>
      </c>
      <c r="E1393" s="5">
        <v>60</v>
      </c>
      <c r="F1393" s="5">
        <v>37.549999999999997</v>
      </c>
      <c r="G1393" s="3" t="str">
        <f>VLOOKUP(Registros[[#This Row],[Cliente]],Cliente_Region[],2,FALSE)</f>
        <v>Mexico</v>
      </c>
      <c r="H1393" s="3" t="str">
        <f>VLOOKUP(Registros[[#This Row],[Producto]],Producto[],2,FALSE)</f>
        <v>DAWNE</v>
      </c>
    </row>
    <row r="1394" spans="1:8" ht="20.100000000000001" customHeight="1" x14ac:dyDescent="0.25">
      <c r="A1394" s="3" t="s">
        <v>310</v>
      </c>
      <c r="B1394" s="3" t="s">
        <v>314</v>
      </c>
      <c r="C1394" s="3">
        <v>2022</v>
      </c>
      <c r="D1394" s="4">
        <v>1</v>
      </c>
      <c r="E1394" s="5">
        <v>105</v>
      </c>
      <c r="F1394" s="5">
        <v>56.88</v>
      </c>
      <c r="G1394" s="3" t="str">
        <f>VLOOKUP(Registros[[#This Row],[Cliente]],Cliente_Region[],2,FALSE)</f>
        <v>Mexico</v>
      </c>
      <c r="H1394" s="3" t="str">
        <f>VLOOKUP(Registros[[#This Row],[Producto]],Producto[],2,FALSE)</f>
        <v>DONANY</v>
      </c>
    </row>
    <row r="1395" spans="1:8" ht="20.100000000000001" customHeight="1" x14ac:dyDescent="0.25">
      <c r="A1395" s="3" t="s">
        <v>311</v>
      </c>
      <c r="B1395" s="3" t="s">
        <v>314</v>
      </c>
      <c r="C1395" s="3">
        <v>2022</v>
      </c>
      <c r="D1395" s="4">
        <v>2</v>
      </c>
      <c r="E1395" s="5">
        <v>135</v>
      </c>
      <c r="F1395" s="5">
        <v>85.33</v>
      </c>
      <c r="G1395" s="3" t="str">
        <f>VLOOKUP(Registros[[#This Row],[Cliente]],Cliente_Region[],2,FALSE)</f>
        <v>Mexico</v>
      </c>
      <c r="H1395" s="3" t="str">
        <f>VLOOKUP(Registros[[#This Row],[Producto]],Producto[],2,FALSE)</f>
        <v>CHOTUS</v>
      </c>
    </row>
    <row r="1396" spans="1:8" ht="20.100000000000001" customHeight="1" x14ac:dyDescent="0.25">
      <c r="A1396" s="3" t="s">
        <v>311</v>
      </c>
      <c r="B1396" s="3" t="s">
        <v>314</v>
      </c>
      <c r="C1396" s="3">
        <v>2022</v>
      </c>
      <c r="D1396" s="4">
        <v>3</v>
      </c>
      <c r="E1396" s="5">
        <v>150</v>
      </c>
      <c r="F1396" s="5">
        <v>85.33</v>
      </c>
      <c r="G1396" s="3" t="str">
        <f>VLOOKUP(Registros[[#This Row],[Cliente]],Cliente_Region[],2,FALSE)</f>
        <v>Mexico</v>
      </c>
      <c r="H1396" s="3" t="str">
        <f>VLOOKUP(Registros[[#This Row],[Producto]],Producto[],2,FALSE)</f>
        <v>CHOTUS</v>
      </c>
    </row>
    <row r="1397" spans="1:8" ht="20.100000000000001" customHeight="1" x14ac:dyDescent="0.25">
      <c r="A1397" s="3" t="s">
        <v>311</v>
      </c>
      <c r="B1397" s="3" t="s">
        <v>314</v>
      </c>
      <c r="C1397" s="3">
        <v>2022</v>
      </c>
      <c r="D1397" s="4">
        <v>4</v>
      </c>
      <c r="E1397" s="5">
        <v>120</v>
      </c>
      <c r="F1397" s="5">
        <v>75.84</v>
      </c>
      <c r="G1397" s="3" t="str">
        <f>VLOOKUP(Registros[[#This Row],[Cliente]],Cliente_Region[],2,FALSE)</f>
        <v>Mexico</v>
      </c>
      <c r="H1397" s="3" t="str">
        <f>VLOOKUP(Registros[[#This Row],[Producto]],Producto[],2,FALSE)</f>
        <v>CHOTUS</v>
      </c>
    </row>
    <row r="1398" spans="1:8" ht="20.100000000000001" customHeight="1" x14ac:dyDescent="0.25">
      <c r="A1398" s="3" t="s">
        <v>311</v>
      </c>
      <c r="B1398" s="3" t="s">
        <v>314</v>
      </c>
      <c r="C1398" s="3">
        <v>2022</v>
      </c>
      <c r="D1398" s="4">
        <v>5</v>
      </c>
      <c r="E1398" s="5">
        <v>105</v>
      </c>
      <c r="F1398" s="5">
        <v>66.37</v>
      </c>
      <c r="G1398" s="3" t="str">
        <f>VLOOKUP(Registros[[#This Row],[Cliente]],Cliente_Region[],2,FALSE)</f>
        <v>Mexico</v>
      </c>
      <c r="H1398" s="3" t="str">
        <f>VLOOKUP(Registros[[#This Row],[Producto]],Producto[],2,FALSE)</f>
        <v>CHOTUS</v>
      </c>
    </row>
    <row r="1399" spans="1:8" ht="20.100000000000001" customHeight="1" x14ac:dyDescent="0.25">
      <c r="A1399" s="3" t="s">
        <v>311</v>
      </c>
      <c r="B1399" s="3" t="s">
        <v>314</v>
      </c>
      <c r="C1399" s="3">
        <v>2022</v>
      </c>
      <c r="D1399" s="4">
        <v>6</v>
      </c>
      <c r="E1399" s="5">
        <v>105</v>
      </c>
      <c r="F1399" s="5">
        <v>66.36</v>
      </c>
      <c r="G1399" s="3" t="str">
        <f>VLOOKUP(Registros[[#This Row],[Cliente]],Cliente_Region[],2,FALSE)</f>
        <v>Mexico</v>
      </c>
      <c r="H1399" s="3" t="str">
        <f>VLOOKUP(Registros[[#This Row],[Producto]],Producto[],2,FALSE)</f>
        <v>CHOTUS</v>
      </c>
    </row>
    <row r="1400" spans="1:8" ht="20.100000000000001" customHeight="1" x14ac:dyDescent="0.25">
      <c r="A1400" s="3" t="s">
        <v>301</v>
      </c>
      <c r="B1400" s="3" t="s">
        <v>314</v>
      </c>
      <c r="C1400" s="3">
        <v>2022</v>
      </c>
      <c r="D1400" s="4">
        <v>1</v>
      </c>
      <c r="E1400" s="5">
        <v>128</v>
      </c>
      <c r="F1400" s="5">
        <v>54.88</v>
      </c>
      <c r="G1400" s="3" t="str">
        <f>VLOOKUP(Registros[[#This Row],[Cliente]],Cliente_Region[],2,FALSE)</f>
        <v>Mexico</v>
      </c>
      <c r="H1400" s="3" t="str">
        <f>VLOOKUP(Registros[[#This Row],[Producto]],Producto[],2,FALSE)</f>
        <v>CHOTUS</v>
      </c>
    </row>
    <row r="1401" spans="1:8" ht="20.100000000000001" customHeight="1" x14ac:dyDescent="0.25">
      <c r="A1401" s="3" t="s">
        <v>302</v>
      </c>
      <c r="B1401" s="3" t="s">
        <v>314</v>
      </c>
      <c r="C1401" s="3">
        <v>2022</v>
      </c>
      <c r="D1401" s="4">
        <v>2</v>
      </c>
      <c r="E1401" s="5">
        <v>124.5</v>
      </c>
      <c r="F1401" s="5">
        <v>60.52</v>
      </c>
      <c r="G1401" s="3" t="str">
        <f>VLOOKUP(Registros[[#This Row],[Cliente]],Cliente_Region[],2,FALSE)</f>
        <v>Mexico</v>
      </c>
      <c r="H1401" s="3" t="str">
        <f>VLOOKUP(Registros[[#This Row],[Producto]],Producto[],2,FALSE)</f>
        <v>CHOTUS</v>
      </c>
    </row>
    <row r="1402" spans="1:8" ht="20.100000000000001" customHeight="1" x14ac:dyDescent="0.25">
      <c r="A1402" s="3" t="s">
        <v>302</v>
      </c>
      <c r="B1402" s="3" t="s">
        <v>314</v>
      </c>
      <c r="C1402" s="3">
        <v>2022</v>
      </c>
      <c r="D1402" s="4">
        <v>3</v>
      </c>
      <c r="E1402" s="5">
        <v>96</v>
      </c>
      <c r="F1402" s="5">
        <v>41.17</v>
      </c>
      <c r="G1402" s="3" t="str">
        <f>VLOOKUP(Registros[[#This Row],[Cliente]],Cliente_Region[],2,FALSE)</f>
        <v>Mexico</v>
      </c>
      <c r="H1402" s="3" t="str">
        <f>VLOOKUP(Registros[[#This Row],[Producto]],Producto[],2,FALSE)</f>
        <v>CHOTUS</v>
      </c>
    </row>
    <row r="1403" spans="1:8" ht="20.100000000000001" customHeight="1" x14ac:dyDescent="0.25">
      <c r="A1403" s="3" t="s">
        <v>302</v>
      </c>
      <c r="B1403" s="3" t="s">
        <v>314</v>
      </c>
      <c r="C1403" s="3">
        <v>2022</v>
      </c>
      <c r="D1403" s="4">
        <v>4</v>
      </c>
      <c r="E1403" s="5">
        <v>96</v>
      </c>
      <c r="F1403" s="5">
        <v>41.16</v>
      </c>
      <c r="G1403" s="3" t="str">
        <f>VLOOKUP(Registros[[#This Row],[Cliente]],Cliente_Region[],2,FALSE)</f>
        <v>Mexico</v>
      </c>
      <c r="H1403" s="3" t="str">
        <f>VLOOKUP(Registros[[#This Row],[Producto]],Producto[],2,FALSE)</f>
        <v>CHOTUS</v>
      </c>
    </row>
    <row r="1404" spans="1:8" ht="20.100000000000001" customHeight="1" x14ac:dyDescent="0.25">
      <c r="A1404" s="3" t="s">
        <v>302</v>
      </c>
      <c r="B1404" s="3" t="s">
        <v>314</v>
      </c>
      <c r="C1404" s="3">
        <v>2022</v>
      </c>
      <c r="D1404" s="4">
        <v>5</v>
      </c>
      <c r="E1404" s="5">
        <v>64</v>
      </c>
      <c r="F1404" s="5">
        <v>27.44</v>
      </c>
      <c r="G1404" s="3" t="str">
        <f>VLOOKUP(Registros[[#This Row],[Cliente]],Cliente_Region[],2,FALSE)</f>
        <v>Mexico</v>
      </c>
      <c r="H1404" s="3" t="str">
        <f>VLOOKUP(Registros[[#This Row],[Producto]],Producto[],2,FALSE)</f>
        <v>CHOTUS</v>
      </c>
    </row>
    <row r="1405" spans="1:8" ht="20.100000000000001" customHeight="1" x14ac:dyDescent="0.25">
      <c r="A1405" s="3" t="s">
        <v>302</v>
      </c>
      <c r="B1405" s="3" t="s">
        <v>314</v>
      </c>
      <c r="C1405" s="3">
        <v>2022</v>
      </c>
      <c r="D1405" s="4">
        <v>6</v>
      </c>
      <c r="E1405" s="5">
        <v>80</v>
      </c>
      <c r="F1405" s="5">
        <v>34.299999999999997</v>
      </c>
      <c r="G1405" s="3" t="str">
        <f>VLOOKUP(Registros[[#This Row],[Cliente]],Cliente_Region[],2,FALSE)</f>
        <v>Mexico</v>
      </c>
      <c r="H1405" s="3" t="str">
        <f>VLOOKUP(Registros[[#This Row],[Producto]],Producto[],2,FALSE)</f>
        <v>CHOTUS</v>
      </c>
    </row>
    <row r="1406" spans="1:8" ht="20.100000000000001" customHeight="1" x14ac:dyDescent="0.25">
      <c r="A1406" s="3" t="s">
        <v>295</v>
      </c>
      <c r="B1406" s="3" t="s">
        <v>314</v>
      </c>
      <c r="C1406" s="3">
        <v>2022</v>
      </c>
      <c r="D1406" s="4">
        <v>5</v>
      </c>
      <c r="E1406" s="5">
        <v>13.75</v>
      </c>
      <c r="F1406" s="5">
        <v>8.23</v>
      </c>
      <c r="G1406" s="3" t="str">
        <f>VLOOKUP(Registros[[#This Row],[Cliente]],Cliente_Region[],2,FALSE)</f>
        <v>Mexico</v>
      </c>
      <c r="H1406" s="3" t="str">
        <f>VLOOKUP(Registros[[#This Row],[Producto]],Producto[],2,FALSE)</f>
        <v>QUOKAR</v>
      </c>
    </row>
    <row r="1407" spans="1:8" ht="20.100000000000001" customHeight="1" x14ac:dyDescent="0.25">
      <c r="A1407" s="3" t="s">
        <v>280</v>
      </c>
      <c r="B1407" s="3" t="s">
        <v>314</v>
      </c>
      <c r="C1407" s="3">
        <v>2022</v>
      </c>
      <c r="D1407" s="4">
        <v>1</v>
      </c>
      <c r="E1407" s="5">
        <v>149.94999999999999</v>
      </c>
      <c r="F1407" s="5">
        <v>65.7</v>
      </c>
      <c r="G1407" s="3" t="str">
        <f>VLOOKUP(Registros[[#This Row],[Cliente]],Cliente_Region[],2,FALSE)</f>
        <v>Mexico</v>
      </c>
      <c r="H1407" s="3" t="str">
        <f>VLOOKUP(Registros[[#This Row],[Producto]],Producto[],2,FALSE)</f>
        <v>CHOTUS</v>
      </c>
    </row>
    <row r="1408" spans="1:8" ht="20.100000000000001" customHeight="1" x14ac:dyDescent="0.25">
      <c r="A1408" s="3" t="s">
        <v>281</v>
      </c>
      <c r="B1408" s="3" t="s">
        <v>314</v>
      </c>
      <c r="C1408" s="3">
        <v>2022</v>
      </c>
      <c r="D1408" s="4">
        <v>2</v>
      </c>
      <c r="E1408" s="5">
        <v>108.7</v>
      </c>
      <c r="F1408" s="5">
        <v>52.54</v>
      </c>
      <c r="G1408" s="3" t="str">
        <f>VLOOKUP(Registros[[#This Row],[Cliente]],Cliente_Region[],2,FALSE)</f>
        <v>Mexico</v>
      </c>
      <c r="H1408" s="3" t="str">
        <f>VLOOKUP(Registros[[#This Row],[Producto]],Producto[],2,FALSE)</f>
        <v>SALF</v>
      </c>
    </row>
    <row r="1409" spans="1:8" ht="20.100000000000001" customHeight="1" x14ac:dyDescent="0.25">
      <c r="A1409" s="3" t="s">
        <v>281</v>
      </c>
      <c r="B1409" s="3" t="s">
        <v>314</v>
      </c>
      <c r="C1409" s="3">
        <v>2022</v>
      </c>
      <c r="D1409" s="4">
        <v>3</v>
      </c>
      <c r="E1409" s="5">
        <v>156.69999999999999</v>
      </c>
      <c r="F1409" s="5">
        <v>72.45</v>
      </c>
      <c r="G1409" s="3" t="str">
        <f>VLOOKUP(Registros[[#This Row],[Cliente]],Cliente_Region[],2,FALSE)</f>
        <v>Mexico</v>
      </c>
      <c r="H1409" s="3" t="str">
        <f>VLOOKUP(Registros[[#This Row],[Producto]],Producto[],2,FALSE)</f>
        <v>SALF</v>
      </c>
    </row>
    <row r="1410" spans="1:8" ht="20.100000000000001" customHeight="1" x14ac:dyDescent="0.25">
      <c r="A1410" s="3" t="s">
        <v>281</v>
      </c>
      <c r="B1410" s="3" t="s">
        <v>314</v>
      </c>
      <c r="C1410" s="3">
        <v>2022</v>
      </c>
      <c r="D1410" s="4">
        <v>4</v>
      </c>
      <c r="E1410" s="5">
        <v>164</v>
      </c>
      <c r="F1410" s="5">
        <v>89.12</v>
      </c>
      <c r="G1410" s="3" t="str">
        <f>VLOOKUP(Registros[[#This Row],[Cliente]],Cliente_Region[],2,FALSE)</f>
        <v>Mexico</v>
      </c>
      <c r="H1410" s="3" t="str">
        <f>VLOOKUP(Registros[[#This Row],[Producto]],Producto[],2,FALSE)</f>
        <v>SALF</v>
      </c>
    </row>
    <row r="1411" spans="1:8" ht="20.100000000000001" customHeight="1" x14ac:dyDescent="0.25">
      <c r="A1411" s="3" t="s">
        <v>281</v>
      </c>
      <c r="B1411" s="3" t="s">
        <v>314</v>
      </c>
      <c r="C1411" s="3">
        <v>2022</v>
      </c>
      <c r="D1411" s="4">
        <v>5</v>
      </c>
      <c r="E1411" s="5">
        <v>184.5</v>
      </c>
      <c r="F1411" s="5">
        <v>100.25</v>
      </c>
      <c r="G1411" s="3" t="str">
        <f>VLOOKUP(Registros[[#This Row],[Cliente]],Cliente_Region[],2,FALSE)</f>
        <v>Mexico</v>
      </c>
      <c r="H1411" s="3" t="str">
        <f>VLOOKUP(Registros[[#This Row],[Producto]],Producto[],2,FALSE)</f>
        <v>SALF</v>
      </c>
    </row>
    <row r="1412" spans="1:8" ht="20.100000000000001" customHeight="1" x14ac:dyDescent="0.25">
      <c r="A1412" s="3" t="s">
        <v>281</v>
      </c>
      <c r="B1412" s="3" t="s">
        <v>314</v>
      </c>
      <c r="C1412" s="3">
        <v>2022</v>
      </c>
      <c r="D1412" s="4">
        <v>6</v>
      </c>
      <c r="E1412" s="5">
        <v>123</v>
      </c>
      <c r="F1412" s="5">
        <v>66.83</v>
      </c>
      <c r="G1412" s="3" t="str">
        <f>VLOOKUP(Registros[[#This Row],[Cliente]],Cliente_Region[],2,FALSE)</f>
        <v>Mexico</v>
      </c>
      <c r="H1412" s="3" t="str">
        <f>VLOOKUP(Registros[[#This Row],[Producto]],Producto[],2,FALSE)</f>
        <v>SALF</v>
      </c>
    </row>
    <row r="1413" spans="1:8" ht="20.100000000000001" customHeight="1" x14ac:dyDescent="0.25">
      <c r="A1413" s="3" t="s">
        <v>282</v>
      </c>
      <c r="B1413" s="3" t="s">
        <v>314</v>
      </c>
      <c r="C1413" s="3">
        <v>2022</v>
      </c>
      <c r="D1413" s="4">
        <v>1</v>
      </c>
      <c r="E1413" s="5">
        <v>112.5</v>
      </c>
      <c r="F1413" s="5">
        <v>56.39</v>
      </c>
      <c r="G1413" s="3" t="str">
        <f>VLOOKUP(Registros[[#This Row],[Cliente]],Cliente_Region[],2,FALSE)</f>
        <v>Mexico</v>
      </c>
      <c r="H1413" s="3" t="str">
        <f>VLOOKUP(Registros[[#This Row],[Producto]],Producto[],2,FALSE)</f>
        <v>DAWNE</v>
      </c>
    </row>
    <row r="1414" spans="1:8" ht="20.100000000000001" customHeight="1" x14ac:dyDescent="0.25">
      <c r="A1414" s="3" t="s">
        <v>114</v>
      </c>
      <c r="B1414" s="3" t="s">
        <v>314</v>
      </c>
      <c r="C1414" s="3">
        <v>2022</v>
      </c>
      <c r="D1414" s="4">
        <v>2</v>
      </c>
      <c r="E1414" s="5">
        <v>108</v>
      </c>
      <c r="F1414" s="5">
        <v>58.92</v>
      </c>
      <c r="G1414" s="3" t="str">
        <f>VLOOKUP(Registros[[#This Row],[Cliente]],Cliente_Region[],2,FALSE)</f>
        <v>Mexico</v>
      </c>
      <c r="H1414" s="3" t="str">
        <f>VLOOKUP(Registros[[#This Row],[Producto]],Producto[],2,FALSE)</f>
        <v>DAWNE</v>
      </c>
    </row>
    <row r="1415" spans="1:8" ht="20.100000000000001" customHeight="1" x14ac:dyDescent="0.25">
      <c r="A1415" s="3" t="s">
        <v>114</v>
      </c>
      <c r="B1415" s="3" t="s">
        <v>314</v>
      </c>
      <c r="C1415" s="3">
        <v>2022</v>
      </c>
      <c r="D1415" s="4">
        <v>3</v>
      </c>
      <c r="E1415" s="5">
        <v>84</v>
      </c>
      <c r="F1415" s="5">
        <v>27.94</v>
      </c>
      <c r="G1415" s="3" t="str">
        <f>VLOOKUP(Registros[[#This Row],[Cliente]],Cliente_Region[],2,FALSE)</f>
        <v>Mexico</v>
      </c>
      <c r="H1415" s="3" t="str">
        <f>VLOOKUP(Registros[[#This Row],[Producto]],Producto[],2,FALSE)</f>
        <v>DAWNE</v>
      </c>
    </row>
    <row r="1416" spans="1:8" ht="20.100000000000001" customHeight="1" x14ac:dyDescent="0.25">
      <c r="A1416" s="3" t="s">
        <v>114</v>
      </c>
      <c r="B1416" s="3" t="s">
        <v>314</v>
      </c>
      <c r="C1416" s="3">
        <v>2022</v>
      </c>
      <c r="D1416" s="4">
        <v>4</v>
      </c>
      <c r="E1416" s="5">
        <v>86.5</v>
      </c>
      <c r="F1416" s="5">
        <v>44.44</v>
      </c>
      <c r="G1416" s="3" t="str">
        <f>VLOOKUP(Registros[[#This Row],[Cliente]],Cliente_Region[],2,FALSE)</f>
        <v>Mexico</v>
      </c>
      <c r="H1416" s="3" t="str">
        <f>VLOOKUP(Registros[[#This Row],[Producto]],Producto[],2,FALSE)</f>
        <v>DAWNE</v>
      </c>
    </row>
    <row r="1417" spans="1:8" ht="20.100000000000001" customHeight="1" x14ac:dyDescent="0.25">
      <c r="A1417" s="3" t="s">
        <v>114</v>
      </c>
      <c r="B1417" s="3" t="s">
        <v>314</v>
      </c>
      <c r="C1417" s="3">
        <v>2022</v>
      </c>
      <c r="D1417" s="4">
        <v>5</v>
      </c>
      <c r="E1417" s="5">
        <v>70</v>
      </c>
      <c r="F1417" s="5">
        <v>34.950000000000003</v>
      </c>
      <c r="G1417" s="3" t="str">
        <f>VLOOKUP(Registros[[#This Row],[Cliente]],Cliente_Region[],2,FALSE)</f>
        <v>Mexico</v>
      </c>
      <c r="H1417" s="3" t="str">
        <f>VLOOKUP(Registros[[#This Row],[Producto]],Producto[],2,FALSE)</f>
        <v>DAWNE</v>
      </c>
    </row>
    <row r="1418" spans="1:8" ht="20.100000000000001" customHeight="1" x14ac:dyDescent="0.25">
      <c r="A1418" s="3" t="s">
        <v>114</v>
      </c>
      <c r="B1418" s="3" t="s">
        <v>314</v>
      </c>
      <c r="C1418" s="3">
        <v>2022</v>
      </c>
      <c r="D1418" s="4">
        <v>6</v>
      </c>
      <c r="E1418" s="5">
        <v>70</v>
      </c>
      <c r="F1418" s="5">
        <v>34.950000000000003</v>
      </c>
      <c r="G1418" s="3" t="str">
        <f>VLOOKUP(Registros[[#This Row],[Cliente]],Cliente_Region[],2,FALSE)</f>
        <v>Mexico</v>
      </c>
      <c r="H1418" s="3" t="str">
        <f>VLOOKUP(Registros[[#This Row],[Producto]],Producto[],2,FALSE)</f>
        <v>DAWNE</v>
      </c>
    </row>
    <row r="1419" spans="1:8" ht="20.100000000000001" customHeight="1" x14ac:dyDescent="0.25">
      <c r="A1419" s="3" t="s">
        <v>135</v>
      </c>
      <c r="B1419" s="3" t="s">
        <v>314</v>
      </c>
      <c r="C1419" s="3">
        <v>2022</v>
      </c>
      <c r="D1419" s="4">
        <v>1</v>
      </c>
      <c r="E1419" s="5">
        <v>213.73</v>
      </c>
      <c r="F1419" s="5">
        <v>139.59</v>
      </c>
      <c r="G1419" s="3" t="str">
        <f>VLOOKUP(Registros[[#This Row],[Cliente]],Cliente_Region[],2,FALSE)</f>
        <v>Mexico</v>
      </c>
      <c r="H1419" s="3" t="str">
        <f>VLOOKUP(Registros[[#This Row],[Producto]],Producto[],2,FALSE)</f>
        <v>GAMBO</v>
      </c>
    </row>
    <row r="1420" spans="1:8" ht="20.100000000000001" customHeight="1" x14ac:dyDescent="0.25">
      <c r="A1420" s="3" t="s">
        <v>93</v>
      </c>
      <c r="B1420" s="3" t="s">
        <v>314</v>
      </c>
      <c r="C1420" s="3">
        <v>2022</v>
      </c>
      <c r="D1420" s="4">
        <v>2</v>
      </c>
      <c r="E1420" s="5">
        <v>223.5</v>
      </c>
      <c r="F1420" s="5">
        <v>156.1</v>
      </c>
      <c r="G1420" s="3" t="str">
        <f>VLOOKUP(Registros[[#This Row],[Cliente]],Cliente_Region[],2,FALSE)</f>
        <v>Mexico</v>
      </c>
      <c r="H1420" s="3" t="str">
        <f>VLOOKUP(Registros[[#This Row],[Producto]],Producto[],2,FALSE)</f>
        <v>GAMBO</v>
      </c>
    </row>
    <row r="1421" spans="1:8" ht="20.100000000000001" customHeight="1" x14ac:dyDescent="0.25">
      <c r="A1421" s="3" t="s">
        <v>93</v>
      </c>
      <c r="B1421" s="3" t="s">
        <v>314</v>
      </c>
      <c r="C1421" s="3">
        <v>2022</v>
      </c>
      <c r="D1421" s="4">
        <v>3</v>
      </c>
      <c r="E1421" s="5">
        <v>225</v>
      </c>
      <c r="F1421" s="5">
        <v>134.41</v>
      </c>
      <c r="G1421" s="3" t="str">
        <f>VLOOKUP(Registros[[#This Row],[Cliente]],Cliente_Region[],2,FALSE)</f>
        <v>Mexico</v>
      </c>
      <c r="H1421" s="3" t="str">
        <f>VLOOKUP(Registros[[#This Row],[Producto]],Producto[],2,FALSE)</f>
        <v>GAMBO</v>
      </c>
    </row>
    <row r="1422" spans="1:8" ht="20.100000000000001" customHeight="1" x14ac:dyDescent="0.25">
      <c r="A1422" s="3" t="s">
        <v>93</v>
      </c>
      <c r="B1422" s="3" t="s">
        <v>314</v>
      </c>
      <c r="C1422" s="3">
        <v>2022</v>
      </c>
      <c r="D1422" s="4">
        <v>4</v>
      </c>
      <c r="E1422" s="5">
        <v>150</v>
      </c>
      <c r="F1422" s="5">
        <v>96.08</v>
      </c>
      <c r="G1422" s="3" t="str">
        <f>VLOOKUP(Registros[[#This Row],[Cliente]],Cliente_Region[],2,FALSE)</f>
        <v>Mexico</v>
      </c>
      <c r="H1422" s="3" t="str">
        <f>VLOOKUP(Registros[[#This Row],[Producto]],Producto[],2,FALSE)</f>
        <v>GAMBO</v>
      </c>
    </row>
    <row r="1423" spans="1:8" ht="20.100000000000001" customHeight="1" x14ac:dyDescent="0.25">
      <c r="A1423" s="3" t="s">
        <v>93</v>
      </c>
      <c r="B1423" s="3" t="s">
        <v>314</v>
      </c>
      <c r="C1423" s="3">
        <v>2022</v>
      </c>
      <c r="D1423" s="4">
        <v>5</v>
      </c>
      <c r="E1423" s="5">
        <v>243.75</v>
      </c>
      <c r="F1423" s="5">
        <v>156.13</v>
      </c>
      <c r="G1423" s="3" t="str">
        <f>VLOOKUP(Registros[[#This Row],[Cliente]],Cliente_Region[],2,FALSE)</f>
        <v>Mexico</v>
      </c>
      <c r="H1423" s="3" t="str">
        <f>VLOOKUP(Registros[[#This Row],[Producto]],Producto[],2,FALSE)</f>
        <v>GAMBO</v>
      </c>
    </row>
    <row r="1424" spans="1:8" ht="20.100000000000001" customHeight="1" x14ac:dyDescent="0.25">
      <c r="A1424" s="3" t="s">
        <v>93</v>
      </c>
      <c r="B1424" s="3" t="s">
        <v>314</v>
      </c>
      <c r="C1424" s="3">
        <v>2022</v>
      </c>
      <c r="D1424" s="4">
        <v>6</v>
      </c>
      <c r="E1424" s="5">
        <v>187.5</v>
      </c>
      <c r="F1424" s="5">
        <v>120.1</v>
      </c>
      <c r="G1424" s="3" t="str">
        <f>VLOOKUP(Registros[[#This Row],[Cliente]],Cliente_Region[],2,FALSE)</f>
        <v>Mexico</v>
      </c>
      <c r="H1424" s="3" t="str">
        <f>VLOOKUP(Registros[[#This Row],[Producto]],Producto[],2,FALSE)</f>
        <v>GAMBO</v>
      </c>
    </row>
    <row r="1425" spans="1:8" ht="20.100000000000001" customHeight="1" x14ac:dyDescent="0.25">
      <c r="A1425" s="3" t="s">
        <v>136</v>
      </c>
      <c r="B1425" s="3" t="s">
        <v>314</v>
      </c>
      <c r="C1425" s="3">
        <v>2022</v>
      </c>
      <c r="D1425" s="4">
        <v>1</v>
      </c>
      <c r="E1425" s="5">
        <v>224.4</v>
      </c>
      <c r="F1425" s="5">
        <v>74.849999999999994</v>
      </c>
      <c r="G1425" s="3" t="str">
        <f>VLOOKUP(Registros[[#This Row],[Cliente]],Cliente_Region[],2,FALSE)</f>
        <v>Mexico</v>
      </c>
      <c r="H1425" s="3" t="str">
        <f>VLOOKUP(Registros[[#This Row],[Producto]],Producto[],2,FALSE)</f>
        <v>CHOTUS</v>
      </c>
    </row>
    <row r="1426" spans="1:8" ht="20.100000000000001" customHeight="1" x14ac:dyDescent="0.25">
      <c r="A1426" s="3" t="s">
        <v>137</v>
      </c>
      <c r="B1426" s="3" t="s">
        <v>314</v>
      </c>
      <c r="C1426" s="3">
        <v>2022</v>
      </c>
      <c r="D1426" s="4">
        <v>2</v>
      </c>
      <c r="E1426" s="5">
        <v>162.75</v>
      </c>
      <c r="F1426" s="5">
        <v>75.52</v>
      </c>
      <c r="G1426" s="3" t="str">
        <f>VLOOKUP(Registros[[#This Row],[Cliente]],Cliente_Region[],2,FALSE)</f>
        <v>Mexico</v>
      </c>
      <c r="H1426" s="3" t="str">
        <f>VLOOKUP(Registros[[#This Row],[Producto]],Producto[],2,FALSE)</f>
        <v>QUOKAR</v>
      </c>
    </row>
    <row r="1427" spans="1:8" ht="20.100000000000001" customHeight="1" x14ac:dyDescent="0.25">
      <c r="A1427" s="3" t="s">
        <v>137</v>
      </c>
      <c r="B1427" s="3" t="s">
        <v>314</v>
      </c>
      <c r="C1427" s="3">
        <v>2022</v>
      </c>
      <c r="D1427" s="4">
        <v>3</v>
      </c>
      <c r="E1427" s="5">
        <v>198.15</v>
      </c>
      <c r="F1427" s="5">
        <v>61.09</v>
      </c>
      <c r="G1427" s="3" t="str">
        <f>VLOOKUP(Registros[[#This Row],[Cliente]],Cliente_Region[],2,FALSE)</f>
        <v>Mexico</v>
      </c>
      <c r="H1427" s="3" t="str">
        <f>VLOOKUP(Registros[[#This Row],[Producto]],Producto[],2,FALSE)</f>
        <v>QUOKAR</v>
      </c>
    </row>
    <row r="1428" spans="1:8" ht="20.100000000000001" customHeight="1" x14ac:dyDescent="0.25">
      <c r="A1428" s="3" t="s">
        <v>137</v>
      </c>
      <c r="B1428" s="3" t="s">
        <v>314</v>
      </c>
      <c r="C1428" s="3">
        <v>2022</v>
      </c>
      <c r="D1428" s="4">
        <v>4</v>
      </c>
      <c r="E1428" s="5">
        <v>120.75</v>
      </c>
      <c r="F1428" s="5">
        <v>33.520000000000003</v>
      </c>
      <c r="G1428" s="3" t="str">
        <f>VLOOKUP(Registros[[#This Row],[Cliente]],Cliente_Region[],2,FALSE)</f>
        <v>Mexico</v>
      </c>
      <c r="H1428" s="3" t="str">
        <f>VLOOKUP(Registros[[#This Row],[Producto]],Producto[],2,FALSE)</f>
        <v>QUOKAR</v>
      </c>
    </row>
    <row r="1429" spans="1:8" ht="20.100000000000001" customHeight="1" x14ac:dyDescent="0.25">
      <c r="A1429" s="3" t="s">
        <v>137</v>
      </c>
      <c r="B1429" s="3" t="s">
        <v>314</v>
      </c>
      <c r="C1429" s="3">
        <v>2022</v>
      </c>
      <c r="D1429" s="4">
        <v>5</v>
      </c>
      <c r="E1429" s="5">
        <v>146.4</v>
      </c>
      <c r="F1429" s="5">
        <v>46.71</v>
      </c>
      <c r="G1429" s="3" t="str">
        <f>VLOOKUP(Registros[[#This Row],[Cliente]],Cliente_Region[],2,FALSE)</f>
        <v>Mexico</v>
      </c>
      <c r="H1429" s="3" t="str">
        <f>VLOOKUP(Registros[[#This Row],[Producto]],Producto[],2,FALSE)</f>
        <v>QUOKAR</v>
      </c>
    </row>
    <row r="1430" spans="1:8" ht="20.100000000000001" customHeight="1" x14ac:dyDescent="0.25">
      <c r="A1430" s="3" t="s">
        <v>137</v>
      </c>
      <c r="B1430" s="3" t="s">
        <v>314</v>
      </c>
      <c r="C1430" s="3">
        <v>2022</v>
      </c>
      <c r="D1430" s="4">
        <v>6</v>
      </c>
      <c r="E1430" s="5">
        <v>69</v>
      </c>
      <c r="F1430" s="5">
        <v>19.16</v>
      </c>
      <c r="G1430" s="3" t="str">
        <f>VLOOKUP(Registros[[#This Row],[Cliente]],Cliente_Region[],2,FALSE)</f>
        <v>Mexico</v>
      </c>
      <c r="H1430" s="3" t="str">
        <f>VLOOKUP(Registros[[#This Row],[Producto]],Producto[],2,FALSE)</f>
        <v>QUOKAR</v>
      </c>
    </row>
    <row r="1431" spans="1:8" ht="20.100000000000001" customHeight="1" x14ac:dyDescent="0.25">
      <c r="A1431" s="3" t="s">
        <v>86</v>
      </c>
      <c r="B1431" s="3" t="s">
        <v>315</v>
      </c>
      <c r="C1431" s="3">
        <v>2022</v>
      </c>
      <c r="D1431" s="4">
        <v>2</v>
      </c>
      <c r="E1431" s="5">
        <v>14.58</v>
      </c>
      <c r="F1431" s="5">
        <v>9.25</v>
      </c>
      <c r="G1431" s="3" t="str">
        <f>VLOOKUP(Registros[[#This Row],[Cliente]],Cliente_Region[],2,FALSE)</f>
        <v>Canada</v>
      </c>
      <c r="H1431" s="3" t="str">
        <f>VLOOKUP(Registros[[#This Row],[Producto]],Producto[],2,FALSE)</f>
        <v>GAMBO</v>
      </c>
    </row>
    <row r="1432" spans="1:8" ht="20.100000000000001" customHeight="1" x14ac:dyDescent="0.25">
      <c r="A1432" s="3" t="s">
        <v>88</v>
      </c>
      <c r="B1432" s="3" t="s">
        <v>315</v>
      </c>
      <c r="C1432" s="3">
        <v>2022</v>
      </c>
      <c r="D1432" s="4">
        <v>2</v>
      </c>
      <c r="E1432" s="5">
        <v>13.2</v>
      </c>
      <c r="F1432" s="5">
        <v>10.75</v>
      </c>
      <c r="G1432" s="3" t="str">
        <f>VLOOKUP(Registros[[#This Row],[Cliente]],Cliente_Region[],2,FALSE)</f>
        <v>Canada</v>
      </c>
      <c r="H1432" s="3" t="str">
        <f>VLOOKUP(Registros[[#This Row],[Producto]],Producto[],2,FALSE)</f>
        <v>DAWNE</v>
      </c>
    </row>
    <row r="1433" spans="1:8" ht="20.100000000000001" customHeight="1" x14ac:dyDescent="0.25">
      <c r="A1433" s="3" t="s">
        <v>90</v>
      </c>
      <c r="B1433" s="3" t="s">
        <v>315</v>
      </c>
      <c r="C1433" s="3">
        <v>2022</v>
      </c>
      <c r="D1433" s="4">
        <v>1</v>
      </c>
      <c r="E1433" s="5">
        <v>19.5</v>
      </c>
      <c r="F1433" s="5">
        <v>16.39</v>
      </c>
      <c r="G1433" s="3" t="str">
        <f>VLOOKUP(Registros[[#This Row],[Cliente]],Cliente_Region[],2,FALSE)</f>
        <v>Canada</v>
      </c>
      <c r="H1433" s="3" t="str">
        <f>VLOOKUP(Registros[[#This Row],[Producto]],Producto[],2,FALSE)</f>
        <v>CHOTUS</v>
      </c>
    </row>
    <row r="1434" spans="1:8" ht="20.100000000000001" customHeight="1" x14ac:dyDescent="0.25">
      <c r="A1434" s="3" t="s">
        <v>91</v>
      </c>
      <c r="B1434" s="3" t="s">
        <v>315</v>
      </c>
      <c r="C1434" s="3">
        <v>2022</v>
      </c>
      <c r="D1434" s="4">
        <v>2</v>
      </c>
      <c r="E1434" s="5">
        <v>15.13</v>
      </c>
      <c r="F1434" s="5">
        <v>12.01</v>
      </c>
      <c r="G1434" s="3" t="str">
        <f>VLOOKUP(Registros[[#This Row],[Cliente]],Cliente_Region[],2,FALSE)</f>
        <v>Canada</v>
      </c>
      <c r="H1434" s="3" t="str">
        <f>VLOOKUP(Registros[[#This Row],[Producto]],Producto[],2,FALSE)</f>
        <v>GAMBO</v>
      </c>
    </row>
    <row r="1435" spans="1:8" ht="20.100000000000001" customHeight="1" x14ac:dyDescent="0.25">
      <c r="A1435" s="3" t="s">
        <v>297</v>
      </c>
      <c r="B1435" s="3" t="s">
        <v>315</v>
      </c>
      <c r="C1435" s="3">
        <v>2022</v>
      </c>
      <c r="D1435" s="4">
        <v>1</v>
      </c>
      <c r="E1435" s="5">
        <v>37</v>
      </c>
      <c r="F1435" s="5">
        <v>18.73</v>
      </c>
      <c r="G1435" s="3" t="str">
        <f>VLOOKUP(Registros[[#This Row],[Cliente]],Cliente_Region[],2,FALSE)</f>
        <v>Canada</v>
      </c>
      <c r="H1435" s="3" t="str">
        <f>VLOOKUP(Registros[[#This Row],[Producto]],Producto[],2,FALSE)</f>
        <v>LAX</v>
      </c>
    </row>
    <row r="1436" spans="1:8" ht="20.100000000000001" customHeight="1" x14ac:dyDescent="0.25">
      <c r="A1436" s="3" t="s">
        <v>77</v>
      </c>
      <c r="B1436" s="3" t="s">
        <v>315</v>
      </c>
      <c r="C1436" s="3">
        <v>2022</v>
      </c>
      <c r="D1436" s="4">
        <v>1</v>
      </c>
      <c r="E1436" s="5">
        <v>51.7</v>
      </c>
      <c r="F1436" s="5">
        <v>31.8</v>
      </c>
      <c r="G1436" s="3" t="str">
        <f>VLOOKUP(Registros[[#This Row],[Cliente]],Cliente_Region[],2,FALSE)</f>
        <v>Canada</v>
      </c>
      <c r="H1436" s="3" t="str">
        <f>VLOOKUP(Registros[[#This Row],[Producto]],Producto[],2,FALSE)</f>
        <v>LAX</v>
      </c>
    </row>
    <row r="1437" spans="1:8" ht="20.100000000000001" customHeight="1" x14ac:dyDescent="0.25">
      <c r="A1437" s="3" t="s">
        <v>78</v>
      </c>
      <c r="B1437" s="3" t="s">
        <v>315</v>
      </c>
      <c r="C1437" s="3">
        <v>2022</v>
      </c>
      <c r="D1437" s="4">
        <v>2</v>
      </c>
      <c r="E1437" s="5">
        <v>102.3</v>
      </c>
      <c r="F1437" s="5">
        <v>72.67</v>
      </c>
      <c r="G1437" s="3" t="str">
        <f>VLOOKUP(Registros[[#This Row],[Cliente]],Cliente_Region[],2,FALSE)</f>
        <v>Canada</v>
      </c>
      <c r="H1437" s="3" t="str">
        <f>VLOOKUP(Registros[[#This Row],[Producto]],Producto[],2,FALSE)</f>
        <v>MOC</v>
      </c>
    </row>
    <row r="1438" spans="1:8" ht="20.100000000000001" customHeight="1" x14ac:dyDescent="0.25">
      <c r="A1438" s="3" t="s">
        <v>92</v>
      </c>
      <c r="B1438" s="3" t="s">
        <v>315</v>
      </c>
      <c r="C1438" s="3">
        <v>2022</v>
      </c>
      <c r="D1438" s="4">
        <v>1</v>
      </c>
      <c r="E1438" s="5">
        <v>79.2</v>
      </c>
      <c r="F1438" s="5">
        <v>41.99</v>
      </c>
      <c r="G1438" s="3" t="str">
        <f>VLOOKUP(Registros[[#This Row],[Cliente]],Cliente_Region[],2,FALSE)</f>
        <v>Canada</v>
      </c>
      <c r="H1438" s="3" t="str">
        <f>VLOOKUP(Registros[[#This Row],[Producto]],Producto[],2,FALSE)</f>
        <v>MOC</v>
      </c>
    </row>
    <row r="1439" spans="1:8" ht="20.100000000000001" customHeight="1" x14ac:dyDescent="0.25">
      <c r="A1439" s="3" t="s">
        <v>299</v>
      </c>
      <c r="B1439" s="3" t="s">
        <v>315</v>
      </c>
      <c r="C1439" s="3">
        <v>2022</v>
      </c>
      <c r="D1439" s="4">
        <v>1</v>
      </c>
      <c r="E1439" s="5">
        <v>95</v>
      </c>
      <c r="F1439" s="5">
        <v>52.9</v>
      </c>
      <c r="G1439" s="3" t="str">
        <f>VLOOKUP(Registros[[#This Row],[Cliente]],Cliente_Region[],2,FALSE)</f>
        <v>Canada</v>
      </c>
      <c r="H1439" s="3" t="str">
        <f>VLOOKUP(Registros[[#This Row],[Producto]],Producto[],2,FALSE)</f>
        <v>SALF</v>
      </c>
    </row>
    <row r="1440" spans="1:8" ht="20.100000000000001" customHeight="1" x14ac:dyDescent="0.25">
      <c r="A1440" s="3" t="s">
        <v>255</v>
      </c>
      <c r="B1440" s="3" t="s">
        <v>315</v>
      </c>
      <c r="C1440" s="3">
        <v>2022</v>
      </c>
      <c r="D1440" s="4">
        <v>2</v>
      </c>
      <c r="E1440" s="5">
        <v>95</v>
      </c>
      <c r="F1440" s="5">
        <v>52.9</v>
      </c>
      <c r="G1440" s="3" t="str">
        <f>VLOOKUP(Registros[[#This Row],[Cliente]],Cliente_Region[],2,FALSE)</f>
        <v>Canada</v>
      </c>
      <c r="H1440" s="3" t="str">
        <f>VLOOKUP(Registros[[#This Row],[Producto]],Producto[],2,FALSE)</f>
        <v>MOC</v>
      </c>
    </row>
    <row r="1441" spans="1:8" ht="20.100000000000001" customHeight="1" x14ac:dyDescent="0.25">
      <c r="A1441" s="3" t="s">
        <v>81</v>
      </c>
      <c r="B1441" s="3" t="s">
        <v>315</v>
      </c>
      <c r="C1441" s="3">
        <v>2022</v>
      </c>
      <c r="D1441" s="4">
        <v>1</v>
      </c>
      <c r="E1441" s="5">
        <v>25</v>
      </c>
      <c r="F1441" s="5">
        <v>11.02</v>
      </c>
      <c r="G1441" s="3" t="str">
        <f>VLOOKUP(Registros[[#This Row],[Cliente]],Cliente_Region[],2,FALSE)</f>
        <v>Canada</v>
      </c>
      <c r="H1441" s="3" t="str">
        <f>VLOOKUP(Registros[[#This Row],[Producto]],Producto[],2,FALSE)</f>
        <v>QUOKAR</v>
      </c>
    </row>
    <row r="1442" spans="1:8" ht="20.100000000000001" customHeight="1" x14ac:dyDescent="0.25">
      <c r="A1442" s="3" t="s">
        <v>82</v>
      </c>
      <c r="B1442" s="3" t="s">
        <v>315</v>
      </c>
      <c r="C1442" s="3">
        <v>2022</v>
      </c>
      <c r="D1442" s="4">
        <v>2</v>
      </c>
      <c r="E1442" s="5">
        <v>23.93</v>
      </c>
      <c r="F1442" s="5">
        <v>9.9499999999999993</v>
      </c>
      <c r="G1442" s="3" t="str">
        <f>VLOOKUP(Registros[[#This Row],[Cliente]],Cliente_Region[],2,FALSE)</f>
        <v>Canada</v>
      </c>
      <c r="H1442" s="3" t="str">
        <f>VLOOKUP(Registros[[#This Row],[Producto]],Producto[],2,FALSE)</f>
        <v>LAX</v>
      </c>
    </row>
    <row r="1443" spans="1:8" ht="20.100000000000001" customHeight="1" x14ac:dyDescent="0.25">
      <c r="A1443" s="3" t="s">
        <v>11</v>
      </c>
      <c r="B1443" s="3" t="s">
        <v>316</v>
      </c>
      <c r="C1443" s="3">
        <v>2022</v>
      </c>
      <c r="D1443" s="4">
        <v>3</v>
      </c>
      <c r="E1443" s="5">
        <v>129.5</v>
      </c>
      <c r="F1443" s="5">
        <v>12.82</v>
      </c>
      <c r="G1443" s="3" t="str">
        <f>VLOOKUP(Registros[[#This Row],[Cliente]],Cliente_Region[],2,FALSE)</f>
        <v>Mexico</v>
      </c>
      <c r="H1443" s="3" t="str">
        <f>VLOOKUP(Registros[[#This Row],[Producto]],Producto[],2,FALSE)</f>
        <v>DONANY</v>
      </c>
    </row>
    <row r="1444" spans="1:8" ht="20.100000000000001" customHeight="1" x14ac:dyDescent="0.25">
      <c r="A1444" s="3" t="s">
        <v>68</v>
      </c>
      <c r="B1444" s="3" t="s">
        <v>316</v>
      </c>
      <c r="C1444" s="3">
        <v>2022</v>
      </c>
      <c r="D1444" s="4">
        <v>3</v>
      </c>
      <c r="E1444" s="5">
        <v>131.5</v>
      </c>
      <c r="F1444" s="5">
        <v>45.64</v>
      </c>
      <c r="G1444" s="3" t="str">
        <f>VLOOKUP(Registros[[#This Row],[Cliente]],Cliente_Region[],2,FALSE)</f>
        <v>Mexico</v>
      </c>
      <c r="H1444" s="3" t="str">
        <f>VLOOKUP(Registros[[#This Row],[Producto]],Producto[],2,FALSE)</f>
        <v>SALF</v>
      </c>
    </row>
    <row r="1445" spans="1:8" ht="20.100000000000001" customHeight="1" x14ac:dyDescent="0.25">
      <c r="A1445" s="3" t="s">
        <v>70</v>
      </c>
      <c r="B1445" s="3" t="s">
        <v>316</v>
      </c>
      <c r="C1445" s="3">
        <v>2022</v>
      </c>
      <c r="D1445" s="4">
        <v>5</v>
      </c>
      <c r="E1445" s="5">
        <v>147</v>
      </c>
      <c r="F1445" s="5">
        <v>39.96</v>
      </c>
      <c r="G1445" s="3" t="str">
        <f>VLOOKUP(Registros[[#This Row],[Cliente]],Cliente_Region[],2,FALSE)</f>
        <v>Mexico</v>
      </c>
      <c r="H1445" s="3" t="str">
        <f>VLOOKUP(Registros[[#This Row],[Producto]],Producto[],2,FALSE)</f>
        <v>LAX</v>
      </c>
    </row>
    <row r="1446" spans="1:8" ht="20.100000000000001" customHeight="1" x14ac:dyDescent="0.25">
      <c r="A1446" s="3" t="s">
        <v>317</v>
      </c>
      <c r="B1446" s="3" t="s">
        <v>316</v>
      </c>
      <c r="C1446" s="3">
        <v>2022</v>
      </c>
      <c r="D1446" s="4">
        <v>1</v>
      </c>
      <c r="E1446" s="5">
        <v>546</v>
      </c>
      <c r="F1446" s="5">
        <v>170.93</v>
      </c>
      <c r="G1446" s="3" t="str">
        <f>VLOOKUP(Registros[[#This Row],[Cliente]],Cliente_Region[],2,FALSE)</f>
        <v>Mexico</v>
      </c>
      <c r="H1446" s="3" t="str">
        <f>VLOOKUP(Registros[[#This Row],[Producto]],Producto[],2,FALSE)</f>
        <v>LAX</v>
      </c>
    </row>
    <row r="1447" spans="1:8" ht="20.100000000000001" customHeight="1" x14ac:dyDescent="0.25">
      <c r="A1447" s="3" t="s">
        <v>318</v>
      </c>
      <c r="B1447" s="3" t="s">
        <v>316</v>
      </c>
      <c r="C1447" s="3">
        <v>2022</v>
      </c>
      <c r="D1447" s="4">
        <v>2</v>
      </c>
      <c r="E1447" s="5">
        <v>340</v>
      </c>
      <c r="F1447" s="5">
        <v>119.02</v>
      </c>
      <c r="G1447" s="3" t="str">
        <f>VLOOKUP(Registros[[#This Row],[Cliente]],Cliente_Region[],2,FALSE)</f>
        <v>Mexico</v>
      </c>
      <c r="H1447" s="3" t="str">
        <f>VLOOKUP(Registros[[#This Row],[Producto]],Producto[],2,FALSE)</f>
        <v>LAX</v>
      </c>
    </row>
    <row r="1448" spans="1:8" ht="20.100000000000001" customHeight="1" x14ac:dyDescent="0.25">
      <c r="A1448" s="3" t="s">
        <v>318</v>
      </c>
      <c r="B1448" s="3" t="s">
        <v>316</v>
      </c>
      <c r="C1448" s="3">
        <v>2022</v>
      </c>
      <c r="D1448" s="4">
        <v>3</v>
      </c>
      <c r="E1448" s="5">
        <v>391</v>
      </c>
      <c r="F1448" s="5">
        <v>90.57</v>
      </c>
      <c r="G1448" s="3" t="str">
        <f>VLOOKUP(Registros[[#This Row],[Cliente]],Cliente_Region[],2,FALSE)</f>
        <v>Mexico</v>
      </c>
      <c r="H1448" s="3" t="str">
        <f>VLOOKUP(Registros[[#This Row],[Producto]],Producto[],2,FALSE)</f>
        <v>LAX</v>
      </c>
    </row>
    <row r="1449" spans="1:8" ht="20.100000000000001" customHeight="1" x14ac:dyDescent="0.25">
      <c r="A1449" s="3" t="s">
        <v>318</v>
      </c>
      <c r="B1449" s="3" t="s">
        <v>316</v>
      </c>
      <c r="C1449" s="3">
        <v>2022</v>
      </c>
      <c r="D1449" s="4">
        <v>4</v>
      </c>
      <c r="E1449" s="5">
        <v>357</v>
      </c>
      <c r="F1449" s="5">
        <v>125.17</v>
      </c>
      <c r="G1449" s="3" t="str">
        <f>VLOOKUP(Registros[[#This Row],[Cliente]],Cliente_Region[],2,FALSE)</f>
        <v>Mexico</v>
      </c>
      <c r="H1449" s="3" t="str">
        <f>VLOOKUP(Registros[[#This Row],[Producto]],Producto[],2,FALSE)</f>
        <v>LAX</v>
      </c>
    </row>
    <row r="1450" spans="1:8" ht="20.100000000000001" customHeight="1" x14ac:dyDescent="0.25">
      <c r="A1450" s="3" t="s">
        <v>318</v>
      </c>
      <c r="B1450" s="3" t="s">
        <v>316</v>
      </c>
      <c r="C1450" s="3">
        <v>2022</v>
      </c>
      <c r="D1450" s="4">
        <v>5</v>
      </c>
      <c r="E1450" s="5">
        <v>357</v>
      </c>
      <c r="F1450" s="5">
        <v>124.82</v>
      </c>
      <c r="G1450" s="3" t="str">
        <f>VLOOKUP(Registros[[#This Row],[Cliente]],Cliente_Region[],2,FALSE)</f>
        <v>Mexico</v>
      </c>
      <c r="H1450" s="3" t="str">
        <f>VLOOKUP(Registros[[#This Row],[Producto]],Producto[],2,FALSE)</f>
        <v>LAX</v>
      </c>
    </row>
    <row r="1451" spans="1:8" ht="20.100000000000001" customHeight="1" x14ac:dyDescent="0.25">
      <c r="A1451" s="3" t="s">
        <v>318</v>
      </c>
      <c r="B1451" s="3" t="s">
        <v>316</v>
      </c>
      <c r="C1451" s="3">
        <v>2022</v>
      </c>
      <c r="D1451" s="4">
        <v>6</v>
      </c>
      <c r="E1451" s="5">
        <v>476</v>
      </c>
      <c r="F1451" s="5">
        <v>165.86</v>
      </c>
      <c r="G1451" s="3" t="str">
        <f>VLOOKUP(Registros[[#This Row],[Cliente]],Cliente_Region[],2,FALSE)</f>
        <v>Mexico</v>
      </c>
      <c r="H1451" s="3" t="str">
        <f>VLOOKUP(Registros[[#This Row],[Producto]],Producto[],2,FALSE)</f>
        <v>LAX</v>
      </c>
    </row>
    <row r="1452" spans="1:8" ht="20.100000000000001" customHeight="1" x14ac:dyDescent="0.25">
      <c r="A1452" s="3" t="s">
        <v>308</v>
      </c>
      <c r="B1452" s="3" t="s">
        <v>319</v>
      </c>
      <c r="C1452" s="3">
        <v>2022</v>
      </c>
      <c r="D1452" s="4">
        <v>1</v>
      </c>
      <c r="E1452" s="5">
        <v>20.5</v>
      </c>
      <c r="F1452" s="5">
        <v>7.08</v>
      </c>
      <c r="G1452" s="3" t="str">
        <f>VLOOKUP(Registros[[#This Row],[Cliente]],Cliente_Region[],2,FALSE)</f>
        <v>Mexico</v>
      </c>
      <c r="H1452" s="3" t="str">
        <f>VLOOKUP(Registros[[#This Row],[Producto]],Producto[],2,FALSE)</f>
        <v>SALF</v>
      </c>
    </row>
    <row r="1453" spans="1:8" ht="20.100000000000001" customHeight="1" x14ac:dyDescent="0.25">
      <c r="A1453" s="3" t="s">
        <v>309</v>
      </c>
      <c r="B1453" s="3" t="s">
        <v>319</v>
      </c>
      <c r="C1453" s="3">
        <v>2022</v>
      </c>
      <c r="D1453" s="4">
        <v>2</v>
      </c>
      <c r="E1453" s="5">
        <v>37.93</v>
      </c>
      <c r="F1453" s="5">
        <v>17.8</v>
      </c>
      <c r="G1453" s="3" t="str">
        <f>VLOOKUP(Registros[[#This Row],[Cliente]],Cliente_Region[],2,FALSE)</f>
        <v>Mexico</v>
      </c>
      <c r="H1453" s="3" t="str">
        <f>VLOOKUP(Registros[[#This Row],[Producto]],Producto[],2,FALSE)</f>
        <v>SALF</v>
      </c>
    </row>
    <row r="1454" spans="1:8" ht="20.100000000000001" customHeight="1" x14ac:dyDescent="0.25">
      <c r="A1454" s="3" t="s">
        <v>309</v>
      </c>
      <c r="B1454" s="3" t="s">
        <v>319</v>
      </c>
      <c r="C1454" s="3">
        <v>2022</v>
      </c>
      <c r="D1454" s="4">
        <v>3</v>
      </c>
      <c r="E1454" s="5">
        <v>20.5</v>
      </c>
      <c r="F1454" s="5">
        <v>7.08</v>
      </c>
      <c r="G1454" s="3" t="str">
        <f>VLOOKUP(Registros[[#This Row],[Cliente]],Cliente_Region[],2,FALSE)</f>
        <v>Mexico</v>
      </c>
      <c r="H1454" s="3" t="str">
        <f>VLOOKUP(Registros[[#This Row],[Producto]],Producto[],2,FALSE)</f>
        <v>SALF</v>
      </c>
    </row>
    <row r="1455" spans="1:8" ht="20.100000000000001" customHeight="1" x14ac:dyDescent="0.25">
      <c r="A1455" s="3" t="s">
        <v>309</v>
      </c>
      <c r="B1455" s="3" t="s">
        <v>319</v>
      </c>
      <c r="C1455" s="3">
        <v>2022</v>
      </c>
      <c r="D1455" s="4">
        <v>4</v>
      </c>
      <c r="E1455" s="5">
        <v>30.75</v>
      </c>
      <c r="F1455" s="5">
        <v>10.62</v>
      </c>
      <c r="G1455" s="3" t="str">
        <f>VLOOKUP(Registros[[#This Row],[Cliente]],Cliente_Region[],2,FALSE)</f>
        <v>Mexico</v>
      </c>
      <c r="H1455" s="3" t="str">
        <f>VLOOKUP(Registros[[#This Row],[Producto]],Producto[],2,FALSE)</f>
        <v>SALF</v>
      </c>
    </row>
    <row r="1456" spans="1:8" ht="20.100000000000001" customHeight="1" x14ac:dyDescent="0.25">
      <c r="A1456" s="3" t="s">
        <v>309</v>
      </c>
      <c r="B1456" s="3" t="s">
        <v>319</v>
      </c>
      <c r="C1456" s="3">
        <v>2022</v>
      </c>
      <c r="D1456" s="4">
        <v>5</v>
      </c>
      <c r="E1456" s="5">
        <v>30.75</v>
      </c>
      <c r="F1456" s="5">
        <v>10.62</v>
      </c>
      <c r="G1456" s="3" t="str">
        <f>VLOOKUP(Registros[[#This Row],[Cliente]],Cliente_Region[],2,FALSE)</f>
        <v>Mexico</v>
      </c>
      <c r="H1456" s="3" t="str">
        <f>VLOOKUP(Registros[[#This Row],[Producto]],Producto[],2,FALSE)</f>
        <v>SALF</v>
      </c>
    </row>
    <row r="1457" spans="1:8" ht="20.100000000000001" customHeight="1" x14ac:dyDescent="0.25">
      <c r="A1457" s="3" t="s">
        <v>309</v>
      </c>
      <c r="B1457" s="3" t="s">
        <v>319</v>
      </c>
      <c r="C1457" s="3">
        <v>2022</v>
      </c>
      <c r="D1457" s="4">
        <v>6</v>
      </c>
      <c r="E1457" s="5">
        <v>20.5</v>
      </c>
      <c r="F1457" s="5">
        <v>7.08</v>
      </c>
      <c r="G1457" s="3" t="str">
        <f>VLOOKUP(Registros[[#This Row],[Cliente]],Cliente_Region[],2,FALSE)</f>
        <v>Mexico</v>
      </c>
      <c r="H1457" s="3" t="str">
        <f>VLOOKUP(Registros[[#This Row],[Producto]],Producto[],2,FALSE)</f>
        <v>SALF</v>
      </c>
    </row>
    <row r="1458" spans="1:8" ht="20.100000000000001" customHeight="1" x14ac:dyDescent="0.25">
      <c r="A1458" s="3" t="s">
        <v>11</v>
      </c>
      <c r="B1458" s="3" t="s">
        <v>319</v>
      </c>
      <c r="C1458" s="3">
        <v>2022</v>
      </c>
      <c r="D1458" s="4">
        <v>1</v>
      </c>
      <c r="E1458" s="5">
        <v>29.25</v>
      </c>
      <c r="F1458" s="5">
        <v>11.31</v>
      </c>
      <c r="G1458" s="3" t="str">
        <f>VLOOKUP(Registros[[#This Row],[Cliente]],Cliente_Region[],2,FALSE)</f>
        <v>Mexico</v>
      </c>
      <c r="H1458" s="3" t="str">
        <f>VLOOKUP(Registros[[#This Row],[Producto]],Producto[],2,FALSE)</f>
        <v>DONANY</v>
      </c>
    </row>
    <row r="1459" spans="1:8" ht="20.100000000000001" customHeight="1" x14ac:dyDescent="0.25">
      <c r="A1459" s="3" t="s">
        <v>292</v>
      </c>
      <c r="B1459" s="3" t="s">
        <v>319</v>
      </c>
      <c r="C1459" s="3">
        <v>2022</v>
      </c>
      <c r="D1459" s="4">
        <v>2</v>
      </c>
      <c r="E1459" s="5">
        <v>36</v>
      </c>
      <c r="F1459" s="5">
        <v>18.059999999999999</v>
      </c>
      <c r="G1459" s="3" t="str">
        <f>VLOOKUP(Registros[[#This Row],[Cliente]],Cliente_Region[],2,FALSE)</f>
        <v>Mexico</v>
      </c>
      <c r="H1459" s="3" t="str">
        <f>VLOOKUP(Registros[[#This Row],[Producto]],Producto[],2,FALSE)</f>
        <v>QUOKAR</v>
      </c>
    </row>
    <row r="1460" spans="1:8" ht="20.100000000000001" customHeight="1" x14ac:dyDescent="0.25">
      <c r="A1460" s="3" t="s">
        <v>292</v>
      </c>
      <c r="B1460" s="3" t="s">
        <v>319</v>
      </c>
      <c r="C1460" s="3">
        <v>2022</v>
      </c>
      <c r="D1460" s="4">
        <v>3</v>
      </c>
      <c r="E1460" s="5">
        <v>19.5</v>
      </c>
      <c r="F1460" s="5">
        <v>7.54</v>
      </c>
      <c r="G1460" s="3" t="str">
        <f>VLOOKUP(Registros[[#This Row],[Cliente]],Cliente_Region[],2,FALSE)</f>
        <v>Mexico</v>
      </c>
      <c r="H1460" s="3" t="str">
        <f>VLOOKUP(Registros[[#This Row],[Producto]],Producto[],2,FALSE)</f>
        <v>QUOKAR</v>
      </c>
    </row>
    <row r="1461" spans="1:8" ht="20.100000000000001" customHeight="1" x14ac:dyDescent="0.25">
      <c r="A1461" s="3" t="s">
        <v>292</v>
      </c>
      <c r="B1461" s="3" t="s">
        <v>319</v>
      </c>
      <c r="C1461" s="3">
        <v>2022</v>
      </c>
      <c r="D1461" s="4">
        <v>4</v>
      </c>
      <c r="E1461" s="5">
        <v>29.25</v>
      </c>
      <c r="F1461" s="5">
        <v>11.31</v>
      </c>
      <c r="G1461" s="3" t="str">
        <f>VLOOKUP(Registros[[#This Row],[Cliente]],Cliente_Region[],2,FALSE)</f>
        <v>Mexico</v>
      </c>
      <c r="H1461" s="3" t="str">
        <f>VLOOKUP(Registros[[#This Row],[Producto]],Producto[],2,FALSE)</f>
        <v>QUOKAR</v>
      </c>
    </row>
    <row r="1462" spans="1:8" ht="20.100000000000001" customHeight="1" x14ac:dyDescent="0.25">
      <c r="A1462" s="3" t="s">
        <v>292</v>
      </c>
      <c r="B1462" s="3" t="s">
        <v>319</v>
      </c>
      <c r="C1462" s="3">
        <v>2022</v>
      </c>
      <c r="D1462" s="4">
        <v>5</v>
      </c>
      <c r="E1462" s="5">
        <v>29.25</v>
      </c>
      <c r="F1462" s="5">
        <v>11.31</v>
      </c>
      <c r="G1462" s="3" t="str">
        <f>VLOOKUP(Registros[[#This Row],[Cliente]],Cliente_Region[],2,FALSE)</f>
        <v>Mexico</v>
      </c>
      <c r="H1462" s="3" t="str">
        <f>VLOOKUP(Registros[[#This Row],[Producto]],Producto[],2,FALSE)</f>
        <v>QUOKAR</v>
      </c>
    </row>
    <row r="1463" spans="1:8" ht="20.100000000000001" customHeight="1" x14ac:dyDescent="0.25">
      <c r="A1463" s="3" t="s">
        <v>292</v>
      </c>
      <c r="B1463" s="3" t="s">
        <v>319</v>
      </c>
      <c r="C1463" s="3">
        <v>2022</v>
      </c>
      <c r="D1463" s="4">
        <v>6</v>
      </c>
      <c r="E1463" s="5">
        <v>19.5</v>
      </c>
      <c r="F1463" s="5">
        <v>7.54</v>
      </c>
      <c r="G1463" s="3" t="str">
        <f>VLOOKUP(Registros[[#This Row],[Cliente]],Cliente_Region[],2,FALSE)</f>
        <v>Mexico</v>
      </c>
      <c r="H1463" s="3" t="str">
        <f>VLOOKUP(Registros[[#This Row],[Producto]],Producto[],2,FALSE)</f>
        <v>QUOKAR</v>
      </c>
    </row>
    <row r="1464" spans="1:8" ht="20.100000000000001" customHeight="1" x14ac:dyDescent="0.25">
      <c r="A1464" s="3" t="s">
        <v>293</v>
      </c>
      <c r="B1464" s="3" t="s">
        <v>319</v>
      </c>
      <c r="C1464" s="3">
        <v>2022</v>
      </c>
      <c r="D1464" s="4">
        <v>3</v>
      </c>
      <c r="E1464" s="5">
        <v>22.5</v>
      </c>
      <c r="F1464" s="5">
        <v>-7.5</v>
      </c>
      <c r="G1464" s="3" t="str">
        <f>VLOOKUP(Registros[[#This Row],[Cliente]],Cliente_Region[],2,FALSE)</f>
        <v>Mexico</v>
      </c>
      <c r="H1464" s="3" t="str">
        <f>VLOOKUP(Registros[[#This Row],[Producto]],Producto[],2,FALSE)</f>
        <v>QUOKAR</v>
      </c>
    </row>
    <row r="1465" spans="1:8" ht="20.100000000000001" customHeight="1" x14ac:dyDescent="0.25">
      <c r="A1465" s="3" t="s">
        <v>304</v>
      </c>
      <c r="B1465" s="3" t="s">
        <v>319</v>
      </c>
      <c r="C1465" s="3">
        <v>2022</v>
      </c>
      <c r="D1465" s="4">
        <v>3</v>
      </c>
      <c r="E1465" s="5">
        <v>10.25</v>
      </c>
      <c r="F1465" s="5">
        <v>-0.33</v>
      </c>
      <c r="G1465" s="3" t="str">
        <f>VLOOKUP(Registros[[#This Row],[Cliente]],Cliente_Region[],2,FALSE)</f>
        <v>Mexico</v>
      </c>
      <c r="H1465" s="3" t="str">
        <f>VLOOKUP(Registros[[#This Row],[Producto]],Producto[],2,FALSE)</f>
        <v>QUOKAR</v>
      </c>
    </row>
    <row r="1466" spans="1:8" ht="20.100000000000001" customHeight="1" x14ac:dyDescent="0.25">
      <c r="A1466" s="3" t="s">
        <v>310</v>
      </c>
      <c r="B1466" s="3" t="s">
        <v>319</v>
      </c>
      <c r="C1466" s="3">
        <v>2022</v>
      </c>
      <c r="D1466" s="4">
        <v>1</v>
      </c>
      <c r="E1466" s="5">
        <v>30.05</v>
      </c>
      <c r="F1466" s="5">
        <v>19.010000000000002</v>
      </c>
      <c r="G1466" s="3" t="str">
        <f>VLOOKUP(Registros[[#This Row],[Cliente]],Cliente_Region[],2,FALSE)</f>
        <v>Mexico</v>
      </c>
      <c r="H1466" s="3" t="str">
        <f>VLOOKUP(Registros[[#This Row],[Producto]],Producto[],2,FALSE)</f>
        <v>DONANY</v>
      </c>
    </row>
    <row r="1467" spans="1:8" ht="20.100000000000001" customHeight="1" x14ac:dyDescent="0.25">
      <c r="A1467" s="3" t="s">
        <v>311</v>
      </c>
      <c r="B1467" s="3" t="s">
        <v>319</v>
      </c>
      <c r="C1467" s="3">
        <v>2022</v>
      </c>
      <c r="D1467" s="4">
        <v>2</v>
      </c>
      <c r="E1467" s="5">
        <v>30</v>
      </c>
      <c r="F1467" s="5">
        <v>18.96</v>
      </c>
      <c r="G1467" s="3" t="str">
        <f>VLOOKUP(Registros[[#This Row],[Cliente]],Cliente_Region[],2,FALSE)</f>
        <v>Mexico</v>
      </c>
      <c r="H1467" s="3" t="str">
        <f>VLOOKUP(Registros[[#This Row],[Producto]],Producto[],2,FALSE)</f>
        <v>CHOTUS</v>
      </c>
    </row>
    <row r="1468" spans="1:8" ht="20.100000000000001" customHeight="1" x14ac:dyDescent="0.25">
      <c r="A1468" s="3" t="s">
        <v>311</v>
      </c>
      <c r="B1468" s="3" t="s">
        <v>319</v>
      </c>
      <c r="C1468" s="3">
        <v>2022</v>
      </c>
      <c r="D1468" s="4">
        <v>3</v>
      </c>
      <c r="E1468" s="5">
        <v>15.05</v>
      </c>
      <c r="F1468" s="5">
        <v>0</v>
      </c>
      <c r="G1468" s="3" t="str">
        <f>VLOOKUP(Registros[[#This Row],[Cliente]],Cliente_Region[],2,FALSE)</f>
        <v>Mexico</v>
      </c>
      <c r="H1468" s="3" t="str">
        <f>VLOOKUP(Registros[[#This Row],[Producto]],Producto[],2,FALSE)</f>
        <v>CHOTUS</v>
      </c>
    </row>
    <row r="1469" spans="1:8" ht="20.100000000000001" customHeight="1" x14ac:dyDescent="0.25">
      <c r="A1469" s="3" t="s">
        <v>282</v>
      </c>
      <c r="B1469" s="3" t="s">
        <v>319</v>
      </c>
      <c r="C1469" s="3">
        <v>2022</v>
      </c>
      <c r="D1469" s="4">
        <v>3</v>
      </c>
      <c r="E1469" s="5">
        <v>16</v>
      </c>
      <c r="F1469" s="5">
        <v>0</v>
      </c>
      <c r="G1469" s="3" t="str">
        <f>VLOOKUP(Registros[[#This Row],[Cliente]],Cliente_Region[],2,FALSE)</f>
        <v>Mexico</v>
      </c>
      <c r="H1469" s="3" t="str">
        <f>VLOOKUP(Registros[[#This Row],[Producto]],Producto[],2,FALSE)</f>
        <v>DAWNE</v>
      </c>
    </row>
    <row r="1470" spans="1:8" ht="20.100000000000001" customHeight="1" x14ac:dyDescent="0.25">
      <c r="A1470" s="3" t="s">
        <v>135</v>
      </c>
      <c r="B1470" s="3" t="s">
        <v>319</v>
      </c>
      <c r="C1470" s="3">
        <v>2022</v>
      </c>
      <c r="D1470" s="4">
        <v>3</v>
      </c>
      <c r="E1470" s="5">
        <v>18.25</v>
      </c>
      <c r="F1470" s="5">
        <v>4.2</v>
      </c>
      <c r="G1470" s="3" t="str">
        <f>VLOOKUP(Registros[[#This Row],[Cliente]],Cliente_Region[],2,FALSE)</f>
        <v>Mexico</v>
      </c>
      <c r="H1470" s="3" t="str">
        <f>VLOOKUP(Registros[[#This Row],[Producto]],Producto[],2,FALSE)</f>
        <v>GAMBO</v>
      </c>
    </row>
    <row r="1471" spans="1:8" ht="20.100000000000001" customHeight="1" x14ac:dyDescent="0.25">
      <c r="A1471" s="3" t="s">
        <v>108</v>
      </c>
      <c r="B1471" s="3" t="s">
        <v>320</v>
      </c>
      <c r="C1471" s="3">
        <v>2022</v>
      </c>
      <c r="D1471" s="4">
        <v>3</v>
      </c>
      <c r="E1471" s="5">
        <v>21.5</v>
      </c>
      <c r="F1471" s="5">
        <v>11.66</v>
      </c>
      <c r="G1471" s="3" t="str">
        <f>VLOOKUP(Registros[[#This Row],[Cliente]],Cliente_Region[],2,FALSE)</f>
        <v>Chile</v>
      </c>
      <c r="H1471" s="3" t="str">
        <f>VLOOKUP(Registros[[#This Row],[Producto]],Producto[],2,FALSE)</f>
        <v>LAX</v>
      </c>
    </row>
    <row r="1472" spans="1:8" ht="20.100000000000001" customHeight="1" x14ac:dyDescent="0.25">
      <c r="A1472" s="3" t="s">
        <v>109</v>
      </c>
      <c r="B1472" s="3" t="s">
        <v>320</v>
      </c>
      <c r="C1472" s="3">
        <v>2022</v>
      </c>
      <c r="D1472" s="4">
        <v>4</v>
      </c>
      <c r="E1472" s="5">
        <v>10.75</v>
      </c>
      <c r="F1472" s="5">
        <v>5.83</v>
      </c>
      <c r="G1472" s="3" t="str">
        <f>VLOOKUP(Registros[[#This Row],[Cliente]],Cliente_Region[],2,FALSE)</f>
        <v>Chile</v>
      </c>
      <c r="H1472" s="3" t="str">
        <f>VLOOKUP(Registros[[#This Row],[Producto]],Producto[],2,FALSE)</f>
        <v>LAX</v>
      </c>
    </row>
    <row r="1473" spans="1:8" ht="20.100000000000001" customHeight="1" x14ac:dyDescent="0.25">
      <c r="A1473" s="3" t="s">
        <v>109</v>
      </c>
      <c r="B1473" s="3" t="s">
        <v>320</v>
      </c>
      <c r="C1473" s="3">
        <v>2022</v>
      </c>
      <c r="D1473" s="4">
        <v>5</v>
      </c>
      <c r="E1473" s="5">
        <v>21.5</v>
      </c>
      <c r="F1473" s="5">
        <v>11.66</v>
      </c>
      <c r="G1473" s="3" t="str">
        <f>VLOOKUP(Registros[[#This Row],[Cliente]],Cliente_Region[],2,FALSE)</f>
        <v>Chile</v>
      </c>
      <c r="H1473" s="3" t="str">
        <f>VLOOKUP(Registros[[#This Row],[Producto]],Producto[],2,FALSE)</f>
        <v>LAX</v>
      </c>
    </row>
    <row r="1474" spans="1:8" ht="20.100000000000001" customHeight="1" x14ac:dyDescent="0.25">
      <c r="A1474" s="3" t="s">
        <v>308</v>
      </c>
      <c r="B1474" s="3" t="s">
        <v>320</v>
      </c>
      <c r="C1474" s="3">
        <v>2022</v>
      </c>
      <c r="D1474" s="4">
        <v>1</v>
      </c>
      <c r="E1474" s="5">
        <v>30.75</v>
      </c>
      <c r="F1474" s="5">
        <v>10.62</v>
      </c>
      <c r="G1474" s="3" t="str">
        <f>VLOOKUP(Registros[[#This Row],[Cliente]],Cliente_Region[],2,FALSE)</f>
        <v>Chile</v>
      </c>
      <c r="H1474" s="3" t="str">
        <f>VLOOKUP(Registros[[#This Row],[Producto]],Producto[],2,FALSE)</f>
        <v>SALF</v>
      </c>
    </row>
    <row r="1475" spans="1:8" ht="20.100000000000001" customHeight="1" x14ac:dyDescent="0.25">
      <c r="A1475" s="3" t="s">
        <v>309</v>
      </c>
      <c r="B1475" s="3" t="s">
        <v>320</v>
      </c>
      <c r="C1475" s="3">
        <v>2022</v>
      </c>
      <c r="D1475" s="4">
        <v>2</v>
      </c>
      <c r="E1475" s="5">
        <v>25</v>
      </c>
      <c r="F1475" s="5">
        <v>11.58</v>
      </c>
      <c r="G1475" s="3" t="str">
        <f>VLOOKUP(Registros[[#This Row],[Cliente]],Cliente_Region[],2,FALSE)</f>
        <v>Chile</v>
      </c>
      <c r="H1475" s="3" t="str">
        <f>VLOOKUP(Registros[[#This Row],[Producto]],Producto[],2,FALSE)</f>
        <v>SALF</v>
      </c>
    </row>
    <row r="1476" spans="1:8" ht="20.100000000000001" customHeight="1" x14ac:dyDescent="0.25">
      <c r="A1476" s="3" t="s">
        <v>309</v>
      </c>
      <c r="B1476" s="3" t="s">
        <v>320</v>
      </c>
      <c r="C1476" s="3">
        <v>2022</v>
      </c>
      <c r="D1476" s="4">
        <v>3</v>
      </c>
      <c r="E1476" s="5">
        <v>12.5</v>
      </c>
      <c r="F1476" s="5">
        <v>5.79</v>
      </c>
      <c r="G1476" s="3" t="str">
        <f>VLOOKUP(Registros[[#This Row],[Cliente]],Cliente_Region[],2,FALSE)</f>
        <v>Chile</v>
      </c>
      <c r="H1476" s="3" t="str">
        <f>VLOOKUP(Registros[[#This Row],[Producto]],Producto[],2,FALSE)</f>
        <v>SALF</v>
      </c>
    </row>
    <row r="1477" spans="1:8" ht="20.100000000000001" customHeight="1" x14ac:dyDescent="0.25">
      <c r="A1477" s="3" t="s">
        <v>309</v>
      </c>
      <c r="B1477" s="3" t="s">
        <v>320</v>
      </c>
      <c r="C1477" s="3">
        <v>2022</v>
      </c>
      <c r="D1477" s="4">
        <v>4</v>
      </c>
      <c r="E1477" s="5">
        <v>12.5</v>
      </c>
      <c r="F1477" s="5">
        <v>5.79</v>
      </c>
      <c r="G1477" s="3" t="str">
        <f>VLOOKUP(Registros[[#This Row],[Cliente]],Cliente_Region[],2,FALSE)</f>
        <v>Chile</v>
      </c>
      <c r="H1477" s="3" t="str">
        <f>VLOOKUP(Registros[[#This Row],[Producto]],Producto[],2,FALSE)</f>
        <v>SALF</v>
      </c>
    </row>
    <row r="1478" spans="1:8" ht="20.100000000000001" customHeight="1" x14ac:dyDescent="0.25">
      <c r="A1478" s="3" t="s">
        <v>309</v>
      </c>
      <c r="B1478" s="3" t="s">
        <v>320</v>
      </c>
      <c r="C1478" s="3">
        <v>2022</v>
      </c>
      <c r="D1478" s="4">
        <v>5</v>
      </c>
      <c r="E1478" s="5">
        <v>12.5</v>
      </c>
      <c r="F1478" s="5">
        <v>5.79</v>
      </c>
      <c r="G1478" s="3" t="str">
        <f>VLOOKUP(Registros[[#This Row],[Cliente]],Cliente_Region[],2,FALSE)</f>
        <v>Chile</v>
      </c>
      <c r="H1478" s="3" t="str">
        <f>VLOOKUP(Registros[[#This Row],[Producto]],Producto[],2,FALSE)</f>
        <v>SALF</v>
      </c>
    </row>
    <row r="1479" spans="1:8" ht="20.100000000000001" customHeight="1" x14ac:dyDescent="0.25">
      <c r="A1479" s="3" t="s">
        <v>321</v>
      </c>
      <c r="B1479" s="3" t="s">
        <v>320</v>
      </c>
      <c r="C1479" s="3">
        <v>2022</v>
      </c>
      <c r="D1479" s="4">
        <v>1</v>
      </c>
      <c r="E1479" s="5">
        <v>17.5</v>
      </c>
      <c r="F1479" s="5">
        <v>3.26</v>
      </c>
      <c r="G1479" s="3" t="str">
        <f>VLOOKUP(Registros[[#This Row],[Cliente]],Cliente_Region[],2,FALSE)</f>
        <v>Chile</v>
      </c>
      <c r="H1479" s="3" t="str">
        <f>VLOOKUP(Registros[[#This Row],[Producto]],Producto[],2,FALSE)</f>
        <v>GAMBO</v>
      </c>
    </row>
    <row r="1480" spans="1:8" ht="20.100000000000001" customHeight="1" x14ac:dyDescent="0.25">
      <c r="A1480" s="3" t="s">
        <v>322</v>
      </c>
      <c r="B1480" s="3" t="s">
        <v>320</v>
      </c>
      <c r="C1480" s="3">
        <v>2022</v>
      </c>
      <c r="D1480" s="4">
        <v>2</v>
      </c>
      <c r="E1480" s="5">
        <v>19.5</v>
      </c>
      <c r="F1480" s="5">
        <v>5.25</v>
      </c>
      <c r="G1480" s="3" t="str">
        <f>VLOOKUP(Registros[[#This Row],[Cliente]],Cliente_Region[],2,FALSE)</f>
        <v>Chile</v>
      </c>
      <c r="H1480" s="3" t="str">
        <f>VLOOKUP(Registros[[#This Row],[Producto]],Producto[],2,FALSE)</f>
        <v>LAX</v>
      </c>
    </row>
    <row r="1481" spans="1:8" ht="20.100000000000001" customHeight="1" x14ac:dyDescent="0.25">
      <c r="A1481" s="3" t="s">
        <v>322</v>
      </c>
      <c r="B1481" s="3" t="s">
        <v>320</v>
      </c>
      <c r="C1481" s="3">
        <v>2022</v>
      </c>
      <c r="D1481" s="4">
        <v>4</v>
      </c>
      <c r="E1481" s="5">
        <v>19.5</v>
      </c>
      <c r="F1481" s="5">
        <v>5.97</v>
      </c>
      <c r="G1481" s="3" t="str">
        <f>VLOOKUP(Registros[[#This Row],[Cliente]],Cliente_Region[],2,FALSE)</f>
        <v>Chile</v>
      </c>
      <c r="H1481" s="3" t="str">
        <f>VLOOKUP(Registros[[#This Row],[Producto]],Producto[],2,FALSE)</f>
        <v>LAX</v>
      </c>
    </row>
    <row r="1482" spans="1:8" ht="20.100000000000001" customHeight="1" x14ac:dyDescent="0.25">
      <c r="A1482" s="3" t="s">
        <v>11</v>
      </c>
      <c r="B1482" s="3" t="s">
        <v>320</v>
      </c>
      <c r="C1482" s="3">
        <v>2022</v>
      </c>
      <c r="D1482" s="4">
        <v>1</v>
      </c>
      <c r="E1482" s="5">
        <v>39</v>
      </c>
      <c r="F1482" s="5">
        <v>15.08</v>
      </c>
      <c r="G1482" s="3" t="str">
        <f>VLOOKUP(Registros[[#This Row],[Cliente]],Cliente_Region[],2,FALSE)</f>
        <v>Chile</v>
      </c>
      <c r="H1482" s="3" t="str">
        <f>VLOOKUP(Registros[[#This Row],[Producto]],Producto[],2,FALSE)</f>
        <v>DONANY</v>
      </c>
    </row>
    <row r="1483" spans="1:8" ht="20.100000000000001" customHeight="1" x14ac:dyDescent="0.25">
      <c r="A1483" s="3" t="s">
        <v>292</v>
      </c>
      <c r="B1483" s="3" t="s">
        <v>320</v>
      </c>
      <c r="C1483" s="3">
        <v>2022</v>
      </c>
      <c r="D1483" s="4">
        <v>2</v>
      </c>
      <c r="E1483" s="5">
        <v>48</v>
      </c>
      <c r="F1483" s="5">
        <v>24.09</v>
      </c>
      <c r="G1483" s="3" t="str">
        <f>VLOOKUP(Registros[[#This Row],[Cliente]],Cliente_Region[],2,FALSE)</f>
        <v>Chile</v>
      </c>
      <c r="H1483" s="3" t="str">
        <f>VLOOKUP(Registros[[#This Row],[Producto]],Producto[],2,FALSE)</f>
        <v>QUOKAR</v>
      </c>
    </row>
    <row r="1484" spans="1:8" ht="20.100000000000001" customHeight="1" x14ac:dyDescent="0.25">
      <c r="A1484" s="3" t="s">
        <v>292</v>
      </c>
      <c r="B1484" s="3" t="s">
        <v>320</v>
      </c>
      <c r="C1484" s="3">
        <v>2022</v>
      </c>
      <c r="D1484" s="4">
        <v>3</v>
      </c>
      <c r="E1484" s="5">
        <v>60</v>
      </c>
      <c r="F1484" s="5">
        <v>30.11</v>
      </c>
      <c r="G1484" s="3" t="str">
        <f>VLOOKUP(Registros[[#This Row],[Cliente]],Cliente_Region[],2,FALSE)</f>
        <v>Chile</v>
      </c>
      <c r="H1484" s="3" t="str">
        <f>VLOOKUP(Registros[[#This Row],[Producto]],Producto[],2,FALSE)</f>
        <v>QUOKAR</v>
      </c>
    </row>
    <row r="1485" spans="1:8" ht="20.100000000000001" customHeight="1" x14ac:dyDescent="0.25">
      <c r="A1485" s="3" t="s">
        <v>292</v>
      </c>
      <c r="B1485" s="3" t="s">
        <v>320</v>
      </c>
      <c r="C1485" s="3">
        <v>2022</v>
      </c>
      <c r="D1485" s="4">
        <v>4</v>
      </c>
      <c r="E1485" s="5">
        <v>36</v>
      </c>
      <c r="F1485" s="5">
        <v>18.059999999999999</v>
      </c>
      <c r="G1485" s="3" t="str">
        <f>VLOOKUP(Registros[[#This Row],[Cliente]],Cliente_Region[],2,FALSE)</f>
        <v>Chile</v>
      </c>
      <c r="H1485" s="3" t="str">
        <f>VLOOKUP(Registros[[#This Row],[Producto]],Producto[],2,FALSE)</f>
        <v>QUOKAR</v>
      </c>
    </row>
    <row r="1486" spans="1:8" ht="20.100000000000001" customHeight="1" x14ac:dyDescent="0.25">
      <c r="A1486" s="3" t="s">
        <v>292</v>
      </c>
      <c r="B1486" s="3" t="s">
        <v>320</v>
      </c>
      <c r="C1486" s="3">
        <v>2022</v>
      </c>
      <c r="D1486" s="4">
        <v>5</v>
      </c>
      <c r="E1486" s="5">
        <v>36</v>
      </c>
      <c r="F1486" s="5">
        <v>18.059999999999999</v>
      </c>
      <c r="G1486" s="3" t="str">
        <f>VLOOKUP(Registros[[#This Row],[Cliente]],Cliente_Region[],2,FALSE)</f>
        <v>Chile</v>
      </c>
      <c r="H1486" s="3" t="str">
        <f>VLOOKUP(Registros[[#This Row],[Producto]],Producto[],2,FALSE)</f>
        <v>QUOKAR</v>
      </c>
    </row>
    <row r="1487" spans="1:8" ht="20.100000000000001" customHeight="1" x14ac:dyDescent="0.25">
      <c r="A1487" s="3" t="s">
        <v>292</v>
      </c>
      <c r="B1487" s="3" t="s">
        <v>320</v>
      </c>
      <c r="C1487" s="3">
        <v>2022</v>
      </c>
      <c r="D1487" s="4">
        <v>6</v>
      </c>
      <c r="E1487" s="5">
        <v>24</v>
      </c>
      <c r="F1487" s="5">
        <v>12.04</v>
      </c>
      <c r="G1487" s="3" t="str">
        <f>VLOOKUP(Registros[[#This Row],[Cliente]],Cliente_Region[],2,FALSE)</f>
        <v>Chile</v>
      </c>
      <c r="H1487" s="3" t="str">
        <f>VLOOKUP(Registros[[#This Row],[Producto]],Producto[],2,FALSE)</f>
        <v>QUOKAR</v>
      </c>
    </row>
    <row r="1488" spans="1:8" ht="20.100000000000001" customHeight="1" x14ac:dyDescent="0.25">
      <c r="A1488" s="3" t="s">
        <v>323</v>
      </c>
      <c r="B1488" s="3" t="s">
        <v>320</v>
      </c>
      <c r="C1488" s="3">
        <v>2022</v>
      </c>
      <c r="D1488" s="4">
        <v>1</v>
      </c>
      <c r="E1488" s="5">
        <v>14.25</v>
      </c>
      <c r="F1488" s="5">
        <v>1.43</v>
      </c>
      <c r="G1488" s="3" t="str">
        <f>VLOOKUP(Registros[[#This Row],[Cliente]],Cliente_Region[],2,FALSE)</f>
        <v>Chile</v>
      </c>
      <c r="H1488" s="3" t="str">
        <f>VLOOKUP(Registros[[#This Row],[Producto]],Producto[],2,FALSE)</f>
        <v>GAMBO</v>
      </c>
    </row>
    <row r="1489" spans="1:8" ht="20.100000000000001" customHeight="1" x14ac:dyDescent="0.25">
      <c r="A1489" s="3" t="s">
        <v>324</v>
      </c>
      <c r="B1489" s="3" t="s">
        <v>320</v>
      </c>
      <c r="C1489" s="3">
        <v>2022</v>
      </c>
      <c r="D1489" s="4">
        <v>6</v>
      </c>
      <c r="E1489" s="5">
        <v>14.25</v>
      </c>
      <c r="F1489" s="5">
        <v>1.8</v>
      </c>
      <c r="G1489" s="3" t="str">
        <f>VLOOKUP(Registros[[#This Row],[Cliente]],Cliente_Region[],2,FALSE)</f>
        <v>Chile</v>
      </c>
      <c r="H1489" s="3" t="str">
        <f>VLOOKUP(Registros[[#This Row],[Producto]],Producto[],2,FALSE)</f>
        <v>DONANY</v>
      </c>
    </row>
    <row r="1490" spans="1:8" ht="20.100000000000001" customHeight="1" x14ac:dyDescent="0.25">
      <c r="A1490" s="3" t="s">
        <v>293</v>
      </c>
      <c r="B1490" s="3" t="s">
        <v>320</v>
      </c>
      <c r="C1490" s="3">
        <v>2022</v>
      </c>
      <c r="D1490" s="4">
        <v>1</v>
      </c>
      <c r="E1490" s="5">
        <v>45</v>
      </c>
      <c r="F1490" s="5">
        <v>5.84</v>
      </c>
      <c r="G1490" s="3" t="str">
        <f>VLOOKUP(Registros[[#This Row],[Cliente]],Cliente_Region[],2,FALSE)</f>
        <v>Chile</v>
      </c>
      <c r="H1490" s="3" t="str">
        <f>VLOOKUP(Registros[[#This Row],[Producto]],Producto[],2,FALSE)</f>
        <v>QUOKAR</v>
      </c>
    </row>
    <row r="1491" spans="1:8" ht="20.100000000000001" customHeight="1" x14ac:dyDescent="0.25">
      <c r="A1491" s="3" t="s">
        <v>294</v>
      </c>
      <c r="B1491" s="3" t="s">
        <v>320</v>
      </c>
      <c r="C1491" s="3">
        <v>2022</v>
      </c>
      <c r="D1491" s="4">
        <v>2</v>
      </c>
      <c r="E1491" s="5">
        <v>60</v>
      </c>
      <c r="F1491" s="5">
        <v>8.9</v>
      </c>
      <c r="G1491" s="3" t="str">
        <f>VLOOKUP(Registros[[#This Row],[Cliente]],Cliente_Region[],2,FALSE)</f>
        <v>Chile</v>
      </c>
      <c r="H1491" s="3" t="str">
        <f>VLOOKUP(Registros[[#This Row],[Producto]],Producto[],2,FALSE)</f>
        <v>CHOTUS</v>
      </c>
    </row>
    <row r="1492" spans="1:8" ht="20.100000000000001" customHeight="1" x14ac:dyDescent="0.25">
      <c r="A1492" s="3" t="s">
        <v>294</v>
      </c>
      <c r="B1492" s="3" t="s">
        <v>320</v>
      </c>
      <c r="C1492" s="3">
        <v>2022</v>
      </c>
      <c r="D1492" s="4">
        <v>3</v>
      </c>
      <c r="E1492" s="5">
        <v>48</v>
      </c>
      <c r="F1492" s="5">
        <v>8.99</v>
      </c>
      <c r="G1492" s="3" t="str">
        <f>VLOOKUP(Registros[[#This Row],[Cliente]],Cliente_Region[],2,FALSE)</f>
        <v>Chile</v>
      </c>
      <c r="H1492" s="3" t="str">
        <f>VLOOKUP(Registros[[#This Row],[Producto]],Producto[],2,FALSE)</f>
        <v>CHOTUS</v>
      </c>
    </row>
    <row r="1493" spans="1:8" ht="20.100000000000001" customHeight="1" x14ac:dyDescent="0.25">
      <c r="A1493" s="3" t="s">
        <v>294</v>
      </c>
      <c r="B1493" s="3" t="s">
        <v>320</v>
      </c>
      <c r="C1493" s="3">
        <v>2022</v>
      </c>
      <c r="D1493" s="4">
        <v>4</v>
      </c>
      <c r="E1493" s="5">
        <v>48</v>
      </c>
      <c r="F1493" s="5">
        <v>9.3800000000000008</v>
      </c>
      <c r="G1493" s="3" t="str">
        <f>VLOOKUP(Registros[[#This Row],[Cliente]],Cliente_Region[],2,FALSE)</f>
        <v>Chile</v>
      </c>
      <c r="H1493" s="3" t="str">
        <f>VLOOKUP(Registros[[#This Row],[Producto]],Producto[],2,FALSE)</f>
        <v>CHOTUS</v>
      </c>
    </row>
    <row r="1494" spans="1:8" ht="20.100000000000001" customHeight="1" x14ac:dyDescent="0.25">
      <c r="A1494" s="3" t="s">
        <v>294</v>
      </c>
      <c r="B1494" s="3" t="s">
        <v>320</v>
      </c>
      <c r="C1494" s="3">
        <v>2022</v>
      </c>
      <c r="D1494" s="4">
        <v>5</v>
      </c>
      <c r="E1494" s="5">
        <v>24</v>
      </c>
      <c r="F1494" s="5">
        <v>4.41</v>
      </c>
      <c r="G1494" s="3" t="str">
        <f>VLOOKUP(Registros[[#This Row],[Cliente]],Cliente_Region[],2,FALSE)</f>
        <v>Chile</v>
      </c>
      <c r="H1494" s="3" t="str">
        <f>VLOOKUP(Registros[[#This Row],[Producto]],Producto[],2,FALSE)</f>
        <v>CHOTUS</v>
      </c>
    </row>
    <row r="1495" spans="1:8" ht="20.100000000000001" customHeight="1" x14ac:dyDescent="0.25">
      <c r="A1495" s="3" t="s">
        <v>294</v>
      </c>
      <c r="B1495" s="3" t="s">
        <v>320</v>
      </c>
      <c r="C1495" s="3">
        <v>2022</v>
      </c>
      <c r="D1495" s="4">
        <v>6</v>
      </c>
      <c r="E1495" s="5">
        <v>36</v>
      </c>
      <c r="F1495" s="5">
        <v>6.6</v>
      </c>
      <c r="G1495" s="3" t="str">
        <f>VLOOKUP(Registros[[#This Row],[Cliente]],Cliente_Region[],2,FALSE)</f>
        <v>Chile</v>
      </c>
      <c r="H1495" s="3" t="str">
        <f>VLOOKUP(Registros[[#This Row],[Producto]],Producto[],2,FALSE)</f>
        <v>CHOTUS</v>
      </c>
    </row>
    <row r="1496" spans="1:8" ht="20.100000000000001" customHeight="1" x14ac:dyDescent="0.25">
      <c r="A1496" s="3" t="s">
        <v>304</v>
      </c>
      <c r="B1496" s="3" t="s">
        <v>320</v>
      </c>
      <c r="C1496" s="3">
        <v>2022</v>
      </c>
      <c r="D1496" s="4">
        <v>1</v>
      </c>
      <c r="E1496" s="5">
        <v>61.5</v>
      </c>
      <c r="F1496" s="5">
        <v>34.56</v>
      </c>
      <c r="G1496" s="3" t="str">
        <f>VLOOKUP(Registros[[#This Row],[Cliente]],Cliente_Region[],2,FALSE)</f>
        <v>Chile</v>
      </c>
      <c r="H1496" s="3" t="str">
        <f>VLOOKUP(Registros[[#This Row],[Producto]],Producto[],2,FALSE)</f>
        <v>QUOKAR</v>
      </c>
    </row>
    <row r="1497" spans="1:8" ht="20.100000000000001" customHeight="1" x14ac:dyDescent="0.25">
      <c r="A1497" s="3" t="s">
        <v>305</v>
      </c>
      <c r="B1497" s="3" t="s">
        <v>320</v>
      </c>
      <c r="C1497" s="3">
        <v>2022</v>
      </c>
      <c r="D1497" s="4">
        <v>2</v>
      </c>
      <c r="E1497" s="5">
        <v>78</v>
      </c>
      <c r="F1497" s="5">
        <v>42.55</v>
      </c>
      <c r="G1497" s="3" t="str">
        <f>VLOOKUP(Registros[[#This Row],[Cliente]],Cliente_Region[],2,FALSE)</f>
        <v>Chile</v>
      </c>
      <c r="H1497" s="3" t="str">
        <f>VLOOKUP(Registros[[#This Row],[Producto]],Producto[],2,FALSE)</f>
        <v>DAWNE</v>
      </c>
    </row>
    <row r="1498" spans="1:8" ht="20.100000000000001" customHeight="1" x14ac:dyDescent="0.25">
      <c r="A1498" s="3" t="s">
        <v>305</v>
      </c>
      <c r="B1498" s="3" t="s">
        <v>320</v>
      </c>
      <c r="C1498" s="3">
        <v>2022</v>
      </c>
      <c r="D1498" s="4">
        <v>3</v>
      </c>
      <c r="E1498" s="5">
        <v>65</v>
      </c>
      <c r="F1498" s="5">
        <v>42.55</v>
      </c>
      <c r="G1498" s="3" t="str">
        <f>VLOOKUP(Registros[[#This Row],[Cliente]],Cliente_Region[],2,FALSE)</f>
        <v>Chile</v>
      </c>
      <c r="H1498" s="3" t="str">
        <f>VLOOKUP(Registros[[#This Row],[Producto]],Producto[],2,FALSE)</f>
        <v>DAWNE</v>
      </c>
    </row>
    <row r="1499" spans="1:8" ht="20.100000000000001" customHeight="1" x14ac:dyDescent="0.25">
      <c r="A1499" s="3" t="s">
        <v>305</v>
      </c>
      <c r="B1499" s="3" t="s">
        <v>320</v>
      </c>
      <c r="C1499" s="3">
        <v>2022</v>
      </c>
      <c r="D1499" s="4">
        <v>4</v>
      </c>
      <c r="E1499" s="5">
        <v>65</v>
      </c>
      <c r="F1499" s="5">
        <v>42.55</v>
      </c>
      <c r="G1499" s="3" t="str">
        <f>VLOOKUP(Registros[[#This Row],[Cliente]],Cliente_Region[],2,FALSE)</f>
        <v>Chile</v>
      </c>
      <c r="H1499" s="3" t="str">
        <f>VLOOKUP(Registros[[#This Row],[Producto]],Producto[],2,FALSE)</f>
        <v>DAWNE</v>
      </c>
    </row>
    <row r="1500" spans="1:8" ht="20.100000000000001" customHeight="1" x14ac:dyDescent="0.25">
      <c r="A1500" s="3" t="s">
        <v>305</v>
      </c>
      <c r="B1500" s="3" t="s">
        <v>320</v>
      </c>
      <c r="C1500" s="3">
        <v>2022</v>
      </c>
      <c r="D1500" s="4">
        <v>5</v>
      </c>
      <c r="E1500" s="5">
        <v>52</v>
      </c>
      <c r="F1500" s="5">
        <v>34.04</v>
      </c>
      <c r="G1500" s="3" t="str">
        <f>VLOOKUP(Registros[[#This Row],[Cliente]],Cliente_Region[],2,FALSE)</f>
        <v>Chile</v>
      </c>
      <c r="H1500" s="3" t="str">
        <f>VLOOKUP(Registros[[#This Row],[Producto]],Producto[],2,FALSE)</f>
        <v>DAWNE</v>
      </c>
    </row>
    <row r="1501" spans="1:8" ht="20.100000000000001" customHeight="1" x14ac:dyDescent="0.25">
      <c r="A1501" s="3" t="s">
        <v>305</v>
      </c>
      <c r="B1501" s="3" t="s">
        <v>320</v>
      </c>
      <c r="C1501" s="3">
        <v>2022</v>
      </c>
      <c r="D1501" s="4">
        <v>6</v>
      </c>
      <c r="E1501" s="5">
        <v>39</v>
      </c>
      <c r="F1501" s="5">
        <v>25.53</v>
      </c>
      <c r="G1501" s="3" t="str">
        <f>VLOOKUP(Registros[[#This Row],[Cliente]],Cliente_Region[],2,FALSE)</f>
        <v>Chile</v>
      </c>
      <c r="H1501" s="3" t="str">
        <f>VLOOKUP(Registros[[#This Row],[Producto]],Producto[],2,FALSE)</f>
        <v>DAWNE</v>
      </c>
    </row>
    <row r="1502" spans="1:8" ht="20.100000000000001" customHeight="1" x14ac:dyDescent="0.25">
      <c r="A1502" s="3" t="s">
        <v>310</v>
      </c>
      <c r="B1502" s="3" t="s">
        <v>320</v>
      </c>
      <c r="C1502" s="3">
        <v>2022</v>
      </c>
      <c r="D1502" s="4">
        <v>1</v>
      </c>
      <c r="E1502" s="5">
        <v>45</v>
      </c>
      <c r="F1502" s="5">
        <v>28.44</v>
      </c>
      <c r="G1502" s="3" t="str">
        <f>VLOOKUP(Registros[[#This Row],[Cliente]],Cliente_Region[],2,FALSE)</f>
        <v>Chile</v>
      </c>
      <c r="H1502" s="3" t="str">
        <f>VLOOKUP(Registros[[#This Row],[Producto]],Producto[],2,FALSE)</f>
        <v>DONANY</v>
      </c>
    </row>
    <row r="1503" spans="1:8" ht="20.100000000000001" customHeight="1" x14ac:dyDescent="0.25">
      <c r="A1503" s="3" t="s">
        <v>311</v>
      </c>
      <c r="B1503" s="3" t="s">
        <v>320</v>
      </c>
      <c r="C1503" s="3">
        <v>2022</v>
      </c>
      <c r="D1503" s="4">
        <v>2</v>
      </c>
      <c r="E1503" s="5">
        <v>45</v>
      </c>
      <c r="F1503" s="5">
        <v>28.44</v>
      </c>
      <c r="G1503" s="3" t="str">
        <f>VLOOKUP(Registros[[#This Row],[Cliente]],Cliente_Region[],2,FALSE)</f>
        <v>Chile</v>
      </c>
      <c r="H1503" s="3" t="str">
        <f>VLOOKUP(Registros[[#This Row],[Producto]],Producto[],2,FALSE)</f>
        <v>CHOTUS</v>
      </c>
    </row>
    <row r="1504" spans="1:8" ht="20.100000000000001" customHeight="1" x14ac:dyDescent="0.25">
      <c r="A1504" s="3" t="s">
        <v>311</v>
      </c>
      <c r="B1504" s="3" t="s">
        <v>320</v>
      </c>
      <c r="C1504" s="3">
        <v>2022</v>
      </c>
      <c r="D1504" s="4">
        <v>3</v>
      </c>
      <c r="E1504" s="5">
        <v>45</v>
      </c>
      <c r="F1504" s="5">
        <v>28.44</v>
      </c>
      <c r="G1504" s="3" t="str">
        <f>VLOOKUP(Registros[[#This Row],[Cliente]],Cliente_Region[],2,FALSE)</f>
        <v>Chile</v>
      </c>
      <c r="H1504" s="3" t="str">
        <f>VLOOKUP(Registros[[#This Row],[Producto]],Producto[],2,FALSE)</f>
        <v>CHOTUS</v>
      </c>
    </row>
    <row r="1505" spans="1:8" ht="20.100000000000001" customHeight="1" x14ac:dyDescent="0.25">
      <c r="A1505" s="3" t="s">
        <v>311</v>
      </c>
      <c r="B1505" s="3" t="s">
        <v>320</v>
      </c>
      <c r="C1505" s="3">
        <v>2022</v>
      </c>
      <c r="D1505" s="4">
        <v>4</v>
      </c>
      <c r="E1505" s="5">
        <v>60</v>
      </c>
      <c r="F1505" s="5">
        <v>37.92</v>
      </c>
      <c r="G1505" s="3" t="str">
        <f>VLOOKUP(Registros[[#This Row],[Cliente]],Cliente_Region[],2,FALSE)</f>
        <v>Chile</v>
      </c>
      <c r="H1505" s="3" t="str">
        <f>VLOOKUP(Registros[[#This Row],[Producto]],Producto[],2,FALSE)</f>
        <v>CHOTUS</v>
      </c>
    </row>
    <row r="1506" spans="1:8" ht="20.100000000000001" customHeight="1" x14ac:dyDescent="0.25">
      <c r="A1506" s="3" t="s">
        <v>311</v>
      </c>
      <c r="B1506" s="3" t="s">
        <v>320</v>
      </c>
      <c r="C1506" s="3">
        <v>2022</v>
      </c>
      <c r="D1506" s="4">
        <v>5</v>
      </c>
      <c r="E1506" s="5">
        <v>45</v>
      </c>
      <c r="F1506" s="5">
        <v>28.44</v>
      </c>
      <c r="G1506" s="3" t="str">
        <f>VLOOKUP(Registros[[#This Row],[Cliente]],Cliente_Region[],2,FALSE)</f>
        <v>Chile</v>
      </c>
      <c r="H1506" s="3" t="str">
        <f>VLOOKUP(Registros[[#This Row],[Producto]],Producto[],2,FALSE)</f>
        <v>CHOTUS</v>
      </c>
    </row>
    <row r="1507" spans="1:8" ht="20.100000000000001" customHeight="1" x14ac:dyDescent="0.25">
      <c r="A1507" s="3" t="s">
        <v>311</v>
      </c>
      <c r="B1507" s="3" t="s">
        <v>320</v>
      </c>
      <c r="C1507" s="3">
        <v>2022</v>
      </c>
      <c r="D1507" s="4">
        <v>6</v>
      </c>
      <c r="E1507" s="5">
        <v>45</v>
      </c>
      <c r="F1507" s="5">
        <v>28.44</v>
      </c>
      <c r="G1507" s="3" t="str">
        <f>VLOOKUP(Registros[[#This Row],[Cliente]],Cliente_Region[],2,FALSE)</f>
        <v>Chile</v>
      </c>
      <c r="H1507" s="3" t="str">
        <f>VLOOKUP(Registros[[#This Row],[Producto]],Producto[],2,FALSE)</f>
        <v>CHOTUS</v>
      </c>
    </row>
    <row r="1508" spans="1:8" ht="20.100000000000001" customHeight="1" x14ac:dyDescent="0.25">
      <c r="A1508" s="3" t="s">
        <v>295</v>
      </c>
      <c r="B1508" s="3" t="s">
        <v>320</v>
      </c>
      <c r="C1508" s="3">
        <v>2022</v>
      </c>
      <c r="D1508" s="4">
        <v>1</v>
      </c>
      <c r="E1508" s="5">
        <v>20</v>
      </c>
      <c r="F1508" s="5">
        <v>8.9600000000000009</v>
      </c>
      <c r="G1508" s="3" t="str">
        <f>VLOOKUP(Registros[[#This Row],[Cliente]],Cliente_Region[],2,FALSE)</f>
        <v>Chile</v>
      </c>
      <c r="H1508" s="3" t="str">
        <f>VLOOKUP(Registros[[#This Row],[Producto]],Producto[],2,FALSE)</f>
        <v>QUOKAR</v>
      </c>
    </row>
    <row r="1509" spans="1:8" ht="20.100000000000001" customHeight="1" x14ac:dyDescent="0.25">
      <c r="A1509" s="3" t="s">
        <v>296</v>
      </c>
      <c r="B1509" s="3" t="s">
        <v>320</v>
      </c>
      <c r="C1509" s="3">
        <v>2022</v>
      </c>
      <c r="D1509" s="4">
        <v>2</v>
      </c>
      <c r="E1509" s="5">
        <v>12.75</v>
      </c>
      <c r="F1509" s="5">
        <v>7.23</v>
      </c>
      <c r="G1509" s="3" t="str">
        <f>VLOOKUP(Registros[[#This Row],[Cliente]],Cliente_Region[],2,FALSE)</f>
        <v>Chile</v>
      </c>
      <c r="H1509" s="3" t="str">
        <f>VLOOKUP(Registros[[#This Row],[Producto]],Producto[],2,FALSE)</f>
        <v>SALF</v>
      </c>
    </row>
    <row r="1510" spans="1:8" ht="20.100000000000001" customHeight="1" x14ac:dyDescent="0.25">
      <c r="A1510" s="3" t="s">
        <v>296</v>
      </c>
      <c r="B1510" s="3" t="s">
        <v>320</v>
      </c>
      <c r="C1510" s="3">
        <v>2022</v>
      </c>
      <c r="D1510" s="4">
        <v>3</v>
      </c>
      <c r="E1510" s="5">
        <v>10</v>
      </c>
      <c r="F1510" s="5">
        <v>4.4800000000000004</v>
      </c>
      <c r="G1510" s="3" t="str">
        <f>VLOOKUP(Registros[[#This Row],[Cliente]],Cliente_Region[],2,FALSE)</f>
        <v>Chile</v>
      </c>
      <c r="H1510" s="3" t="str">
        <f>VLOOKUP(Registros[[#This Row],[Producto]],Producto[],2,FALSE)</f>
        <v>SALF</v>
      </c>
    </row>
    <row r="1511" spans="1:8" ht="20.100000000000001" customHeight="1" x14ac:dyDescent="0.25">
      <c r="A1511" s="3" t="s">
        <v>296</v>
      </c>
      <c r="B1511" s="3" t="s">
        <v>320</v>
      </c>
      <c r="C1511" s="3">
        <v>2022</v>
      </c>
      <c r="D1511" s="4">
        <v>4</v>
      </c>
      <c r="E1511" s="5">
        <v>27.5</v>
      </c>
      <c r="F1511" s="5">
        <v>16.46</v>
      </c>
      <c r="G1511" s="3" t="str">
        <f>VLOOKUP(Registros[[#This Row],[Cliente]],Cliente_Region[],2,FALSE)</f>
        <v>Chile</v>
      </c>
      <c r="H1511" s="3" t="str">
        <f>VLOOKUP(Registros[[#This Row],[Producto]],Producto[],2,FALSE)</f>
        <v>SALF</v>
      </c>
    </row>
    <row r="1512" spans="1:8" ht="20.100000000000001" customHeight="1" x14ac:dyDescent="0.25">
      <c r="A1512" s="3" t="s">
        <v>296</v>
      </c>
      <c r="B1512" s="3" t="s">
        <v>320</v>
      </c>
      <c r="C1512" s="3">
        <v>2022</v>
      </c>
      <c r="D1512" s="4">
        <v>5</v>
      </c>
      <c r="E1512" s="5">
        <v>13.75</v>
      </c>
      <c r="F1512" s="5">
        <v>8.23</v>
      </c>
      <c r="G1512" s="3" t="str">
        <f>VLOOKUP(Registros[[#This Row],[Cliente]],Cliente_Region[],2,FALSE)</f>
        <v>Chile</v>
      </c>
      <c r="H1512" s="3" t="str">
        <f>VLOOKUP(Registros[[#This Row],[Producto]],Producto[],2,FALSE)</f>
        <v>SALF</v>
      </c>
    </row>
    <row r="1513" spans="1:8" ht="20.100000000000001" customHeight="1" x14ac:dyDescent="0.25">
      <c r="A1513" s="3" t="s">
        <v>296</v>
      </c>
      <c r="B1513" s="3" t="s">
        <v>320</v>
      </c>
      <c r="C1513" s="3">
        <v>2022</v>
      </c>
      <c r="D1513" s="4">
        <v>6</v>
      </c>
      <c r="E1513" s="5">
        <v>41.25</v>
      </c>
      <c r="F1513" s="5">
        <v>24.69</v>
      </c>
      <c r="G1513" s="3" t="str">
        <f>VLOOKUP(Registros[[#This Row],[Cliente]],Cliente_Region[],2,FALSE)</f>
        <v>Chile</v>
      </c>
      <c r="H1513" s="3" t="str">
        <f>VLOOKUP(Registros[[#This Row],[Producto]],Producto[],2,FALSE)</f>
        <v>SALF</v>
      </c>
    </row>
    <row r="1514" spans="1:8" ht="20.100000000000001" customHeight="1" x14ac:dyDescent="0.25">
      <c r="A1514" s="3" t="s">
        <v>38</v>
      </c>
      <c r="B1514" s="3" t="s">
        <v>320</v>
      </c>
      <c r="C1514" s="3">
        <v>2022</v>
      </c>
      <c r="D1514" s="4">
        <v>5</v>
      </c>
      <c r="E1514" s="5">
        <v>23.8</v>
      </c>
      <c r="F1514" s="5">
        <v>13.46</v>
      </c>
      <c r="G1514" s="3" t="str">
        <f>VLOOKUP(Registros[[#This Row],[Cliente]],Cliente_Region[],2,FALSE)</f>
        <v>Chile</v>
      </c>
      <c r="H1514" s="3" t="str">
        <f>VLOOKUP(Registros[[#This Row],[Producto]],Producto[],2,FALSE)</f>
        <v>LAX</v>
      </c>
    </row>
    <row r="1515" spans="1:8" ht="20.100000000000001" customHeight="1" x14ac:dyDescent="0.25">
      <c r="A1515" s="3" t="s">
        <v>39</v>
      </c>
      <c r="B1515" s="3" t="s">
        <v>320</v>
      </c>
      <c r="C1515" s="3">
        <v>2022</v>
      </c>
      <c r="D1515" s="4">
        <v>6</v>
      </c>
      <c r="E1515" s="5">
        <v>23.8</v>
      </c>
      <c r="F1515" s="5">
        <v>13.46</v>
      </c>
      <c r="G1515" s="3" t="str">
        <f>VLOOKUP(Registros[[#This Row],[Cliente]],Cliente_Region[],2,FALSE)</f>
        <v>Chile</v>
      </c>
      <c r="H1515" s="3" t="str">
        <f>VLOOKUP(Registros[[#This Row],[Producto]],Producto[],2,FALSE)</f>
        <v>SALF</v>
      </c>
    </row>
    <row r="1516" spans="1:8" ht="20.100000000000001" customHeight="1" x14ac:dyDescent="0.25">
      <c r="A1516" s="3" t="s">
        <v>40</v>
      </c>
      <c r="B1516" s="3" t="s">
        <v>320</v>
      </c>
      <c r="C1516" s="3">
        <v>2022</v>
      </c>
      <c r="D1516" s="4">
        <v>6</v>
      </c>
      <c r="E1516" s="5">
        <v>21.5</v>
      </c>
      <c r="F1516" s="5">
        <v>11.58</v>
      </c>
      <c r="G1516" s="3" t="str">
        <f>VLOOKUP(Registros[[#This Row],[Cliente]],Cliente_Region[],2,FALSE)</f>
        <v>Chile</v>
      </c>
      <c r="H1516" s="3" t="str">
        <f>VLOOKUP(Registros[[#This Row],[Producto]],Producto[],2,FALSE)</f>
        <v>DAWNE</v>
      </c>
    </row>
    <row r="1517" spans="1:8" ht="20.100000000000001" customHeight="1" x14ac:dyDescent="0.25">
      <c r="A1517" s="3" t="s">
        <v>282</v>
      </c>
      <c r="B1517" s="3" t="s">
        <v>320</v>
      </c>
      <c r="C1517" s="3">
        <v>2022</v>
      </c>
      <c r="D1517" s="4">
        <v>1</v>
      </c>
      <c r="E1517" s="5">
        <v>42.75</v>
      </c>
      <c r="F1517" s="5">
        <v>21.72</v>
      </c>
      <c r="G1517" s="3" t="str">
        <f>VLOOKUP(Registros[[#This Row],[Cliente]],Cliente_Region[],2,FALSE)</f>
        <v>Chile</v>
      </c>
      <c r="H1517" s="3" t="str">
        <f>VLOOKUP(Registros[[#This Row],[Producto]],Producto[],2,FALSE)</f>
        <v>DAWNE</v>
      </c>
    </row>
    <row r="1518" spans="1:8" ht="20.100000000000001" customHeight="1" x14ac:dyDescent="0.25">
      <c r="A1518" s="3" t="s">
        <v>114</v>
      </c>
      <c r="B1518" s="3" t="s">
        <v>320</v>
      </c>
      <c r="C1518" s="3">
        <v>2022</v>
      </c>
      <c r="D1518" s="4">
        <v>2</v>
      </c>
      <c r="E1518" s="5">
        <v>48</v>
      </c>
      <c r="F1518" s="5">
        <v>17.98</v>
      </c>
      <c r="G1518" s="3" t="str">
        <f>VLOOKUP(Registros[[#This Row],[Cliente]],Cliente_Region[],2,FALSE)</f>
        <v>Chile</v>
      </c>
      <c r="H1518" s="3" t="str">
        <f>VLOOKUP(Registros[[#This Row],[Producto]],Producto[],2,FALSE)</f>
        <v>DAWNE</v>
      </c>
    </row>
    <row r="1519" spans="1:8" ht="20.100000000000001" customHeight="1" x14ac:dyDescent="0.25">
      <c r="A1519" s="3" t="s">
        <v>114</v>
      </c>
      <c r="B1519" s="3" t="s">
        <v>320</v>
      </c>
      <c r="C1519" s="3">
        <v>2022</v>
      </c>
      <c r="D1519" s="4">
        <v>3</v>
      </c>
      <c r="E1519" s="5">
        <v>30.25</v>
      </c>
      <c r="F1519" s="5">
        <v>16.23</v>
      </c>
      <c r="G1519" s="3" t="str">
        <f>VLOOKUP(Registros[[#This Row],[Cliente]],Cliente_Region[],2,FALSE)</f>
        <v>Chile</v>
      </c>
      <c r="H1519" s="3" t="str">
        <f>VLOOKUP(Registros[[#This Row],[Producto]],Producto[],2,FALSE)</f>
        <v>DAWNE</v>
      </c>
    </row>
    <row r="1520" spans="1:8" ht="20.100000000000001" customHeight="1" x14ac:dyDescent="0.25">
      <c r="A1520" s="3" t="s">
        <v>114</v>
      </c>
      <c r="B1520" s="3" t="s">
        <v>320</v>
      </c>
      <c r="C1520" s="3">
        <v>2022</v>
      </c>
      <c r="D1520" s="4">
        <v>4</v>
      </c>
      <c r="E1520" s="5">
        <v>28.5</v>
      </c>
      <c r="F1520" s="5">
        <v>14.48</v>
      </c>
      <c r="G1520" s="3" t="str">
        <f>VLOOKUP(Registros[[#This Row],[Cliente]],Cliente_Region[],2,FALSE)</f>
        <v>Chile</v>
      </c>
      <c r="H1520" s="3" t="str">
        <f>VLOOKUP(Registros[[#This Row],[Producto]],Producto[],2,FALSE)</f>
        <v>DAWNE</v>
      </c>
    </row>
    <row r="1521" spans="1:8" ht="20.100000000000001" customHeight="1" x14ac:dyDescent="0.25">
      <c r="A1521" s="3" t="s">
        <v>114</v>
      </c>
      <c r="B1521" s="3" t="s">
        <v>320</v>
      </c>
      <c r="C1521" s="3">
        <v>2022</v>
      </c>
      <c r="D1521" s="4">
        <v>5</v>
      </c>
      <c r="E1521" s="5">
        <v>14.25</v>
      </c>
      <c r="F1521" s="5">
        <v>7.24</v>
      </c>
      <c r="G1521" s="3" t="str">
        <f>VLOOKUP(Registros[[#This Row],[Cliente]],Cliente_Region[],2,FALSE)</f>
        <v>Chile</v>
      </c>
      <c r="H1521" s="3" t="str">
        <f>VLOOKUP(Registros[[#This Row],[Producto]],Producto[],2,FALSE)</f>
        <v>DAWNE</v>
      </c>
    </row>
    <row r="1522" spans="1:8" ht="20.100000000000001" customHeight="1" x14ac:dyDescent="0.25">
      <c r="A1522" s="3" t="s">
        <v>114</v>
      </c>
      <c r="B1522" s="3" t="s">
        <v>320</v>
      </c>
      <c r="C1522" s="3">
        <v>2022</v>
      </c>
      <c r="D1522" s="4">
        <v>6</v>
      </c>
      <c r="E1522" s="5">
        <v>42.75</v>
      </c>
      <c r="F1522" s="5">
        <v>21.72</v>
      </c>
      <c r="G1522" s="3" t="str">
        <f>VLOOKUP(Registros[[#This Row],[Cliente]],Cliente_Region[],2,FALSE)</f>
        <v>Chile</v>
      </c>
      <c r="H1522" s="3" t="str">
        <f>VLOOKUP(Registros[[#This Row],[Producto]],Producto[],2,FALSE)</f>
        <v>DAWNE</v>
      </c>
    </row>
    <row r="1523" spans="1:8" ht="20.100000000000001" customHeight="1" x14ac:dyDescent="0.25">
      <c r="A1523" s="3" t="s">
        <v>135</v>
      </c>
      <c r="B1523" s="3" t="s">
        <v>320</v>
      </c>
      <c r="C1523" s="3">
        <v>2022</v>
      </c>
      <c r="D1523" s="4">
        <v>1</v>
      </c>
      <c r="E1523" s="5">
        <v>73</v>
      </c>
      <c r="F1523" s="5">
        <v>46.04</v>
      </c>
      <c r="G1523" s="3" t="str">
        <f>VLOOKUP(Registros[[#This Row],[Cliente]],Cliente_Region[],2,FALSE)</f>
        <v>Chile</v>
      </c>
      <c r="H1523" s="3" t="str">
        <f>VLOOKUP(Registros[[#This Row],[Producto]],Producto[],2,FALSE)</f>
        <v>GAMBO</v>
      </c>
    </row>
    <row r="1524" spans="1:8" ht="20.100000000000001" customHeight="1" x14ac:dyDescent="0.25">
      <c r="A1524" s="3" t="s">
        <v>93</v>
      </c>
      <c r="B1524" s="3" t="s">
        <v>320</v>
      </c>
      <c r="C1524" s="3">
        <v>2022</v>
      </c>
      <c r="D1524" s="4">
        <v>2</v>
      </c>
      <c r="E1524" s="5">
        <v>74.25</v>
      </c>
      <c r="F1524" s="5">
        <v>54.03</v>
      </c>
      <c r="G1524" s="3" t="str">
        <f>VLOOKUP(Registros[[#This Row],[Cliente]],Cliente_Region[],2,FALSE)</f>
        <v>Chile</v>
      </c>
      <c r="H1524" s="3" t="str">
        <f>VLOOKUP(Registros[[#This Row],[Producto]],Producto[],2,FALSE)</f>
        <v>GAMBO</v>
      </c>
    </row>
    <row r="1525" spans="1:8" ht="20.100000000000001" customHeight="1" x14ac:dyDescent="0.25">
      <c r="A1525" s="3" t="s">
        <v>93</v>
      </c>
      <c r="B1525" s="3" t="s">
        <v>320</v>
      </c>
      <c r="C1525" s="3">
        <v>2022</v>
      </c>
      <c r="D1525" s="4">
        <v>3</v>
      </c>
      <c r="E1525" s="5">
        <v>73</v>
      </c>
      <c r="F1525" s="5">
        <v>46.04</v>
      </c>
      <c r="G1525" s="3" t="str">
        <f>VLOOKUP(Registros[[#This Row],[Cliente]],Cliente_Region[],2,FALSE)</f>
        <v>Chile</v>
      </c>
      <c r="H1525" s="3" t="str">
        <f>VLOOKUP(Registros[[#This Row],[Producto]],Producto[],2,FALSE)</f>
        <v>GAMBO</v>
      </c>
    </row>
    <row r="1526" spans="1:8" ht="20.100000000000001" customHeight="1" x14ac:dyDescent="0.25">
      <c r="A1526" s="3" t="s">
        <v>93</v>
      </c>
      <c r="B1526" s="3" t="s">
        <v>320</v>
      </c>
      <c r="C1526" s="3">
        <v>2022</v>
      </c>
      <c r="D1526" s="4">
        <v>4</v>
      </c>
      <c r="E1526" s="5">
        <v>79.5</v>
      </c>
      <c r="F1526" s="5">
        <v>52.54</v>
      </c>
      <c r="G1526" s="3" t="str">
        <f>VLOOKUP(Registros[[#This Row],[Cliente]],Cliente_Region[],2,FALSE)</f>
        <v>Chile</v>
      </c>
      <c r="H1526" s="3" t="str">
        <f>VLOOKUP(Registros[[#This Row],[Producto]],Producto[],2,FALSE)</f>
        <v>GAMBO</v>
      </c>
    </row>
    <row r="1527" spans="1:8" ht="20.100000000000001" customHeight="1" x14ac:dyDescent="0.25">
      <c r="A1527" s="3" t="s">
        <v>93</v>
      </c>
      <c r="B1527" s="3" t="s">
        <v>320</v>
      </c>
      <c r="C1527" s="3">
        <v>2022</v>
      </c>
      <c r="D1527" s="4">
        <v>5</v>
      </c>
      <c r="E1527" s="5">
        <v>73</v>
      </c>
      <c r="F1527" s="5">
        <v>46.04</v>
      </c>
      <c r="G1527" s="3" t="str">
        <f>VLOOKUP(Registros[[#This Row],[Cliente]],Cliente_Region[],2,FALSE)</f>
        <v>Chile</v>
      </c>
      <c r="H1527" s="3" t="str">
        <f>VLOOKUP(Registros[[#This Row],[Producto]],Producto[],2,FALSE)</f>
        <v>GAMBO</v>
      </c>
    </row>
    <row r="1528" spans="1:8" ht="20.100000000000001" customHeight="1" x14ac:dyDescent="0.25">
      <c r="A1528" s="3" t="s">
        <v>93</v>
      </c>
      <c r="B1528" s="3" t="s">
        <v>320</v>
      </c>
      <c r="C1528" s="3">
        <v>2022</v>
      </c>
      <c r="D1528" s="4">
        <v>6</v>
      </c>
      <c r="E1528" s="5">
        <v>73</v>
      </c>
      <c r="F1528" s="5">
        <v>46.04</v>
      </c>
      <c r="G1528" s="3" t="str">
        <f>VLOOKUP(Registros[[#This Row],[Cliente]],Cliente_Region[],2,FALSE)</f>
        <v>Chile</v>
      </c>
      <c r="H1528" s="3" t="str">
        <f>VLOOKUP(Registros[[#This Row],[Producto]],Producto[],2,FALSE)</f>
        <v>GAMBO</v>
      </c>
    </row>
    <row r="1529" spans="1:8" ht="20.100000000000001" customHeight="1" x14ac:dyDescent="0.25">
      <c r="A1529" s="3" t="s">
        <v>77</v>
      </c>
      <c r="B1529" s="3" t="s">
        <v>320</v>
      </c>
      <c r="C1529" s="3">
        <v>2022</v>
      </c>
      <c r="D1529" s="4">
        <v>1</v>
      </c>
      <c r="E1529" s="5">
        <v>20</v>
      </c>
      <c r="F1529" s="5">
        <v>10.119999999999999</v>
      </c>
      <c r="G1529" s="3" t="str">
        <f>VLOOKUP(Registros[[#This Row],[Cliente]],Cliente_Region[],2,FALSE)</f>
        <v>Chile</v>
      </c>
      <c r="H1529" s="3" t="str">
        <f>VLOOKUP(Registros[[#This Row],[Producto]],Producto[],2,FALSE)</f>
        <v>LAX</v>
      </c>
    </row>
    <row r="1530" spans="1:8" ht="20.100000000000001" customHeight="1" x14ac:dyDescent="0.25">
      <c r="A1530" s="3" t="s">
        <v>92</v>
      </c>
      <c r="B1530" s="3" t="s">
        <v>320</v>
      </c>
      <c r="C1530" s="3">
        <v>2022</v>
      </c>
      <c r="D1530" s="4">
        <v>1</v>
      </c>
      <c r="E1530" s="5">
        <v>28.9</v>
      </c>
      <c r="F1530" s="5">
        <v>10.17</v>
      </c>
      <c r="G1530" s="3" t="str">
        <f>VLOOKUP(Registros[[#This Row],[Cliente]],Cliente_Region[],2,FALSE)</f>
        <v>Chile</v>
      </c>
      <c r="H1530" s="3" t="str">
        <f>VLOOKUP(Registros[[#This Row],[Producto]],Producto[],2,FALSE)</f>
        <v>MOC</v>
      </c>
    </row>
    <row r="1531" spans="1:8" ht="20.100000000000001" customHeight="1" x14ac:dyDescent="0.25">
      <c r="A1531" s="3" t="s">
        <v>13</v>
      </c>
      <c r="B1531" s="3" t="s">
        <v>325</v>
      </c>
      <c r="C1531" s="3">
        <v>2022</v>
      </c>
      <c r="D1531" s="4">
        <v>1</v>
      </c>
      <c r="E1531" s="5">
        <v>72.5</v>
      </c>
      <c r="F1531" s="5">
        <v>25.44</v>
      </c>
      <c r="G1531" s="3" t="str">
        <f>VLOOKUP(Registros[[#This Row],[Cliente]],Cliente_Region[],2,FALSE)</f>
        <v>Colombia</v>
      </c>
      <c r="H1531" s="3" t="str">
        <f>VLOOKUP(Registros[[#This Row],[Producto]],Producto[],2,FALSE)</f>
        <v>DAWNE</v>
      </c>
    </row>
    <row r="1532" spans="1:8" ht="20.100000000000001" customHeight="1" x14ac:dyDescent="0.25">
      <c r="A1532" s="3" t="s">
        <v>108</v>
      </c>
      <c r="B1532" s="3" t="s">
        <v>325</v>
      </c>
      <c r="C1532" s="3">
        <v>2022</v>
      </c>
      <c r="D1532" s="4">
        <v>1</v>
      </c>
      <c r="E1532" s="5">
        <v>81.5</v>
      </c>
      <c r="F1532" s="5">
        <v>42.14</v>
      </c>
      <c r="G1532" s="3" t="str">
        <f>VLOOKUP(Registros[[#This Row],[Cliente]],Cliente_Region[],2,FALSE)</f>
        <v>Colombia</v>
      </c>
      <c r="H1532" s="3" t="str">
        <f>VLOOKUP(Registros[[#This Row],[Producto]],Producto[],2,FALSE)</f>
        <v>LAX</v>
      </c>
    </row>
    <row r="1533" spans="1:8" ht="20.100000000000001" customHeight="1" x14ac:dyDescent="0.25">
      <c r="A1533" s="3" t="s">
        <v>109</v>
      </c>
      <c r="B1533" s="3" t="s">
        <v>325</v>
      </c>
      <c r="C1533" s="3">
        <v>2022</v>
      </c>
      <c r="D1533" s="4">
        <v>2</v>
      </c>
      <c r="E1533" s="5">
        <v>64.5</v>
      </c>
      <c r="F1533" s="5">
        <v>34.979999999999997</v>
      </c>
      <c r="G1533" s="3" t="str">
        <f>VLOOKUP(Registros[[#This Row],[Cliente]],Cliente_Region[],2,FALSE)</f>
        <v>Colombia</v>
      </c>
      <c r="H1533" s="3" t="str">
        <f>VLOOKUP(Registros[[#This Row],[Producto]],Producto[],2,FALSE)</f>
        <v>LAX</v>
      </c>
    </row>
    <row r="1534" spans="1:8" ht="20.100000000000001" customHeight="1" x14ac:dyDescent="0.25">
      <c r="A1534" s="3" t="s">
        <v>109</v>
      </c>
      <c r="B1534" s="3" t="s">
        <v>325</v>
      </c>
      <c r="C1534" s="3">
        <v>2022</v>
      </c>
      <c r="D1534" s="4">
        <v>3</v>
      </c>
      <c r="E1534" s="5">
        <v>96.75</v>
      </c>
      <c r="F1534" s="5">
        <v>52.47</v>
      </c>
      <c r="G1534" s="3" t="str">
        <f>VLOOKUP(Registros[[#This Row],[Cliente]],Cliente_Region[],2,FALSE)</f>
        <v>Colombia</v>
      </c>
      <c r="H1534" s="3" t="str">
        <f>VLOOKUP(Registros[[#This Row],[Producto]],Producto[],2,FALSE)</f>
        <v>LAX</v>
      </c>
    </row>
    <row r="1535" spans="1:8" ht="20.100000000000001" customHeight="1" x14ac:dyDescent="0.25">
      <c r="A1535" s="3" t="s">
        <v>109</v>
      </c>
      <c r="B1535" s="3" t="s">
        <v>325</v>
      </c>
      <c r="C1535" s="3">
        <v>2022</v>
      </c>
      <c r="D1535" s="4">
        <v>4</v>
      </c>
      <c r="E1535" s="5">
        <v>53.75</v>
      </c>
      <c r="F1535" s="5">
        <v>29.15</v>
      </c>
      <c r="G1535" s="3" t="str">
        <f>VLOOKUP(Registros[[#This Row],[Cliente]],Cliente_Region[],2,FALSE)</f>
        <v>Colombia</v>
      </c>
      <c r="H1535" s="3" t="str">
        <f>VLOOKUP(Registros[[#This Row],[Producto]],Producto[],2,FALSE)</f>
        <v>LAX</v>
      </c>
    </row>
    <row r="1536" spans="1:8" ht="20.100000000000001" customHeight="1" x14ac:dyDescent="0.25">
      <c r="A1536" s="3" t="s">
        <v>109</v>
      </c>
      <c r="B1536" s="3" t="s">
        <v>325</v>
      </c>
      <c r="C1536" s="3">
        <v>2022</v>
      </c>
      <c r="D1536" s="4">
        <v>5</v>
      </c>
      <c r="E1536" s="5">
        <v>64.5</v>
      </c>
      <c r="F1536" s="5">
        <v>34.979999999999997</v>
      </c>
      <c r="G1536" s="3" t="str">
        <f>VLOOKUP(Registros[[#This Row],[Cliente]],Cliente_Region[],2,FALSE)</f>
        <v>Colombia</v>
      </c>
      <c r="H1536" s="3" t="str">
        <f>VLOOKUP(Registros[[#This Row],[Producto]],Producto[],2,FALSE)</f>
        <v>LAX</v>
      </c>
    </row>
    <row r="1537" spans="1:8" ht="20.100000000000001" customHeight="1" x14ac:dyDescent="0.25">
      <c r="A1537" s="3" t="s">
        <v>109</v>
      </c>
      <c r="B1537" s="3" t="s">
        <v>325</v>
      </c>
      <c r="C1537" s="3">
        <v>2022</v>
      </c>
      <c r="D1537" s="4">
        <v>6</v>
      </c>
      <c r="E1537" s="5">
        <v>53.75</v>
      </c>
      <c r="F1537" s="5">
        <v>29.15</v>
      </c>
      <c r="G1537" s="3" t="str">
        <f>VLOOKUP(Registros[[#This Row],[Cliente]],Cliente_Region[],2,FALSE)</f>
        <v>Colombia</v>
      </c>
      <c r="H1537" s="3" t="str">
        <f>VLOOKUP(Registros[[#This Row],[Producto]],Producto[],2,FALSE)</f>
        <v>LAX</v>
      </c>
    </row>
    <row r="1538" spans="1:8" ht="20.100000000000001" customHeight="1" x14ac:dyDescent="0.25">
      <c r="A1538" s="3" t="s">
        <v>11</v>
      </c>
      <c r="B1538" s="3" t="s">
        <v>325</v>
      </c>
      <c r="C1538" s="3">
        <v>2022</v>
      </c>
      <c r="D1538" s="4">
        <v>3</v>
      </c>
      <c r="E1538" s="5">
        <v>12.38</v>
      </c>
      <c r="F1538" s="5">
        <v>6.4</v>
      </c>
      <c r="G1538" s="3" t="str">
        <f>VLOOKUP(Registros[[#This Row],[Cliente]],Cliente_Region[],2,FALSE)</f>
        <v>Colombia</v>
      </c>
      <c r="H1538" s="3" t="str">
        <f>VLOOKUP(Registros[[#This Row],[Producto]],Producto[],2,FALSE)</f>
        <v>DONANY</v>
      </c>
    </row>
    <row r="1539" spans="1:8" ht="20.100000000000001" customHeight="1" x14ac:dyDescent="0.25">
      <c r="A1539" s="3" t="s">
        <v>304</v>
      </c>
      <c r="B1539" s="3" t="s">
        <v>325</v>
      </c>
      <c r="C1539" s="3">
        <v>2022</v>
      </c>
      <c r="D1539" s="4">
        <v>1</v>
      </c>
      <c r="E1539" s="5">
        <v>102.5</v>
      </c>
      <c r="F1539" s="5">
        <v>57.6</v>
      </c>
      <c r="G1539" s="3" t="str">
        <f>VLOOKUP(Registros[[#This Row],[Cliente]],Cliente_Region[],2,FALSE)</f>
        <v>Colombia</v>
      </c>
      <c r="H1539" s="3" t="str">
        <f>VLOOKUP(Registros[[#This Row],[Producto]],Producto[],2,FALSE)</f>
        <v>QUOKAR</v>
      </c>
    </row>
    <row r="1540" spans="1:8" ht="20.100000000000001" customHeight="1" x14ac:dyDescent="0.25">
      <c r="A1540" s="3" t="s">
        <v>305</v>
      </c>
      <c r="B1540" s="3" t="s">
        <v>325</v>
      </c>
      <c r="C1540" s="3">
        <v>2022</v>
      </c>
      <c r="D1540" s="4">
        <v>2</v>
      </c>
      <c r="E1540" s="5">
        <v>69.75</v>
      </c>
      <c r="F1540" s="5">
        <v>42.81</v>
      </c>
      <c r="G1540" s="3" t="str">
        <f>VLOOKUP(Registros[[#This Row],[Cliente]],Cliente_Region[],2,FALSE)</f>
        <v>Colombia</v>
      </c>
      <c r="H1540" s="3" t="str">
        <f>VLOOKUP(Registros[[#This Row],[Producto]],Producto[],2,FALSE)</f>
        <v>DAWNE</v>
      </c>
    </row>
    <row r="1541" spans="1:8" ht="20.100000000000001" customHeight="1" x14ac:dyDescent="0.25">
      <c r="A1541" s="3" t="s">
        <v>305</v>
      </c>
      <c r="B1541" s="3" t="s">
        <v>325</v>
      </c>
      <c r="C1541" s="3">
        <v>2022</v>
      </c>
      <c r="D1541" s="4">
        <v>3</v>
      </c>
      <c r="E1541" s="5">
        <v>102.5</v>
      </c>
      <c r="F1541" s="5">
        <v>57.6</v>
      </c>
      <c r="G1541" s="3" t="str">
        <f>VLOOKUP(Registros[[#This Row],[Cliente]],Cliente_Region[],2,FALSE)</f>
        <v>Colombia</v>
      </c>
      <c r="H1541" s="3" t="str">
        <f>VLOOKUP(Registros[[#This Row],[Producto]],Producto[],2,FALSE)</f>
        <v>DAWNE</v>
      </c>
    </row>
    <row r="1542" spans="1:8" ht="20.100000000000001" customHeight="1" x14ac:dyDescent="0.25">
      <c r="A1542" s="3" t="s">
        <v>305</v>
      </c>
      <c r="B1542" s="3" t="s">
        <v>325</v>
      </c>
      <c r="C1542" s="3">
        <v>2022</v>
      </c>
      <c r="D1542" s="4">
        <v>4</v>
      </c>
      <c r="E1542" s="5">
        <v>51.25</v>
      </c>
      <c r="F1542" s="5">
        <v>28.8</v>
      </c>
      <c r="G1542" s="3" t="str">
        <f>VLOOKUP(Registros[[#This Row],[Cliente]],Cliente_Region[],2,FALSE)</f>
        <v>Colombia</v>
      </c>
      <c r="H1542" s="3" t="str">
        <f>VLOOKUP(Registros[[#This Row],[Producto]],Producto[],2,FALSE)</f>
        <v>DAWNE</v>
      </c>
    </row>
    <row r="1543" spans="1:8" ht="20.100000000000001" customHeight="1" x14ac:dyDescent="0.25">
      <c r="A1543" s="3" t="s">
        <v>305</v>
      </c>
      <c r="B1543" s="3" t="s">
        <v>325</v>
      </c>
      <c r="C1543" s="3">
        <v>2022</v>
      </c>
      <c r="D1543" s="4">
        <v>5</v>
      </c>
      <c r="E1543" s="5">
        <v>61.5</v>
      </c>
      <c r="F1543" s="5">
        <v>34.56</v>
      </c>
      <c r="G1543" s="3" t="str">
        <f>VLOOKUP(Registros[[#This Row],[Cliente]],Cliente_Region[],2,FALSE)</f>
        <v>Colombia</v>
      </c>
      <c r="H1543" s="3" t="str">
        <f>VLOOKUP(Registros[[#This Row],[Producto]],Producto[],2,FALSE)</f>
        <v>DAWNE</v>
      </c>
    </row>
    <row r="1544" spans="1:8" ht="20.100000000000001" customHeight="1" x14ac:dyDescent="0.25">
      <c r="A1544" s="3" t="s">
        <v>305</v>
      </c>
      <c r="B1544" s="3" t="s">
        <v>325</v>
      </c>
      <c r="C1544" s="3">
        <v>2022</v>
      </c>
      <c r="D1544" s="4">
        <v>6</v>
      </c>
      <c r="E1544" s="5">
        <v>51.25</v>
      </c>
      <c r="F1544" s="5">
        <v>28.8</v>
      </c>
      <c r="G1544" s="3" t="str">
        <f>VLOOKUP(Registros[[#This Row],[Cliente]],Cliente_Region[],2,FALSE)</f>
        <v>Colombia</v>
      </c>
      <c r="H1544" s="3" t="str">
        <f>VLOOKUP(Registros[[#This Row],[Producto]],Producto[],2,FALSE)</f>
        <v>DAWNE</v>
      </c>
    </row>
    <row r="1545" spans="1:8" ht="20.100000000000001" customHeight="1" x14ac:dyDescent="0.25">
      <c r="A1545" s="3" t="s">
        <v>282</v>
      </c>
      <c r="B1545" s="3" t="s">
        <v>325</v>
      </c>
      <c r="C1545" s="3">
        <v>2022</v>
      </c>
      <c r="D1545" s="4">
        <v>1</v>
      </c>
      <c r="E1545" s="5">
        <v>99.75</v>
      </c>
      <c r="F1545" s="5">
        <v>50.67</v>
      </c>
      <c r="G1545" s="3" t="str">
        <f>VLOOKUP(Registros[[#This Row],[Cliente]],Cliente_Region[],2,FALSE)</f>
        <v>Colombia</v>
      </c>
      <c r="H1545" s="3" t="str">
        <f>VLOOKUP(Registros[[#This Row],[Producto]],Producto[],2,FALSE)</f>
        <v>DAWNE</v>
      </c>
    </row>
    <row r="1546" spans="1:8" ht="20.100000000000001" customHeight="1" x14ac:dyDescent="0.25">
      <c r="A1546" s="3" t="s">
        <v>114</v>
      </c>
      <c r="B1546" s="3" t="s">
        <v>325</v>
      </c>
      <c r="C1546" s="3">
        <v>2022</v>
      </c>
      <c r="D1546" s="4">
        <v>2</v>
      </c>
      <c r="E1546" s="5">
        <v>92.5</v>
      </c>
      <c r="F1546" s="5">
        <v>50.42</v>
      </c>
      <c r="G1546" s="3" t="str">
        <f>VLOOKUP(Registros[[#This Row],[Cliente]],Cliente_Region[],2,FALSE)</f>
        <v>Colombia</v>
      </c>
      <c r="H1546" s="3" t="str">
        <f>VLOOKUP(Registros[[#This Row],[Producto]],Producto[],2,FALSE)</f>
        <v>DAWNE</v>
      </c>
    </row>
    <row r="1547" spans="1:8" ht="20.100000000000001" customHeight="1" x14ac:dyDescent="0.25">
      <c r="A1547" s="3" t="s">
        <v>114</v>
      </c>
      <c r="B1547" s="3" t="s">
        <v>325</v>
      </c>
      <c r="C1547" s="3">
        <v>2022</v>
      </c>
      <c r="D1547" s="4">
        <v>3</v>
      </c>
      <c r="E1547" s="5">
        <v>114</v>
      </c>
      <c r="F1547" s="5">
        <v>57.89</v>
      </c>
      <c r="G1547" s="3" t="str">
        <f>VLOOKUP(Registros[[#This Row],[Cliente]],Cliente_Region[],2,FALSE)</f>
        <v>Colombia</v>
      </c>
      <c r="H1547" s="3" t="str">
        <f>VLOOKUP(Registros[[#This Row],[Producto]],Producto[],2,FALSE)</f>
        <v>DAWNE</v>
      </c>
    </row>
    <row r="1548" spans="1:8" ht="20.100000000000001" customHeight="1" x14ac:dyDescent="0.25">
      <c r="A1548" s="3" t="s">
        <v>114</v>
      </c>
      <c r="B1548" s="3" t="s">
        <v>325</v>
      </c>
      <c r="C1548" s="3">
        <v>2022</v>
      </c>
      <c r="D1548" s="4">
        <v>4</v>
      </c>
      <c r="E1548" s="5">
        <v>71.25</v>
      </c>
      <c r="F1548" s="5">
        <v>36.19</v>
      </c>
      <c r="G1548" s="3" t="str">
        <f>VLOOKUP(Registros[[#This Row],[Cliente]],Cliente_Region[],2,FALSE)</f>
        <v>Colombia</v>
      </c>
      <c r="H1548" s="3" t="str">
        <f>VLOOKUP(Registros[[#This Row],[Producto]],Producto[],2,FALSE)</f>
        <v>DAWNE</v>
      </c>
    </row>
    <row r="1549" spans="1:8" ht="20.100000000000001" customHeight="1" x14ac:dyDescent="0.25">
      <c r="A1549" s="3" t="s">
        <v>114</v>
      </c>
      <c r="B1549" s="3" t="s">
        <v>325</v>
      </c>
      <c r="C1549" s="3">
        <v>2022</v>
      </c>
      <c r="D1549" s="4">
        <v>5</v>
      </c>
      <c r="E1549" s="5">
        <v>85.5</v>
      </c>
      <c r="F1549" s="5">
        <v>43.42</v>
      </c>
      <c r="G1549" s="3" t="str">
        <f>VLOOKUP(Registros[[#This Row],[Cliente]],Cliente_Region[],2,FALSE)</f>
        <v>Colombia</v>
      </c>
      <c r="H1549" s="3" t="str">
        <f>VLOOKUP(Registros[[#This Row],[Producto]],Producto[],2,FALSE)</f>
        <v>DAWNE</v>
      </c>
    </row>
    <row r="1550" spans="1:8" ht="20.100000000000001" customHeight="1" x14ac:dyDescent="0.25">
      <c r="A1550" s="3" t="s">
        <v>114</v>
      </c>
      <c r="B1550" s="3" t="s">
        <v>325</v>
      </c>
      <c r="C1550" s="3">
        <v>2022</v>
      </c>
      <c r="D1550" s="4">
        <v>6</v>
      </c>
      <c r="E1550" s="5">
        <v>71.25</v>
      </c>
      <c r="F1550" s="5">
        <v>36.18</v>
      </c>
      <c r="G1550" s="3" t="str">
        <f>VLOOKUP(Registros[[#This Row],[Cliente]],Cliente_Region[],2,FALSE)</f>
        <v>Colombia</v>
      </c>
      <c r="H1550" s="3" t="str">
        <f>VLOOKUP(Registros[[#This Row],[Producto]],Producto[],2,FALSE)</f>
        <v>DAWNE</v>
      </c>
    </row>
    <row r="1551" spans="1:8" ht="20.100000000000001" customHeight="1" x14ac:dyDescent="0.25">
      <c r="A1551" s="3" t="s">
        <v>77</v>
      </c>
      <c r="B1551" s="3" t="s">
        <v>325</v>
      </c>
      <c r="C1551" s="3">
        <v>2022</v>
      </c>
      <c r="D1551" s="4">
        <v>1</v>
      </c>
      <c r="E1551" s="5">
        <v>51.7</v>
      </c>
      <c r="F1551" s="5">
        <v>31.94</v>
      </c>
      <c r="G1551" s="3" t="str">
        <f>VLOOKUP(Registros[[#This Row],[Cliente]],Cliente_Region[],2,FALSE)</f>
        <v>Colombia</v>
      </c>
      <c r="H1551" s="3" t="str">
        <f>VLOOKUP(Registros[[#This Row],[Producto]],Producto[],2,FALSE)</f>
        <v>LAX</v>
      </c>
    </row>
    <row r="1552" spans="1:8" ht="20.100000000000001" customHeight="1" x14ac:dyDescent="0.25">
      <c r="A1552" s="3" t="s">
        <v>78</v>
      </c>
      <c r="B1552" s="3" t="s">
        <v>325</v>
      </c>
      <c r="C1552" s="3">
        <v>2022</v>
      </c>
      <c r="D1552" s="4">
        <v>3</v>
      </c>
      <c r="E1552" s="5">
        <v>34.1</v>
      </c>
      <c r="F1552" s="5">
        <v>24.22</v>
      </c>
      <c r="G1552" s="3" t="str">
        <f>VLOOKUP(Registros[[#This Row],[Cliente]],Cliente_Region[],2,FALSE)</f>
        <v>Colombia</v>
      </c>
      <c r="H1552" s="3" t="str">
        <f>VLOOKUP(Registros[[#This Row],[Producto]],Producto[],2,FALSE)</f>
        <v>MOC</v>
      </c>
    </row>
    <row r="1553" spans="1:8" ht="20.100000000000001" customHeight="1" x14ac:dyDescent="0.25">
      <c r="A1553" s="3" t="s">
        <v>79</v>
      </c>
      <c r="B1553" s="3" t="s">
        <v>325</v>
      </c>
      <c r="C1553" s="3">
        <v>2022</v>
      </c>
      <c r="D1553" s="4">
        <v>6</v>
      </c>
      <c r="E1553" s="5">
        <v>15.25</v>
      </c>
      <c r="F1553" s="5">
        <v>9.7100000000000009</v>
      </c>
      <c r="G1553" s="3" t="str">
        <f>VLOOKUP(Registros[[#This Row],[Cliente]],Cliente_Region[],2,FALSE)</f>
        <v>Colombia</v>
      </c>
      <c r="H1553" s="3" t="str">
        <f>VLOOKUP(Registros[[#This Row],[Producto]],Producto[],2,FALSE)</f>
        <v>SALF</v>
      </c>
    </row>
    <row r="1554" spans="1:8" ht="20.100000000000001" customHeight="1" x14ac:dyDescent="0.25">
      <c r="A1554" s="3" t="s">
        <v>92</v>
      </c>
      <c r="B1554" s="3" t="s">
        <v>325</v>
      </c>
      <c r="C1554" s="3">
        <v>2022</v>
      </c>
      <c r="D1554" s="4">
        <v>3</v>
      </c>
      <c r="E1554" s="5">
        <v>40.15</v>
      </c>
      <c r="F1554" s="5">
        <v>21.42</v>
      </c>
      <c r="G1554" s="3" t="str">
        <f>VLOOKUP(Registros[[#This Row],[Cliente]],Cliente_Region[],2,FALSE)</f>
        <v>Colombia</v>
      </c>
      <c r="H1554" s="3" t="str">
        <f>VLOOKUP(Registros[[#This Row],[Producto]],Producto[],2,FALSE)</f>
        <v>MOC</v>
      </c>
    </row>
    <row r="1555" spans="1:8" ht="20.100000000000001" customHeight="1" x14ac:dyDescent="0.25">
      <c r="A1555" s="3" t="s">
        <v>81</v>
      </c>
      <c r="B1555" s="3" t="s">
        <v>325</v>
      </c>
      <c r="C1555" s="3">
        <v>2022</v>
      </c>
      <c r="D1555" s="4">
        <v>1</v>
      </c>
      <c r="E1555" s="5">
        <v>17.600000000000001</v>
      </c>
      <c r="F1555" s="5">
        <v>3.62</v>
      </c>
      <c r="G1555" s="3" t="str">
        <f>VLOOKUP(Registros[[#This Row],[Cliente]],Cliente_Region[],2,FALSE)</f>
        <v>Colombia</v>
      </c>
      <c r="H1555" s="3" t="str">
        <f>VLOOKUP(Registros[[#This Row],[Producto]],Producto[],2,FALSE)</f>
        <v>QUOKAR</v>
      </c>
    </row>
    <row r="1556" spans="1:8" ht="20.100000000000001" customHeight="1" x14ac:dyDescent="0.25">
      <c r="A1556" s="3" t="s">
        <v>284</v>
      </c>
      <c r="B1556" s="3" t="s">
        <v>326</v>
      </c>
      <c r="C1556" s="3">
        <v>2022</v>
      </c>
      <c r="D1556" s="4">
        <v>1</v>
      </c>
      <c r="E1556" s="5">
        <v>12.5</v>
      </c>
      <c r="F1556" s="5">
        <v>8.02</v>
      </c>
      <c r="G1556" s="3" t="str">
        <f>VLOOKUP(Registros[[#This Row],[Cliente]],Cliente_Region[],2,FALSE)</f>
        <v>Colombia</v>
      </c>
      <c r="H1556" s="3" t="str">
        <f>VLOOKUP(Registros[[#This Row],[Producto]],Producto[],2,FALSE)</f>
        <v>DONANY</v>
      </c>
    </row>
    <row r="1557" spans="1:8" ht="20.100000000000001" customHeight="1" x14ac:dyDescent="0.25">
      <c r="A1557" s="3" t="s">
        <v>30</v>
      </c>
      <c r="B1557" s="3" t="s">
        <v>326</v>
      </c>
      <c r="C1557" s="3">
        <v>2022</v>
      </c>
      <c r="D1557" s="4">
        <v>4</v>
      </c>
      <c r="E1557" s="5">
        <v>0</v>
      </c>
      <c r="F1557" s="5">
        <v>0</v>
      </c>
      <c r="G1557" s="3" t="str">
        <f>VLOOKUP(Registros[[#This Row],[Cliente]],Cliente_Region[],2,FALSE)</f>
        <v>Colombia</v>
      </c>
      <c r="H1557" s="3" t="str">
        <f>VLOOKUP(Registros[[#This Row],[Producto]],Producto[],2,FALSE)</f>
        <v>CHOTUS</v>
      </c>
    </row>
    <row r="1558" spans="1:8" ht="20.100000000000001" customHeight="1" x14ac:dyDescent="0.25">
      <c r="A1558" s="3" t="s">
        <v>34</v>
      </c>
      <c r="B1558" s="3" t="s">
        <v>326</v>
      </c>
      <c r="C1558" s="3">
        <v>2022</v>
      </c>
      <c r="D1558" s="4">
        <v>4</v>
      </c>
      <c r="E1558" s="5">
        <v>0</v>
      </c>
      <c r="F1558" s="5">
        <v>0</v>
      </c>
      <c r="G1558" s="3" t="str">
        <f>VLOOKUP(Registros[[#This Row],[Cliente]],Cliente_Region[],2,FALSE)</f>
        <v>Colombia</v>
      </c>
      <c r="H1558" s="3" t="str">
        <f>VLOOKUP(Registros[[#This Row],[Producto]],Producto[],2,FALSE)</f>
        <v>DONANY</v>
      </c>
    </row>
    <row r="1559" spans="1:8" ht="20.100000000000001" customHeight="1" x14ac:dyDescent="0.25">
      <c r="A1559" s="3" t="s">
        <v>36</v>
      </c>
      <c r="B1559" s="3" t="s">
        <v>326</v>
      </c>
      <c r="C1559" s="3">
        <v>2022</v>
      </c>
      <c r="D1559" s="4">
        <v>1</v>
      </c>
      <c r="E1559" s="5">
        <v>60</v>
      </c>
      <c r="F1559" s="5">
        <v>35.22</v>
      </c>
      <c r="G1559" s="3" t="str">
        <f>VLOOKUP(Registros[[#This Row],[Cliente]],Cliente_Region[],2,FALSE)</f>
        <v>Colombia</v>
      </c>
      <c r="H1559" s="3" t="str">
        <f>VLOOKUP(Registros[[#This Row],[Producto]],Producto[],2,FALSE)</f>
        <v>QUOKAR</v>
      </c>
    </row>
    <row r="1560" spans="1:8" ht="20.100000000000001" customHeight="1" x14ac:dyDescent="0.25">
      <c r="A1560" s="3" t="s">
        <v>37</v>
      </c>
      <c r="B1560" s="3" t="s">
        <v>326</v>
      </c>
      <c r="C1560" s="3">
        <v>2022</v>
      </c>
      <c r="D1560" s="4">
        <v>2</v>
      </c>
      <c r="E1560" s="5">
        <v>54.88</v>
      </c>
      <c r="F1560" s="5">
        <v>26.48</v>
      </c>
      <c r="G1560" s="3" t="str">
        <f>VLOOKUP(Registros[[#This Row],[Cliente]],Cliente_Region[],2,FALSE)</f>
        <v>Colombia</v>
      </c>
      <c r="H1560" s="3" t="str">
        <f>VLOOKUP(Registros[[#This Row],[Producto]],Producto[],2,FALSE)</f>
        <v>DONANY</v>
      </c>
    </row>
    <row r="1561" spans="1:8" ht="20.100000000000001" customHeight="1" x14ac:dyDescent="0.25">
      <c r="A1561" s="3" t="s">
        <v>37</v>
      </c>
      <c r="B1561" s="3" t="s">
        <v>326</v>
      </c>
      <c r="C1561" s="3">
        <v>2022</v>
      </c>
      <c r="D1561" s="4">
        <v>3</v>
      </c>
      <c r="E1561" s="5">
        <v>50</v>
      </c>
      <c r="F1561" s="5">
        <v>29.35</v>
      </c>
      <c r="G1561" s="3" t="str">
        <f>VLOOKUP(Registros[[#This Row],[Cliente]],Cliente_Region[],2,FALSE)</f>
        <v>Colombia</v>
      </c>
      <c r="H1561" s="3" t="str">
        <f>VLOOKUP(Registros[[#This Row],[Producto]],Producto[],2,FALSE)</f>
        <v>DONANY</v>
      </c>
    </row>
    <row r="1562" spans="1:8" ht="20.100000000000001" customHeight="1" x14ac:dyDescent="0.25">
      <c r="A1562" s="3" t="s">
        <v>37</v>
      </c>
      <c r="B1562" s="3" t="s">
        <v>326</v>
      </c>
      <c r="C1562" s="3">
        <v>2022</v>
      </c>
      <c r="D1562" s="4">
        <v>4</v>
      </c>
      <c r="E1562" s="5">
        <v>60</v>
      </c>
      <c r="F1562" s="5">
        <v>35.22</v>
      </c>
      <c r="G1562" s="3" t="str">
        <f>VLOOKUP(Registros[[#This Row],[Cliente]],Cliente_Region[],2,FALSE)</f>
        <v>Colombia</v>
      </c>
      <c r="H1562" s="3" t="str">
        <f>VLOOKUP(Registros[[#This Row],[Producto]],Producto[],2,FALSE)</f>
        <v>DONANY</v>
      </c>
    </row>
    <row r="1563" spans="1:8" ht="20.100000000000001" customHeight="1" x14ac:dyDescent="0.25">
      <c r="A1563" s="3" t="s">
        <v>37</v>
      </c>
      <c r="B1563" s="3" t="s">
        <v>326</v>
      </c>
      <c r="C1563" s="3">
        <v>2022</v>
      </c>
      <c r="D1563" s="4">
        <v>5</v>
      </c>
      <c r="E1563" s="5">
        <v>70</v>
      </c>
      <c r="F1563" s="5">
        <v>41.09</v>
      </c>
      <c r="G1563" s="3" t="str">
        <f>VLOOKUP(Registros[[#This Row],[Cliente]],Cliente_Region[],2,FALSE)</f>
        <v>Colombia</v>
      </c>
      <c r="H1563" s="3" t="str">
        <f>VLOOKUP(Registros[[#This Row],[Producto]],Producto[],2,FALSE)</f>
        <v>DONANY</v>
      </c>
    </row>
    <row r="1564" spans="1:8" ht="20.100000000000001" customHeight="1" x14ac:dyDescent="0.25">
      <c r="A1564" s="3" t="s">
        <v>37</v>
      </c>
      <c r="B1564" s="3" t="s">
        <v>326</v>
      </c>
      <c r="C1564" s="3">
        <v>2022</v>
      </c>
      <c r="D1564" s="4">
        <v>6</v>
      </c>
      <c r="E1564" s="5">
        <v>50</v>
      </c>
      <c r="F1564" s="5">
        <v>29.35</v>
      </c>
      <c r="G1564" s="3" t="str">
        <f>VLOOKUP(Registros[[#This Row],[Cliente]],Cliente_Region[],2,FALSE)</f>
        <v>Colombia</v>
      </c>
      <c r="H1564" s="3" t="str">
        <f>VLOOKUP(Registros[[#This Row],[Producto]],Producto[],2,FALSE)</f>
        <v>DONANY</v>
      </c>
    </row>
    <row r="1565" spans="1:8" ht="20.100000000000001" customHeight="1" x14ac:dyDescent="0.25">
      <c r="A1565" s="3" t="s">
        <v>108</v>
      </c>
      <c r="B1565" s="3" t="s">
        <v>326</v>
      </c>
      <c r="C1565" s="3">
        <v>2022</v>
      </c>
      <c r="D1565" s="4">
        <v>1</v>
      </c>
      <c r="E1565" s="5">
        <v>150.5</v>
      </c>
      <c r="F1565" s="5">
        <v>81.62</v>
      </c>
      <c r="G1565" s="3" t="str">
        <f>VLOOKUP(Registros[[#This Row],[Cliente]],Cliente_Region[],2,FALSE)</f>
        <v>Colombia</v>
      </c>
      <c r="H1565" s="3" t="str">
        <f>VLOOKUP(Registros[[#This Row],[Producto]],Producto[],2,FALSE)</f>
        <v>LAX</v>
      </c>
    </row>
    <row r="1566" spans="1:8" ht="20.100000000000001" customHeight="1" x14ac:dyDescent="0.25">
      <c r="A1566" s="3" t="s">
        <v>109</v>
      </c>
      <c r="B1566" s="3" t="s">
        <v>326</v>
      </c>
      <c r="C1566" s="3">
        <v>2022</v>
      </c>
      <c r="D1566" s="4">
        <v>2</v>
      </c>
      <c r="E1566" s="5">
        <v>150.5</v>
      </c>
      <c r="F1566" s="5">
        <v>81.62</v>
      </c>
      <c r="G1566" s="3" t="str">
        <f>VLOOKUP(Registros[[#This Row],[Cliente]],Cliente_Region[],2,FALSE)</f>
        <v>Colombia</v>
      </c>
      <c r="H1566" s="3" t="str">
        <f>VLOOKUP(Registros[[#This Row],[Producto]],Producto[],2,FALSE)</f>
        <v>LAX</v>
      </c>
    </row>
    <row r="1567" spans="1:8" ht="20.100000000000001" customHeight="1" x14ac:dyDescent="0.25">
      <c r="A1567" s="3" t="s">
        <v>109</v>
      </c>
      <c r="B1567" s="3" t="s">
        <v>326</v>
      </c>
      <c r="C1567" s="3">
        <v>2022</v>
      </c>
      <c r="D1567" s="4">
        <v>3</v>
      </c>
      <c r="E1567" s="5">
        <v>195.75</v>
      </c>
      <c r="F1567" s="5">
        <v>107.19</v>
      </c>
      <c r="G1567" s="3" t="str">
        <f>VLOOKUP(Registros[[#This Row],[Cliente]],Cliente_Region[],2,FALSE)</f>
        <v>Colombia</v>
      </c>
      <c r="H1567" s="3" t="str">
        <f>VLOOKUP(Registros[[#This Row],[Producto]],Producto[],2,FALSE)</f>
        <v>LAX</v>
      </c>
    </row>
    <row r="1568" spans="1:8" ht="20.100000000000001" customHeight="1" x14ac:dyDescent="0.25">
      <c r="A1568" s="3" t="s">
        <v>109</v>
      </c>
      <c r="B1568" s="3" t="s">
        <v>326</v>
      </c>
      <c r="C1568" s="3">
        <v>2022</v>
      </c>
      <c r="D1568" s="4">
        <v>4</v>
      </c>
      <c r="E1568" s="5">
        <v>193.5</v>
      </c>
      <c r="F1568" s="5">
        <v>98.03</v>
      </c>
      <c r="G1568" s="3" t="str">
        <f>VLOOKUP(Registros[[#This Row],[Cliente]],Cliente_Region[],2,FALSE)</f>
        <v>Colombia</v>
      </c>
      <c r="H1568" s="3" t="str">
        <f>VLOOKUP(Registros[[#This Row],[Producto]],Producto[],2,FALSE)</f>
        <v>LAX</v>
      </c>
    </row>
    <row r="1569" spans="1:8" ht="20.100000000000001" customHeight="1" x14ac:dyDescent="0.25">
      <c r="A1569" s="3" t="s">
        <v>109</v>
      </c>
      <c r="B1569" s="3" t="s">
        <v>326</v>
      </c>
      <c r="C1569" s="3">
        <v>2022</v>
      </c>
      <c r="D1569" s="4">
        <v>5</v>
      </c>
      <c r="E1569" s="5">
        <v>150.5</v>
      </c>
      <c r="F1569" s="5">
        <v>81.62</v>
      </c>
      <c r="G1569" s="3" t="str">
        <f>VLOOKUP(Registros[[#This Row],[Cliente]],Cliente_Region[],2,FALSE)</f>
        <v>Colombia</v>
      </c>
      <c r="H1569" s="3" t="str">
        <f>VLOOKUP(Registros[[#This Row],[Producto]],Producto[],2,FALSE)</f>
        <v>LAX</v>
      </c>
    </row>
    <row r="1570" spans="1:8" ht="20.100000000000001" customHeight="1" x14ac:dyDescent="0.25">
      <c r="A1570" s="3" t="s">
        <v>109</v>
      </c>
      <c r="B1570" s="3" t="s">
        <v>326</v>
      </c>
      <c r="C1570" s="3">
        <v>2022</v>
      </c>
      <c r="D1570" s="4">
        <v>6</v>
      </c>
      <c r="E1570" s="5">
        <v>129</v>
      </c>
      <c r="F1570" s="5">
        <v>69.959999999999994</v>
      </c>
      <c r="G1570" s="3" t="str">
        <f>VLOOKUP(Registros[[#This Row],[Cliente]],Cliente_Region[],2,FALSE)</f>
        <v>Colombia</v>
      </c>
      <c r="H1570" s="3" t="str">
        <f>VLOOKUP(Registros[[#This Row],[Producto]],Producto[],2,FALSE)</f>
        <v>LAX</v>
      </c>
    </row>
    <row r="1571" spans="1:8" ht="20.100000000000001" customHeight="1" x14ac:dyDescent="0.25">
      <c r="A1571" s="3" t="s">
        <v>308</v>
      </c>
      <c r="B1571" s="3" t="s">
        <v>326</v>
      </c>
      <c r="C1571" s="3">
        <v>2022</v>
      </c>
      <c r="D1571" s="4">
        <v>3</v>
      </c>
      <c r="E1571" s="5">
        <v>12.93</v>
      </c>
      <c r="F1571" s="5">
        <v>6.22</v>
      </c>
      <c r="G1571" s="3" t="str">
        <f>VLOOKUP(Registros[[#This Row],[Cliente]],Cliente_Region[],2,FALSE)</f>
        <v>Colombia</v>
      </c>
      <c r="H1571" s="3" t="str">
        <f>VLOOKUP(Registros[[#This Row],[Producto]],Producto[],2,FALSE)</f>
        <v>SALF</v>
      </c>
    </row>
    <row r="1572" spans="1:8" ht="20.100000000000001" customHeight="1" x14ac:dyDescent="0.25">
      <c r="A1572" s="3" t="s">
        <v>327</v>
      </c>
      <c r="B1572" s="3" t="s">
        <v>326</v>
      </c>
      <c r="C1572" s="3">
        <v>2022</v>
      </c>
      <c r="D1572" s="4">
        <v>1</v>
      </c>
      <c r="E1572" s="5">
        <v>50.8</v>
      </c>
      <c r="F1572" s="5">
        <v>3.85</v>
      </c>
      <c r="G1572" s="3" t="str">
        <f>VLOOKUP(Registros[[#This Row],[Cliente]],Cliente_Region[],2,FALSE)</f>
        <v>Colombia</v>
      </c>
      <c r="H1572" s="3" t="str">
        <f>VLOOKUP(Registros[[#This Row],[Producto]],Producto[],2,FALSE)</f>
        <v>CHOTUS</v>
      </c>
    </row>
    <row r="1573" spans="1:8" ht="20.100000000000001" customHeight="1" x14ac:dyDescent="0.25">
      <c r="A1573" s="3" t="s">
        <v>323</v>
      </c>
      <c r="B1573" s="3" t="s">
        <v>326</v>
      </c>
      <c r="C1573" s="3">
        <v>2022</v>
      </c>
      <c r="D1573" s="4">
        <v>1</v>
      </c>
      <c r="E1573" s="5">
        <v>37.200000000000003</v>
      </c>
      <c r="F1573" s="5">
        <v>-1.38</v>
      </c>
      <c r="G1573" s="3" t="str">
        <f>VLOOKUP(Registros[[#This Row],[Cliente]],Cliente_Region[],2,FALSE)</f>
        <v>Colombia</v>
      </c>
      <c r="H1573" s="3" t="str">
        <f>VLOOKUP(Registros[[#This Row],[Producto]],Producto[],2,FALSE)</f>
        <v>GAMBO</v>
      </c>
    </row>
    <row r="1574" spans="1:8" ht="20.100000000000001" customHeight="1" x14ac:dyDescent="0.25">
      <c r="A1574" s="3" t="s">
        <v>293</v>
      </c>
      <c r="B1574" s="3" t="s">
        <v>326</v>
      </c>
      <c r="C1574" s="3">
        <v>2022</v>
      </c>
      <c r="D1574" s="4">
        <v>1</v>
      </c>
      <c r="E1574" s="5">
        <v>11.25</v>
      </c>
      <c r="F1574" s="5">
        <v>1.47</v>
      </c>
      <c r="G1574" s="3" t="str">
        <f>VLOOKUP(Registros[[#This Row],[Cliente]],Cliente_Region[],2,FALSE)</f>
        <v>Colombia</v>
      </c>
      <c r="H1574" s="3" t="str">
        <f>VLOOKUP(Registros[[#This Row],[Producto]],Producto[],2,FALSE)</f>
        <v>QUOKAR</v>
      </c>
    </row>
    <row r="1575" spans="1:8" ht="20.100000000000001" customHeight="1" x14ac:dyDescent="0.25">
      <c r="A1575" s="3" t="s">
        <v>294</v>
      </c>
      <c r="B1575" s="3" t="s">
        <v>326</v>
      </c>
      <c r="C1575" s="3">
        <v>2022</v>
      </c>
      <c r="D1575" s="4">
        <v>3</v>
      </c>
      <c r="E1575" s="5">
        <v>22.5</v>
      </c>
      <c r="F1575" s="5">
        <v>3.28</v>
      </c>
      <c r="G1575" s="3" t="str">
        <f>VLOOKUP(Registros[[#This Row],[Cliente]],Cliente_Region[],2,FALSE)</f>
        <v>Colombia</v>
      </c>
      <c r="H1575" s="3" t="str">
        <f>VLOOKUP(Registros[[#This Row],[Producto]],Producto[],2,FALSE)</f>
        <v>CHOTUS</v>
      </c>
    </row>
    <row r="1576" spans="1:8" ht="20.100000000000001" customHeight="1" x14ac:dyDescent="0.25">
      <c r="A1576" s="3" t="s">
        <v>294</v>
      </c>
      <c r="B1576" s="3" t="s">
        <v>326</v>
      </c>
      <c r="C1576" s="3">
        <v>2022</v>
      </c>
      <c r="D1576" s="4">
        <v>6</v>
      </c>
      <c r="E1576" s="5">
        <v>11.25</v>
      </c>
      <c r="F1576" s="5">
        <v>1.45</v>
      </c>
      <c r="G1576" s="3" t="str">
        <f>VLOOKUP(Registros[[#This Row],[Cliente]],Cliente_Region[],2,FALSE)</f>
        <v>Colombia</v>
      </c>
      <c r="H1576" s="3" t="str">
        <f>VLOOKUP(Registros[[#This Row],[Producto]],Producto[],2,FALSE)</f>
        <v>CHOTUS</v>
      </c>
    </row>
    <row r="1577" spans="1:8" ht="20.100000000000001" customHeight="1" x14ac:dyDescent="0.25">
      <c r="A1577" s="3" t="s">
        <v>304</v>
      </c>
      <c r="B1577" s="3" t="s">
        <v>326</v>
      </c>
      <c r="C1577" s="3">
        <v>2022</v>
      </c>
      <c r="D1577" s="4">
        <v>1</v>
      </c>
      <c r="E1577" s="5">
        <v>153.75</v>
      </c>
      <c r="F1577" s="5">
        <v>86.4</v>
      </c>
      <c r="G1577" s="3" t="str">
        <f>VLOOKUP(Registros[[#This Row],[Cliente]],Cliente_Region[],2,FALSE)</f>
        <v>Colombia</v>
      </c>
      <c r="H1577" s="3" t="str">
        <f>VLOOKUP(Registros[[#This Row],[Producto]],Producto[],2,FALSE)</f>
        <v>QUOKAR</v>
      </c>
    </row>
    <row r="1578" spans="1:8" ht="20.100000000000001" customHeight="1" x14ac:dyDescent="0.25">
      <c r="A1578" s="3" t="s">
        <v>305</v>
      </c>
      <c r="B1578" s="3" t="s">
        <v>326</v>
      </c>
      <c r="C1578" s="3">
        <v>2022</v>
      </c>
      <c r="D1578" s="4">
        <v>2</v>
      </c>
      <c r="E1578" s="5">
        <v>166.8</v>
      </c>
      <c r="F1578" s="5">
        <v>94.13</v>
      </c>
      <c r="G1578" s="3" t="str">
        <f>VLOOKUP(Registros[[#This Row],[Cliente]],Cliente_Region[],2,FALSE)</f>
        <v>Colombia</v>
      </c>
      <c r="H1578" s="3" t="str">
        <f>VLOOKUP(Registros[[#This Row],[Producto]],Producto[],2,FALSE)</f>
        <v>DAWNE</v>
      </c>
    </row>
    <row r="1579" spans="1:8" ht="20.100000000000001" customHeight="1" x14ac:dyDescent="0.25">
      <c r="A1579" s="3" t="s">
        <v>305</v>
      </c>
      <c r="B1579" s="3" t="s">
        <v>326</v>
      </c>
      <c r="C1579" s="3">
        <v>2022</v>
      </c>
      <c r="D1579" s="4">
        <v>3</v>
      </c>
      <c r="E1579" s="5">
        <v>147.05000000000001</v>
      </c>
      <c r="F1579" s="5">
        <v>88.68</v>
      </c>
      <c r="G1579" s="3" t="str">
        <f>VLOOKUP(Registros[[#This Row],[Cliente]],Cliente_Region[],2,FALSE)</f>
        <v>Colombia</v>
      </c>
      <c r="H1579" s="3" t="str">
        <f>VLOOKUP(Registros[[#This Row],[Producto]],Producto[],2,FALSE)</f>
        <v>DAWNE</v>
      </c>
    </row>
    <row r="1580" spans="1:8" ht="20.100000000000001" customHeight="1" x14ac:dyDescent="0.25">
      <c r="A1580" s="3" t="s">
        <v>305</v>
      </c>
      <c r="B1580" s="3" t="s">
        <v>326</v>
      </c>
      <c r="C1580" s="3">
        <v>2022</v>
      </c>
      <c r="D1580" s="4">
        <v>4</v>
      </c>
      <c r="E1580" s="5">
        <v>153.75</v>
      </c>
      <c r="F1580" s="5">
        <v>86.4</v>
      </c>
      <c r="G1580" s="3" t="str">
        <f>VLOOKUP(Registros[[#This Row],[Cliente]],Cliente_Region[],2,FALSE)</f>
        <v>Colombia</v>
      </c>
      <c r="H1580" s="3" t="str">
        <f>VLOOKUP(Registros[[#This Row],[Producto]],Producto[],2,FALSE)</f>
        <v>DAWNE</v>
      </c>
    </row>
    <row r="1581" spans="1:8" ht="20.100000000000001" customHeight="1" x14ac:dyDescent="0.25">
      <c r="A1581" s="3" t="s">
        <v>305</v>
      </c>
      <c r="B1581" s="3" t="s">
        <v>326</v>
      </c>
      <c r="C1581" s="3">
        <v>2022</v>
      </c>
      <c r="D1581" s="4">
        <v>5</v>
      </c>
      <c r="E1581" s="5">
        <v>143.5</v>
      </c>
      <c r="F1581" s="5">
        <v>80.64</v>
      </c>
      <c r="G1581" s="3" t="str">
        <f>VLOOKUP(Registros[[#This Row],[Cliente]],Cliente_Region[],2,FALSE)</f>
        <v>Colombia</v>
      </c>
      <c r="H1581" s="3" t="str">
        <f>VLOOKUP(Registros[[#This Row],[Producto]],Producto[],2,FALSE)</f>
        <v>DAWNE</v>
      </c>
    </row>
    <row r="1582" spans="1:8" ht="20.100000000000001" customHeight="1" x14ac:dyDescent="0.25">
      <c r="A1582" s="3" t="s">
        <v>305</v>
      </c>
      <c r="B1582" s="3" t="s">
        <v>326</v>
      </c>
      <c r="C1582" s="3">
        <v>2022</v>
      </c>
      <c r="D1582" s="4">
        <v>6</v>
      </c>
      <c r="E1582" s="5">
        <v>112.75</v>
      </c>
      <c r="F1582" s="5">
        <v>63.36</v>
      </c>
      <c r="G1582" s="3" t="str">
        <f>VLOOKUP(Registros[[#This Row],[Cliente]],Cliente_Region[],2,FALSE)</f>
        <v>Colombia</v>
      </c>
      <c r="H1582" s="3" t="str">
        <f>VLOOKUP(Registros[[#This Row],[Producto]],Producto[],2,FALSE)</f>
        <v>DAWNE</v>
      </c>
    </row>
    <row r="1583" spans="1:8" ht="20.100000000000001" customHeight="1" x14ac:dyDescent="0.25">
      <c r="A1583" s="3" t="s">
        <v>310</v>
      </c>
      <c r="B1583" s="3" t="s">
        <v>326</v>
      </c>
      <c r="C1583" s="3">
        <v>2022</v>
      </c>
      <c r="D1583" s="4">
        <v>1</v>
      </c>
      <c r="E1583" s="5">
        <v>135.30000000000001</v>
      </c>
      <c r="F1583" s="5">
        <v>85.62</v>
      </c>
      <c r="G1583" s="3" t="str">
        <f>VLOOKUP(Registros[[#This Row],[Cliente]],Cliente_Region[],2,FALSE)</f>
        <v>Colombia</v>
      </c>
      <c r="H1583" s="3" t="str">
        <f>VLOOKUP(Registros[[#This Row],[Producto]],Producto[],2,FALSE)</f>
        <v>DONANY</v>
      </c>
    </row>
    <row r="1584" spans="1:8" ht="20.100000000000001" customHeight="1" x14ac:dyDescent="0.25">
      <c r="A1584" s="3" t="s">
        <v>311</v>
      </c>
      <c r="B1584" s="3" t="s">
        <v>326</v>
      </c>
      <c r="C1584" s="3">
        <v>2022</v>
      </c>
      <c r="D1584" s="4">
        <v>2</v>
      </c>
      <c r="E1584" s="5">
        <v>136.33000000000001</v>
      </c>
      <c r="F1584" s="5">
        <v>75.94</v>
      </c>
      <c r="G1584" s="3" t="str">
        <f>VLOOKUP(Registros[[#This Row],[Cliente]],Cliente_Region[],2,FALSE)</f>
        <v>Colombia</v>
      </c>
      <c r="H1584" s="3" t="str">
        <f>VLOOKUP(Registros[[#This Row],[Producto]],Producto[],2,FALSE)</f>
        <v>CHOTUS</v>
      </c>
    </row>
    <row r="1585" spans="1:8" ht="20.100000000000001" customHeight="1" x14ac:dyDescent="0.25">
      <c r="A1585" s="3" t="s">
        <v>311</v>
      </c>
      <c r="B1585" s="3" t="s">
        <v>326</v>
      </c>
      <c r="C1585" s="3">
        <v>2022</v>
      </c>
      <c r="D1585" s="4">
        <v>3</v>
      </c>
      <c r="E1585" s="5">
        <v>136.85</v>
      </c>
      <c r="F1585" s="5">
        <v>87.17</v>
      </c>
      <c r="G1585" s="3" t="str">
        <f>VLOOKUP(Registros[[#This Row],[Cliente]],Cliente_Region[],2,FALSE)</f>
        <v>Colombia</v>
      </c>
      <c r="H1585" s="3" t="str">
        <f>VLOOKUP(Registros[[#This Row],[Producto]],Producto[],2,FALSE)</f>
        <v>CHOTUS</v>
      </c>
    </row>
    <row r="1586" spans="1:8" ht="20.100000000000001" customHeight="1" x14ac:dyDescent="0.25">
      <c r="A1586" s="3" t="s">
        <v>311</v>
      </c>
      <c r="B1586" s="3" t="s">
        <v>326</v>
      </c>
      <c r="C1586" s="3">
        <v>2022</v>
      </c>
      <c r="D1586" s="4">
        <v>4</v>
      </c>
      <c r="E1586" s="5">
        <v>150.5</v>
      </c>
      <c r="F1586" s="5">
        <v>95.3</v>
      </c>
      <c r="G1586" s="3" t="str">
        <f>VLOOKUP(Registros[[#This Row],[Cliente]],Cliente_Region[],2,FALSE)</f>
        <v>Colombia</v>
      </c>
      <c r="H1586" s="3" t="str">
        <f>VLOOKUP(Registros[[#This Row],[Producto]],Producto[],2,FALSE)</f>
        <v>CHOTUS</v>
      </c>
    </row>
    <row r="1587" spans="1:8" ht="20.100000000000001" customHeight="1" x14ac:dyDescent="0.25">
      <c r="A1587" s="3" t="s">
        <v>311</v>
      </c>
      <c r="B1587" s="3" t="s">
        <v>326</v>
      </c>
      <c r="C1587" s="3">
        <v>2022</v>
      </c>
      <c r="D1587" s="4">
        <v>5</v>
      </c>
      <c r="E1587" s="5">
        <v>120.4</v>
      </c>
      <c r="F1587" s="5">
        <v>76.239999999999995</v>
      </c>
      <c r="G1587" s="3" t="str">
        <f>VLOOKUP(Registros[[#This Row],[Cliente]],Cliente_Region[],2,FALSE)</f>
        <v>Colombia</v>
      </c>
      <c r="H1587" s="3" t="str">
        <f>VLOOKUP(Registros[[#This Row],[Producto]],Producto[],2,FALSE)</f>
        <v>CHOTUS</v>
      </c>
    </row>
    <row r="1588" spans="1:8" ht="20.100000000000001" customHeight="1" x14ac:dyDescent="0.25">
      <c r="A1588" s="3" t="s">
        <v>311</v>
      </c>
      <c r="B1588" s="3" t="s">
        <v>326</v>
      </c>
      <c r="C1588" s="3">
        <v>2022</v>
      </c>
      <c r="D1588" s="4">
        <v>6</v>
      </c>
      <c r="E1588" s="5">
        <v>135.44999999999999</v>
      </c>
      <c r="F1588" s="5">
        <v>85.78</v>
      </c>
      <c r="G1588" s="3" t="str">
        <f>VLOOKUP(Registros[[#This Row],[Cliente]],Cliente_Region[],2,FALSE)</f>
        <v>Colombia</v>
      </c>
      <c r="H1588" s="3" t="str">
        <f>VLOOKUP(Registros[[#This Row],[Producto]],Producto[],2,FALSE)</f>
        <v>CHOTUS</v>
      </c>
    </row>
    <row r="1589" spans="1:8" ht="20.100000000000001" customHeight="1" x14ac:dyDescent="0.25">
      <c r="A1589" s="3" t="s">
        <v>295</v>
      </c>
      <c r="B1589" s="3" t="s">
        <v>326</v>
      </c>
      <c r="C1589" s="3">
        <v>2022</v>
      </c>
      <c r="D1589" s="4">
        <v>1</v>
      </c>
      <c r="E1589" s="5">
        <v>93</v>
      </c>
      <c r="F1589" s="5">
        <v>43.32</v>
      </c>
      <c r="G1589" s="3" t="str">
        <f>VLOOKUP(Registros[[#This Row],[Cliente]],Cliente_Region[],2,FALSE)</f>
        <v>Colombia</v>
      </c>
      <c r="H1589" s="3" t="str">
        <f>VLOOKUP(Registros[[#This Row],[Producto]],Producto[],2,FALSE)</f>
        <v>QUOKAR</v>
      </c>
    </row>
    <row r="1590" spans="1:8" ht="20.100000000000001" customHeight="1" x14ac:dyDescent="0.25">
      <c r="A1590" s="3" t="s">
        <v>296</v>
      </c>
      <c r="B1590" s="3" t="s">
        <v>326</v>
      </c>
      <c r="C1590" s="3">
        <v>2022</v>
      </c>
      <c r="D1590" s="4">
        <v>2</v>
      </c>
      <c r="E1590" s="5">
        <v>68.25</v>
      </c>
      <c r="F1590" s="5">
        <v>35.130000000000003</v>
      </c>
      <c r="G1590" s="3" t="str">
        <f>VLOOKUP(Registros[[#This Row],[Cliente]],Cliente_Region[],2,FALSE)</f>
        <v>Colombia</v>
      </c>
      <c r="H1590" s="3" t="str">
        <f>VLOOKUP(Registros[[#This Row],[Producto]],Producto[],2,FALSE)</f>
        <v>SALF</v>
      </c>
    </row>
    <row r="1591" spans="1:8" ht="20.100000000000001" customHeight="1" x14ac:dyDescent="0.25">
      <c r="A1591" s="3" t="s">
        <v>296</v>
      </c>
      <c r="B1591" s="3" t="s">
        <v>326</v>
      </c>
      <c r="C1591" s="3">
        <v>2022</v>
      </c>
      <c r="D1591" s="4">
        <v>3</v>
      </c>
      <c r="E1591" s="5">
        <v>77.5</v>
      </c>
      <c r="F1591" s="5">
        <v>38.86</v>
      </c>
      <c r="G1591" s="3" t="str">
        <f>VLOOKUP(Registros[[#This Row],[Cliente]],Cliente_Region[],2,FALSE)</f>
        <v>Colombia</v>
      </c>
      <c r="H1591" s="3" t="str">
        <f>VLOOKUP(Registros[[#This Row],[Producto]],Producto[],2,FALSE)</f>
        <v>SALF</v>
      </c>
    </row>
    <row r="1592" spans="1:8" ht="20.100000000000001" customHeight="1" x14ac:dyDescent="0.25">
      <c r="A1592" s="3" t="s">
        <v>296</v>
      </c>
      <c r="B1592" s="3" t="s">
        <v>326</v>
      </c>
      <c r="C1592" s="3">
        <v>2022</v>
      </c>
      <c r="D1592" s="4">
        <v>4</v>
      </c>
      <c r="E1592" s="5">
        <v>96.25</v>
      </c>
      <c r="F1592" s="5">
        <v>57.61</v>
      </c>
      <c r="G1592" s="3" t="str">
        <f>VLOOKUP(Registros[[#This Row],[Cliente]],Cliente_Region[],2,FALSE)</f>
        <v>Colombia</v>
      </c>
      <c r="H1592" s="3" t="str">
        <f>VLOOKUP(Registros[[#This Row],[Producto]],Producto[],2,FALSE)</f>
        <v>SALF</v>
      </c>
    </row>
    <row r="1593" spans="1:8" ht="20.100000000000001" customHeight="1" x14ac:dyDescent="0.25">
      <c r="A1593" s="3" t="s">
        <v>296</v>
      </c>
      <c r="B1593" s="3" t="s">
        <v>326</v>
      </c>
      <c r="C1593" s="3">
        <v>2022</v>
      </c>
      <c r="D1593" s="4">
        <v>5</v>
      </c>
      <c r="E1593" s="5">
        <v>110</v>
      </c>
      <c r="F1593" s="5">
        <v>65.84</v>
      </c>
      <c r="G1593" s="3" t="str">
        <f>VLOOKUP(Registros[[#This Row],[Cliente]],Cliente_Region[],2,FALSE)</f>
        <v>Colombia</v>
      </c>
      <c r="H1593" s="3" t="str">
        <f>VLOOKUP(Registros[[#This Row],[Producto]],Producto[],2,FALSE)</f>
        <v>SALF</v>
      </c>
    </row>
    <row r="1594" spans="1:8" ht="20.100000000000001" customHeight="1" x14ac:dyDescent="0.25">
      <c r="A1594" s="3" t="s">
        <v>296</v>
      </c>
      <c r="B1594" s="3" t="s">
        <v>326</v>
      </c>
      <c r="C1594" s="3">
        <v>2022</v>
      </c>
      <c r="D1594" s="4">
        <v>6</v>
      </c>
      <c r="E1594" s="5">
        <v>55</v>
      </c>
      <c r="F1594" s="5">
        <v>32.92</v>
      </c>
      <c r="G1594" s="3" t="str">
        <f>VLOOKUP(Registros[[#This Row],[Cliente]],Cliente_Region[],2,FALSE)</f>
        <v>Colombia</v>
      </c>
      <c r="H1594" s="3" t="str">
        <f>VLOOKUP(Registros[[#This Row],[Producto]],Producto[],2,FALSE)</f>
        <v>SALF</v>
      </c>
    </row>
    <row r="1595" spans="1:8" ht="20.100000000000001" customHeight="1" x14ac:dyDescent="0.25">
      <c r="A1595" s="3" t="s">
        <v>280</v>
      </c>
      <c r="B1595" s="3" t="s">
        <v>326</v>
      </c>
      <c r="C1595" s="3">
        <v>2022</v>
      </c>
      <c r="D1595" s="4">
        <v>1</v>
      </c>
      <c r="E1595" s="5">
        <v>182</v>
      </c>
      <c r="F1595" s="5">
        <v>79.040000000000006</v>
      </c>
      <c r="G1595" s="3" t="str">
        <f>VLOOKUP(Registros[[#This Row],[Cliente]],Cliente_Region[],2,FALSE)</f>
        <v>Colombia</v>
      </c>
      <c r="H1595" s="3" t="str">
        <f>VLOOKUP(Registros[[#This Row],[Producto]],Producto[],2,FALSE)</f>
        <v>CHOTUS</v>
      </c>
    </row>
    <row r="1596" spans="1:8" ht="20.100000000000001" customHeight="1" x14ac:dyDescent="0.25">
      <c r="A1596" s="3" t="s">
        <v>281</v>
      </c>
      <c r="B1596" s="3" t="s">
        <v>326</v>
      </c>
      <c r="C1596" s="3">
        <v>2022</v>
      </c>
      <c r="D1596" s="4">
        <v>2</v>
      </c>
      <c r="E1596" s="5">
        <v>171.2</v>
      </c>
      <c r="F1596" s="5">
        <v>70.75</v>
      </c>
      <c r="G1596" s="3" t="str">
        <f>VLOOKUP(Registros[[#This Row],[Cliente]],Cliente_Region[],2,FALSE)</f>
        <v>Colombia</v>
      </c>
      <c r="H1596" s="3" t="str">
        <f>VLOOKUP(Registros[[#This Row],[Producto]],Producto[],2,FALSE)</f>
        <v>SALF</v>
      </c>
    </row>
    <row r="1597" spans="1:8" ht="20.100000000000001" customHeight="1" x14ac:dyDescent="0.25">
      <c r="A1597" s="3" t="s">
        <v>281</v>
      </c>
      <c r="B1597" s="3" t="s">
        <v>326</v>
      </c>
      <c r="C1597" s="3">
        <v>2022</v>
      </c>
      <c r="D1597" s="4">
        <v>3</v>
      </c>
      <c r="E1597" s="5">
        <v>136.19999999999999</v>
      </c>
      <c r="F1597" s="5">
        <v>61.32</v>
      </c>
      <c r="G1597" s="3" t="str">
        <f>VLOOKUP(Registros[[#This Row],[Cliente]],Cliente_Region[],2,FALSE)</f>
        <v>Colombia</v>
      </c>
      <c r="H1597" s="3" t="str">
        <f>VLOOKUP(Registros[[#This Row],[Producto]],Producto[],2,FALSE)</f>
        <v>SALF</v>
      </c>
    </row>
    <row r="1598" spans="1:8" ht="20.100000000000001" customHeight="1" x14ac:dyDescent="0.25">
      <c r="A1598" s="3" t="s">
        <v>281</v>
      </c>
      <c r="B1598" s="3" t="s">
        <v>326</v>
      </c>
      <c r="C1598" s="3">
        <v>2022</v>
      </c>
      <c r="D1598" s="4">
        <v>4</v>
      </c>
      <c r="E1598" s="5">
        <v>164</v>
      </c>
      <c r="F1598" s="5">
        <v>89.12</v>
      </c>
      <c r="G1598" s="3" t="str">
        <f>VLOOKUP(Registros[[#This Row],[Cliente]],Cliente_Region[],2,FALSE)</f>
        <v>Colombia</v>
      </c>
      <c r="H1598" s="3" t="str">
        <f>VLOOKUP(Registros[[#This Row],[Producto]],Producto[],2,FALSE)</f>
        <v>SALF</v>
      </c>
    </row>
    <row r="1599" spans="1:8" ht="20.100000000000001" customHeight="1" x14ac:dyDescent="0.25">
      <c r="A1599" s="3" t="s">
        <v>281</v>
      </c>
      <c r="B1599" s="3" t="s">
        <v>326</v>
      </c>
      <c r="C1599" s="3">
        <v>2022</v>
      </c>
      <c r="D1599" s="4">
        <v>5</v>
      </c>
      <c r="E1599" s="5">
        <v>184.5</v>
      </c>
      <c r="F1599" s="5">
        <v>100.26</v>
      </c>
      <c r="G1599" s="3" t="str">
        <f>VLOOKUP(Registros[[#This Row],[Cliente]],Cliente_Region[],2,FALSE)</f>
        <v>Colombia</v>
      </c>
      <c r="H1599" s="3" t="str">
        <f>VLOOKUP(Registros[[#This Row],[Producto]],Producto[],2,FALSE)</f>
        <v>SALF</v>
      </c>
    </row>
    <row r="1600" spans="1:8" ht="20.100000000000001" customHeight="1" x14ac:dyDescent="0.25">
      <c r="A1600" s="3" t="s">
        <v>281</v>
      </c>
      <c r="B1600" s="3" t="s">
        <v>326</v>
      </c>
      <c r="C1600" s="3">
        <v>2022</v>
      </c>
      <c r="D1600" s="4">
        <v>6</v>
      </c>
      <c r="E1600" s="5">
        <v>184.5</v>
      </c>
      <c r="F1600" s="5">
        <v>100.25</v>
      </c>
      <c r="G1600" s="3" t="str">
        <f>VLOOKUP(Registros[[#This Row],[Cliente]],Cliente_Region[],2,FALSE)</f>
        <v>Colombia</v>
      </c>
      <c r="H1600" s="3" t="str">
        <f>VLOOKUP(Registros[[#This Row],[Producto]],Producto[],2,FALSE)</f>
        <v>SALF</v>
      </c>
    </row>
    <row r="1601" spans="1:8" ht="20.100000000000001" customHeight="1" x14ac:dyDescent="0.25">
      <c r="A1601" s="3" t="s">
        <v>38</v>
      </c>
      <c r="B1601" s="3" t="s">
        <v>326</v>
      </c>
      <c r="C1601" s="3">
        <v>2022</v>
      </c>
      <c r="D1601" s="4">
        <v>1</v>
      </c>
      <c r="E1601" s="5">
        <v>23.8</v>
      </c>
      <c r="F1601" s="5">
        <v>13.46</v>
      </c>
      <c r="G1601" s="3" t="str">
        <f>VLOOKUP(Registros[[#This Row],[Cliente]],Cliente_Region[],2,FALSE)</f>
        <v>Colombia</v>
      </c>
      <c r="H1601" s="3" t="str">
        <f>VLOOKUP(Registros[[#This Row],[Producto]],Producto[],2,FALSE)</f>
        <v>LAX</v>
      </c>
    </row>
    <row r="1602" spans="1:8" ht="20.100000000000001" customHeight="1" x14ac:dyDescent="0.25">
      <c r="A1602" s="3" t="s">
        <v>39</v>
      </c>
      <c r="B1602" s="3" t="s">
        <v>326</v>
      </c>
      <c r="C1602" s="3">
        <v>2022</v>
      </c>
      <c r="D1602" s="4">
        <v>2</v>
      </c>
      <c r="E1602" s="5">
        <v>23.8</v>
      </c>
      <c r="F1602" s="5">
        <v>13.46</v>
      </c>
      <c r="G1602" s="3" t="str">
        <f>VLOOKUP(Registros[[#This Row],[Cliente]],Cliente_Region[],2,FALSE)</f>
        <v>Colombia</v>
      </c>
      <c r="H1602" s="3" t="str">
        <f>VLOOKUP(Registros[[#This Row],[Producto]],Producto[],2,FALSE)</f>
        <v>SALF</v>
      </c>
    </row>
    <row r="1603" spans="1:8" ht="20.100000000000001" customHeight="1" x14ac:dyDescent="0.25">
      <c r="A1603" s="3" t="s">
        <v>39</v>
      </c>
      <c r="B1603" s="3" t="s">
        <v>326</v>
      </c>
      <c r="C1603" s="3">
        <v>2022</v>
      </c>
      <c r="D1603" s="4">
        <v>3</v>
      </c>
      <c r="E1603" s="5">
        <v>23.8</v>
      </c>
      <c r="F1603" s="5">
        <v>13.46</v>
      </c>
      <c r="G1603" s="3" t="str">
        <f>VLOOKUP(Registros[[#This Row],[Cliente]],Cliente_Region[],2,FALSE)</f>
        <v>Colombia</v>
      </c>
      <c r="H1603" s="3" t="str">
        <f>VLOOKUP(Registros[[#This Row],[Producto]],Producto[],2,FALSE)</f>
        <v>SALF</v>
      </c>
    </row>
    <row r="1604" spans="1:8" ht="20.100000000000001" customHeight="1" x14ac:dyDescent="0.25">
      <c r="A1604" s="3" t="s">
        <v>39</v>
      </c>
      <c r="B1604" s="3" t="s">
        <v>326</v>
      </c>
      <c r="C1604" s="3">
        <v>2022</v>
      </c>
      <c r="D1604" s="4">
        <v>4</v>
      </c>
      <c r="E1604" s="5">
        <v>23.8</v>
      </c>
      <c r="F1604" s="5">
        <v>-2.92</v>
      </c>
      <c r="G1604" s="3" t="str">
        <f>VLOOKUP(Registros[[#This Row],[Cliente]],Cliente_Region[],2,FALSE)</f>
        <v>Colombia</v>
      </c>
      <c r="H1604" s="3" t="str">
        <f>VLOOKUP(Registros[[#This Row],[Producto]],Producto[],2,FALSE)</f>
        <v>SALF</v>
      </c>
    </row>
    <row r="1605" spans="1:8" ht="20.100000000000001" customHeight="1" x14ac:dyDescent="0.25">
      <c r="A1605" s="3" t="s">
        <v>39</v>
      </c>
      <c r="B1605" s="3" t="s">
        <v>326</v>
      </c>
      <c r="C1605" s="3">
        <v>2022</v>
      </c>
      <c r="D1605" s="4">
        <v>5</v>
      </c>
      <c r="E1605" s="5">
        <v>23.8</v>
      </c>
      <c r="F1605" s="5">
        <v>13.46</v>
      </c>
      <c r="G1605" s="3" t="str">
        <f>VLOOKUP(Registros[[#This Row],[Cliente]],Cliente_Region[],2,FALSE)</f>
        <v>Colombia</v>
      </c>
      <c r="H1605" s="3" t="str">
        <f>VLOOKUP(Registros[[#This Row],[Producto]],Producto[],2,FALSE)</f>
        <v>SALF</v>
      </c>
    </row>
    <row r="1606" spans="1:8" ht="20.100000000000001" customHeight="1" x14ac:dyDescent="0.25">
      <c r="A1606" s="3" t="s">
        <v>40</v>
      </c>
      <c r="B1606" s="3" t="s">
        <v>326</v>
      </c>
      <c r="C1606" s="3">
        <v>2022</v>
      </c>
      <c r="D1606" s="4">
        <v>1</v>
      </c>
      <c r="E1606" s="5">
        <v>43</v>
      </c>
      <c r="F1606" s="5">
        <v>23.16</v>
      </c>
      <c r="G1606" s="3" t="str">
        <f>VLOOKUP(Registros[[#This Row],[Cliente]],Cliente_Region[],2,FALSE)</f>
        <v>Colombia</v>
      </c>
      <c r="H1606" s="3" t="str">
        <f>VLOOKUP(Registros[[#This Row],[Producto]],Producto[],2,FALSE)</f>
        <v>DAWNE</v>
      </c>
    </row>
    <row r="1607" spans="1:8" ht="20.100000000000001" customHeight="1" x14ac:dyDescent="0.25">
      <c r="A1607" s="3" t="s">
        <v>41</v>
      </c>
      <c r="B1607" s="3" t="s">
        <v>326</v>
      </c>
      <c r="C1607" s="3">
        <v>2022</v>
      </c>
      <c r="D1607" s="4">
        <v>3</v>
      </c>
      <c r="E1607" s="5">
        <v>21.5</v>
      </c>
      <c r="F1607" s="5">
        <v>11.58</v>
      </c>
      <c r="G1607" s="3" t="str">
        <f>VLOOKUP(Registros[[#This Row],[Cliente]],Cliente_Region[],2,FALSE)</f>
        <v>Colombia</v>
      </c>
      <c r="H1607" s="3" t="str">
        <f>VLOOKUP(Registros[[#This Row],[Producto]],Producto[],2,FALSE)</f>
        <v>DONANY</v>
      </c>
    </row>
    <row r="1608" spans="1:8" ht="20.100000000000001" customHeight="1" x14ac:dyDescent="0.25">
      <c r="A1608" s="3" t="s">
        <v>41</v>
      </c>
      <c r="B1608" s="3" t="s">
        <v>326</v>
      </c>
      <c r="C1608" s="3">
        <v>2022</v>
      </c>
      <c r="D1608" s="4">
        <v>4</v>
      </c>
      <c r="E1608" s="5">
        <v>21.5</v>
      </c>
      <c r="F1608" s="5">
        <v>-0.83</v>
      </c>
      <c r="G1608" s="3" t="str">
        <f>VLOOKUP(Registros[[#This Row],[Cliente]],Cliente_Region[],2,FALSE)</f>
        <v>Colombia</v>
      </c>
      <c r="H1608" s="3" t="str">
        <f>VLOOKUP(Registros[[#This Row],[Producto]],Producto[],2,FALSE)</f>
        <v>DONANY</v>
      </c>
    </row>
    <row r="1609" spans="1:8" ht="20.100000000000001" customHeight="1" x14ac:dyDescent="0.25">
      <c r="A1609" s="3" t="s">
        <v>42</v>
      </c>
      <c r="B1609" s="3" t="s">
        <v>326</v>
      </c>
      <c r="C1609" s="3">
        <v>2022</v>
      </c>
      <c r="D1609" s="4">
        <v>1</v>
      </c>
      <c r="E1609" s="5">
        <v>23</v>
      </c>
      <c r="F1609" s="5">
        <v>11.85</v>
      </c>
      <c r="G1609" s="3" t="str">
        <f>VLOOKUP(Registros[[#This Row],[Cliente]],Cliente_Region[],2,FALSE)</f>
        <v>Colombia</v>
      </c>
      <c r="H1609" s="3" t="str">
        <f>VLOOKUP(Registros[[#This Row],[Producto]],Producto[],2,FALSE)</f>
        <v>GAMBO</v>
      </c>
    </row>
    <row r="1610" spans="1:8" ht="20.100000000000001" customHeight="1" x14ac:dyDescent="0.25">
      <c r="A1610" s="3" t="s">
        <v>43</v>
      </c>
      <c r="B1610" s="3" t="s">
        <v>326</v>
      </c>
      <c r="C1610" s="3">
        <v>2022</v>
      </c>
      <c r="D1610" s="4">
        <v>2</v>
      </c>
      <c r="E1610" s="5">
        <v>78.650000000000006</v>
      </c>
      <c r="F1610" s="5">
        <v>29.4</v>
      </c>
      <c r="G1610" s="3" t="str">
        <f>VLOOKUP(Registros[[#This Row],[Cliente]],Cliente_Region[],2,FALSE)</f>
        <v>Colombia</v>
      </c>
      <c r="H1610" s="3" t="str">
        <f>VLOOKUP(Registros[[#This Row],[Producto]],Producto[],2,FALSE)</f>
        <v>MOC</v>
      </c>
    </row>
    <row r="1611" spans="1:8" ht="20.100000000000001" customHeight="1" x14ac:dyDescent="0.25">
      <c r="A1611" s="3" t="s">
        <v>43</v>
      </c>
      <c r="B1611" s="3" t="s">
        <v>326</v>
      </c>
      <c r="C1611" s="3">
        <v>2022</v>
      </c>
      <c r="D1611" s="4">
        <v>4</v>
      </c>
      <c r="E1611" s="5">
        <v>23</v>
      </c>
      <c r="F1611" s="5">
        <v>11.85</v>
      </c>
      <c r="G1611" s="3" t="str">
        <f>VLOOKUP(Registros[[#This Row],[Cliente]],Cliente_Region[],2,FALSE)</f>
        <v>Colombia</v>
      </c>
      <c r="H1611" s="3" t="str">
        <f>VLOOKUP(Registros[[#This Row],[Producto]],Producto[],2,FALSE)</f>
        <v>MOC</v>
      </c>
    </row>
    <row r="1612" spans="1:8" ht="20.100000000000001" customHeight="1" x14ac:dyDescent="0.25">
      <c r="A1612" s="3" t="s">
        <v>282</v>
      </c>
      <c r="B1612" s="3" t="s">
        <v>326</v>
      </c>
      <c r="C1612" s="3">
        <v>2022</v>
      </c>
      <c r="D1612" s="4">
        <v>1</v>
      </c>
      <c r="E1612" s="5">
        <v>156.75</v>
      </c>
      <c r="F1612" s="5">
        <v>79.63</v>
      </c>
      <c r="G1612" s="3" t="str">
        <f>VLOOKUP(Registros[[#This Row],[Cliente]],Cliente_Region[],2,FALSE)</f>
        <v>Colombia</v>
      </c>
      <c r="H1612" s="3" t="str">
        <f>VLOOKUP(Registros[[#This Row],[Producto]],Producto[],2,FALSE)</f>
        <v>DAWNE</v>
      </c>
    </row>
    <row r="1613" spans="1:8" ht="20.100000000000001" customHeight="1" x14ac:dyDescent="0.25">
      <c r="A1613" s="3" t="s">
        <v>114</v>
      </c>
      <c r="B1613" s="3" t="s">
        <v>326</v>
      </c>
      <c r="C1613" s="3">
        <v>2022</v>
      </c>
      <c r="D1613" s="4">
        <v>2</v>
      </c>
      <c r="E1613" s="5">
        <v>117.5</v>
      </c>
      <c r="F1613" s="5">
        <v>61.42</v>
      </c>
      <c r="G1613" s="3" t="str">
        <f>VLOOKUP(Registros[[#This Row],[Cliente]],Cliente_Region[],2,FALSE)</f>
        <v>Colombia</v>
      </c>
      <c r="H1613" s="3" t="str">
        <f>VLOOKUP(Registros[[#This Row],[Producto]],Producto[],2,FALSE)</f>
        <v>DAWNE</v>
      </c>
    </row>
    <row r="1614" spans="1:8" ht="20.100000000000001" customHeight="1" x14ac:dyDescent="0.25">
      <c r="A1614" s="3" t="s">
        <v>114</v>
      </c>
      <c r="B1614" s="3" t="s">
        <v>326</v>
      </c>
      <c r="C1614" s="3">
        <v>2022</v>
      </c>
      <c r="D1614" s="4">
        <v>3</v>
      </c>
      <c r="E1614" s="5">
        <v>144.25</v>
      </c>
      <c r="F1614" s="5">
        <v>74.150000000000006</v>
      </c>
      <c r="G1614" s="3" t="str">
        <f>VLOOKUP(Registros[[#This Row],[Cliente]],Cliente_Region[],2,FALSE)</f>
        <v>Colombia</v>
      </c>
      <c r="H1614" s="3" t="str">
        <f>VLOOKUP(Registros[[#This Row],[Producto]],Producto[],2,FALSE)</f>
        <v>DAWNE</v>
      </c>
    </row>
    <row r="1615" spans="1:8" ht="20.100000000000001" customHeight="1" x14ac:dyDescent="0.25">
      <c r="A1615" s="3" t="s">
        <v>114</v>
      </c>
      <c r="B1615" s="3" t="s">
        <v>326</v>
      </c>
      <c r="C1615" s="3">
        <v>2022</v>
      </c>
      <c r="D1615" s="4">
        <v>4</v>
      </c>
      <c r="E1615" s="5">
        <v>114</v>
      </c>
      <c r="F1615" s="5">
        <v>57.92</v>
      </c>
      <c r="G1615" s="3" t="str">
        <f>VLOOKUP(Registros[[#This Row],[Cliente]],Cliente_Region[],2,FALSE)</f>
        <v>Colombia</v>
      </c>
      <c r="H1615" s="3" t="str">
        <f>VLOOKUP(Registros[[#This Row],[Producto]],Producto[],2,FALSE)</f>
        <v>DAWNE</v>
      </c>
    </row>
    <row r="1616" spans="1:8" ht="20.100000000000001" customHeight="1" x14ac:dyDescent="0.25">
      <c r="A1616" s="3" t="s">
        <v>114</v>
      </c>
      <c r="B1616" s="3" t="s">
        <v>326</v>
      </c>
      <c r="C1616" s="3">
        <v>2022</v>
      </c>
      <c r="D1616" s="4">
        <v>5</v>
      </c>
      <c r="E1616" s="5">
        <v>144.75</v>
      </c>
      <c r="F1616" s="5">
        <v>74.650000000000006</v>
      </c>
      <c r="G1616" s="3" t="str">
        <f>VLOOKUP(Registros[[#This Row],[Cliente]],Cliente_Region[],2,FALSE)</f>
        <v>Colombia</v>
      </c>
      <c r="H1616" s="3" t="str">
        <f>VLOOKUP(Registros[[#This Row],[Producto]],Producto[],2,FALSE)</f>
        <v>DAWNE</v>
      </c>
    </row>
    <row r="1617" spans="1:8" ht="20.100000000000001" customHeight="1" x14ac:dyDescent="0.25">
      <c r="A1617" s="3" t="s">
        <v>114</v>
      </c>
      <c r="B1617" s="3" t="s">
        <v>326</v>
      </c>
      <c r="C1617" s="3">
        <v>2022</v>
      </c>
      <c r="D1617" s="4">
        <v>6</v>
      </c>
      <c r="E1617" s="5">
        <v>114</v>
      </c>
      <c r="F1617" s="5">
        <v>57.91</v>
      </c>
      <c r="G1617" s="3" t="str">
        <f>VLOOKUP(Registros[[#This Row],[Cliente]],Cliente_Region[],2,FALSE)</f>
        <v>Colombia</v>
      </c>
      <c r="H1617" s="3" t="str">
        <f>VLOOKUP(Registros[[#This Row],[Producto]],Producto[],2,FALSE)</f>
        <v>DAWNE</v>
      </c>
    </row>
    <row r="1618" spans="1:8" ht="20.100000000000001" customHeight="1" x14ac:dyDescent="0.25">
      <c r="A1618" s="3" t="s">
        <v>135</v>
      </c>
      <c r="B1618" s="3" t="s">
        <v>326</v>
      </c>
      <c r="C1618" s="3">
        <v>2022</v>
      </c>
      <c r="D1618" s="4">
        <v>1</v>
      </c>
      <c r="E1618" s="5">
        <v>237.25</v>
      </c>
      <c r="F1618" s="5">
        <v>148.99</v>
      </c>
      <c r="G1618" s="3" t="str">
        <f>VLOOKUP(Registros[[#This Row],[Cliente]],Cliente_Region[],2,FALSE)</f>
        <v>Colombia</v>
      </c>
      <c r="H1618" s="3" t="str">
        <f>VLOOKUP(Registros[[#This Row],[Producto]],Producto[],2,FALSE)</f>
        <v>GAMBO</v>
      </c>
    </row>
    <row r="1619" spans="1:8" ht="20.100000000000001" customHeight="1" x14ac:dyDescent="0.25">
      <c r="A1619" s="3" t="s">
        <v>93</v>
      </c>
      <c r="B1619" s="3" t="s">
        <v>326</v>
      </c>
      <c r="C1619" s="3">
        <v>2022</v>
      </c>
      <c r="D1619" s="4">
        <v>2</v>
      </c>
      <c r="E1619" s="5">
        <v>285.23</v>
      </c>
      <c r="F1619" s="5">
        <v>177.11</v>
      </c>
      <c r="G1619" s="3" t="str">
        <f>VLOOKUP(Registros[[#This Row],[Cliente]],Cliente_Region[],2,FALSE)</f>
        <v>Colombia</v>
      </c>
      <c r="H1619" s="3" t="str">
        <f>VLOOKUP(Registros[[#This Row],[Producto]],Producto[],2,FALSE)</f>
        <v>GAMBO</v>
      </c>
    </row>
    <row r="1620" spans="1:8" ht="20.100000000000001" customHeight="1" x14ac:dyDescent="0.25">
      <c r="A1620" s="3" t="s">
        <v>93</v>
      </c>
      <c r="B1620" s="3" t="s">
        <v>326</v>
      </c>
      <c r="C1620" s="3">
        <v>2022</v>
      </c>
      <c r="D1620" s="4">
        <v>3</v>
      </c>
      <c r="E1620" s="5">
        <v>229.75</v>
      </c>
      <c r="F1620" s="5">
        <v>148.87</v>
      </c>
      <c r="G1620" s="3" t="str">
        <f>VLOOKUP(Registros[[#This Row],[Cliente]],Cliente_Region[],2,FALSE)</f>
        <v>Colombia</v>
      </c>
      <c r="H1620" s="3" t="str">
        <f>VLOOKUP(Registros[[#This Row],[Producto]],Producto[],2,FALSE)</f>
        <v>GAMBO</v>
      </c>
    </row>
    <row r="1621" spans="1:8" ht="20.100000000000001" customHeight="1" x14ac:dyDescent="0.25">
      <c r="A1621" s="3" t="s">
        <v>93</v>
      </c>
      <c r="B1621" s="3" t="s">
        <v>326</v>
      </c>
      <c r="C1621" s="3">
        <v>2022</v>
      </c>
      <c r="D1621" s="4">
        <v>4</v>
      </c>
      <c r="E1621" s="5">
        <v>243.75</v>
      </c>
      <c r="F1621" s="5">
        <v>156.13</v>
      </c>
      <c r="G1621" s="3" t="str">
        <f>VLOOKUP(Registros[[#This Row],[Cliente]],Cliente_Region[],2,FALSE)</f>
        <v>Colombia</v>
      </c>
      <c r="H1621" s="3" t="str">
        <f>VLOOKUP(Registros[[#This Row],[Producto]],Producto[],2,FALSE)</f>
        <v>GAMBO</v>
      </c>
    </row>
    <row r="1622" spans="1:8" ht="20.100000000000001" customHeight="1" x14ac:dyDescent="0.25">
      <c r="A1622" s="3" t="s">
        <v>93</v>
      </c>
      <c r="B1622" s="3" t="s">
        <v>326</v>
      </c>
      <c r="C1622" s="3">
        <v>2022</v>
      </c>
      <c r="D1622" s="4">
        <v>5</v>
      </c>
      <c r="E1622" s="5">
        <v>182.5</v>
      </c>
      <c r="F1622" s="5">
        <v>115.1</v>
      </c>
      <c r="G1622" s="3" t="str">
        <f>VLOOKUP(Registros[[#This Row],[Cliente]],Cliente_Region[],2,FALSE)</f>
        <v>Colombia</v>
      </c>
      <c r="H1622" s="3" t="str">
        <f>VLOOKUP(Registros[[#This Row],[Producto]],Producto[],2,FALSE)</f>
        <v>GAMBO</v>
      </c>
    </row>
    <row r="1623" spans="1:8" ht="20.100000000000001" customHeight="1" x14ac:dyDescent="0.25">
      <c r="A1623" s="3" t="s">
        <v>93</v>
      </c>
      <c r="B1623" s="3" t="s">
        <v>326</v>
      </c>
      <c r="C1623" s="3">
        <v>2022</v>
      </c>
      <c r="D1623" s="4">
        <v>6</v>
      </c>
      <c r="E1623" s="5">
        <v>146</v>
      </c>
      <c r="F1623" s="5">
        <v>92.08</v>
      </c>
      <c r="G1623" s="3" t="str">
        <f>VLOOKUP(Registros[[#This Row],[Cliente]],Cliente_Region[],2,FALSE)</f>
        <v>Colombia</v>
      </c>
      <c r="H1623" s="3" t="str">
        <f>VLOOKUP(Registros[[#This Row],[Producto]],Producto[],2,FALSE)</f>
        <v>GAMBO</v>
      </c>
    </row>
    <row r="1624" spans="1:8" ht="20.100000000000001" customHeight="1" x14ac:dyDescent="0.25">
      <c r="A1624" s="3" t="s">
        <v>136</v>
      </c>
      <c r="B1624" s="3" t="s">
        <v>326</v>
      </c>
      <c r="C1624" s="3">
        <v>2022</v>
      </c>
      <c r="D1624" s="4">
        <v>4</v>
      </c>
      <c r="E1624" s="5">
        <v>17.25</v>
      </c>
      <c r="F1624" s="5">
        <v>4.79</v>
      </c>
      <c r="G1624" s="3" t="str">
        <f>VLOOKUP(Registros[[#This Row],[Cliente]],Cliente_Region[],2,FALSE)</f>
        <v>Colombia</v>
      </c>
      <c r="H1624" s="3" t="str">
        <f>VLOOKUP(Registros[[#This Row],[Producto]],Producto[],2,FALSE)</f>
        <v>CHOTUS</v>
      </c>
    </row>
    <row r="1625" spans="1:8" ht="20.100000000000001" customHeight="1" x14ac:dyDescent="0.25">
      <c r="A1625" s="3" t="s">
        <v>137</v>
      </c>
      <c r="B1625" s="3" t="s">
        <v>326</v>
      </c>
      <c r="C1625" s="3">
        <v>2022</v>
      </c>
      <c r="D1625" s="4">
        <v>6</v>
      </c>
      <c r="E1625" s="5">
        <v>17.25</v>
      </c>
      <c r="F1625" s="5">
        <v>4.79</v>
      </c>
      <c r="G1625" s="3" t="str">
        <f>VLOOKUP(Registros[[#This Row],[Cliente]],Cliente_Region[],2,FALSE)</f>
        <v>Colombia</v>
      </c>
      <c r="H1625" s="3" t="str">
        <f>VLOOKUP(Registros[[#This Row],[Producto]],Producto[],2,FALSE)</f>
        <v>QUOKAR</v>
      </c>
    </row>
    <row r="1626" spans="1:8" ht="20.100000000000001" customHeight="1" x14ac:dyDescent="0.25">
      <c r="A1626" s="3" t="s">
        <v>88</v>
      </c>
      <c r="B1626" s="3" t="s">
        <v>326</v>
      </c>
      <c r="C1626" s="3">
        <v>2022</v>
      </c>
      <c r="D1626" s="4">
        <v>3</v>
      </c>
      <c r="E1626" s="5">
        <v>13.2</v>
      </c>
      <c r="F1626" s="5">
        <v>10.75</v>
      </c>
      <c r="G1626" s="3" t="str">
        <f>VLOOKUP(Registros[[#This Row],[Cliente]],Cliente_Region[],2,FALSE)</f>
        <v>Colombia</v>
      </c>
      <c r="H1626" s="3" t="str">
        <f>VLOOKUP(Registros[[#This Row],[Producto]],Producto[],2,FALSE)</f>
        <v>DAWNE</v>
      </c>
    </row>
    <row r="1627" spans="1:8" ht="20.100000000000001" customHeight="1" x14ac:dyDescent="0.25">
      <c r="A1627" s="3" t="s">
        <v>77</v>
      </c>
      <c r="B1627" s="3" t="s">
        <v>326</v>
      </c>
      <c r="C1627" s="3">
        <v>2022</v>
      </c>
      <c r="D1627" s="4">
        <v>1</v>
      </c>
      <c r="E1627" s="5">
        <v>51.7</v>
      </c>
      <c r="F1627" s="5">
        <v>31.94</v>
      </c>
      <c r="G1627" s="3" t="str">
        <f>VLOOKUP(Registros[[#This Row],[Cliente]],Cliente_Region[],2,FALSE)</f>
        <v>Colombia</v>
      </c>
      <c r="H1627" s="3" t="str">
        <f>VLOOKUP(Registros[[#This Row],[Producto]],Producto[],2,FALSE)</f>
        <v>LAX</v>
      </c>
    </row>
    <row r="1628" spans="1:8" ht="20.100000000000001" customHeight="1" x14ac:dyDescent="0.25">
      <c r="A1628" s="3" t="s">
        <v>78</v>
      </c>
      <c r="B1628" s="3" t="s">
        <v>326</v>
      </c>
      <c r="C1628" s="3">
        <v>2022</v>
      </c>
      <c r="D1628" s="4">
        <v>4</v>
      </c>
      <c r="E1628" s="5">
        <v>34.1</v>
      </c>
      <c r="F1628" s="5">
        <v>24.22</v>
      </c>
      <c r="G1628" s="3" t="str">
        <f>VLOOKUP(Registros[[#This Row],[Cliente]],Cliente_Region[],2,FALSE)</f>
        <v>Colombia</v>
      </c>
      <c r="H1628" s="3" t="str">
        <f>VLOOKUP(Registros[[#This Row],[Producto]],Producto[],2,FALSE)</f>
        <v>MOC</v>
      </c>
    </row>
    <row r="1629" spans="1:8" ht="20.100000000000001" customHeight="1" x14ac:dyDescent="0.25">
      <c r="A1629" s="3" t="s">
        <v>79</v>
      </c>
      <c r="B1629" s="3" t="s">
        <v>326</v>
      </c>
      <c r="C1629" s="3">
        <v>2022</v>
      </c>
      <c r="D1629" s="4">
        <v>5</v>
      </c>
      <c r="E1629" s="5">
        <v>15.25</v>
      </c>
      <c r="F1629" s="5">
        <v>9.7100000000000009</v>
      </c>
      <c r="G1629" s="3" t="str">
        <f>VLOOKUP(Registros[[#This Row],[Cliente]],Cliente_Region[],2,FALSE)</f>
        <v>Colombia</v>
      </c>
      <c r="H1629" s="3" t="str">
        <f>VLOOKUP(Registros[[#This Row],[Producto]],Producto[],2,FALSE)</f>
        <v>SALF</v>
      </c>
    </row>
    <row r="1630" spans="1:8" ht="20.100000000000001" customHeight="1" x14ac:dyDescent="0.25">
      <c r="A1630" s="3" t="s">
        <v>92</v>
      </c>
      <c r="B1630" s="3" t="s">
        <v>326</v>
      </c>
      <c r="C1630" s="3">
        <v>2022</v>
      </c>
      <c r="D1630" s="4">
        <v>4</v>
      </c>
      <c r="E1630" s="5">
        <v>28.9</v>
      </c>
      <c r="F1630" s="5">
        <v>10.17</v>
      </c>
      <c r="G1630" s="3" t="str">
        <f>VLOOKUP(Registros[[#This Row],[Cliente]],Cliente_Region[],2,FALSE)</f>
        <v>Colombia</v>
      </c>
      <c r="H1630" s="3" t="str">
        <f>VLOOKUP(Registros[[#This Row],[Producto]],Producto[],2,FALSE)</f>
        <v>MOC</v>
      </c>
    </row>
    <row r="1631" spans="1:8" ht="20.100000000000001" customHeight="1" x14ac:dyDescent="0.25">
      <c r="A1631" s="3" t="s">
        <v>81</v>
      </c>
      <c r="B1631" s="3" t="s">
        <v>326</v>
      </c>
      <c r="C1631" s="3">
        <v>2022</v>
      </c>
      <c r="D1631" s="4">
        <v>2</v>
      </c>
      <c r="E1631" s="5">
        <v>17.600000000000001</v>
      </c>
      <c r="F1631" s="5">
        <v>3.62</v>
      </c>
      <c r="G1631" s="3" t="str">
        <f>VLOOKUP(Registros[[#This Row],[Cliente]],Cliente_Region[],2,FALSE)</f>
        <v>Colombia</v>
      </c>
      <c r="H1631" s="3" t="str">
        <f>VLOOKUP(Registros[[#This Row],[Producto]],Producto[],2,FALSE)</f>
        <v>QUOKAR</v>
      </c>
    </row>
    <row r="1632" spans="1:8" ht="20.100000000000001" customHeight="1" x14ac:dyDescent="0.25">
      <c r="A1632" s="3" t="s">
        <v>82</v>
      </c>
      <c r="B1632" s="3" t="s">
        <v>326</v>
      </c>
      <c r="C1632" s="3">
        <v>2022</v>
      </c>
      <c r="D1632" s="4">
        <v>5</v>
      </c>
      <c r="E1632" s="5">
        <v>17.600000000000001</v>
      </c>
      <c r="F1632" s="5">
        <v>3.62</v>
      </c>
      <c r="G1632" s="3" t="str">
        <f>VLOOKUP(Registros[[#This Row],[Cliente]],Cliente_Region[],2,FALSE)</f>
        <v>Colombia</v>
      </c>
      <c r="H1632" s="3" t="str">
        <f>VLOOKUP(Registros[[#This Row],[Producto]],Producto[],2,FALSE)</f>
        <v>LAX</v>
      </c>
    </row>
    <row r="1633" spans="1:8" ht="20.100000000000001" customHeight="1" x14ac:dyDescent="0.25">
      <c r="A1633" s="3" t="s">
        <v>116</v>
      </c>
      <c r="B1633" s="3" t="s">
        <v>329</v>
      </c>
      <c r="C1633" s="3">
        <v>2022</v>
      </c>
      <c r="D1633" s="4">
        <v>4</v>
      </c>
      <c r="E1633" s="5">
        <v>360</v>
      </c>
      <c r="F1633" s="5">
        <v>225.74</v>
      </c>
      <c r="G1633" s="3" t="str">
        <f>VLOOKUP(Registros[[#This Row],[Cliente]],Cliente_Region[],2,FALSE)</f>
        <v>Chile</v>
      </c>
      <c r="H1633" s="3" t="str">
        <f>VLOOKUP(Registros[[#This Row],[Producto]],Producto[],2,FALSE)</f>
        <v>QUOKAR</v>
      </c>
    </row>
    <row r="1634" spans="1:8" ht="20.100000000000001" customHeight="1" x14ac:dyDescent="0.25">
      <c r="A1634" s="3" t="s">
        <v>117</v>
      </c>
      <c r="B1634" s="3" t="s">
        <v>329</v>
      </c>
      <c r="C1634" s="3">
        <v>2022</v>
      </c>
      <c r="D1634" s="4">
        <v>6</v>
      </c>
      <c r="E1634" s="5">
        <v>352</v>
      </c>
      <c r="F1634" s="5">
        <v>113.33</v>
      </c>
      <c r="G1634" s="3" t="str">
        <f>VLOOKUP(Registros[[#This Row],[Cliente]],Cliente_Region[],2,FALSE)</f>
        <v>Chile</v>
      </c>
      <c r="H1634" s="3" t="str">
        <f>VLOOKUP(Registros[[#This Row],[Producto]],Producto[],2,FALSE)</f>
        <v>CHOTUS</v>
      </c>
    </row>
    <row r="1635" spans="1:8" ht="20.100000000000001" customHeight="1" x14ac:dyDescent="0.25">
      <c r="A1635" s="3" t="s">
        <v>86</v>
      </c>
      <c r="B1635" s="3" t="s">
        <v>330</v>
      </c>
      <c r="C1635" s="3">
        <v>2022</v>
      </c>
      <c r="D1635" s="4">
        <v>2</v>
      </c>
      <c r="E1635" s="5">
        <v>14.58</v>
      </c>
      <c r="F1635" s="5">
        <v>9.26</v>
      </c>
      <c r="G1635" s="3" t="str">
        <f>VLOOKUP(Registros[[#This Row],[Cliente]],Cliente_Region[],2,FALSE)</f>
        <v>Peru</v>
      </c>
      <c r="H1635" s="3" t="str">
        <f>VLOOKUP(Registros[[#This Row],[Producto]],Producto[],2,FALSE)</f>
        <v>GAMBO</v>
      </c>
    </row>
    <row r="1636" spans="1:8" ht="20.100000000000001" customHeight="1" x14ac:dyDescent="0.25">
      <c r="A1636" s="3" t="s">
        <v>88</v>
      </c>
      <c r="B1636" s="3" t="s">
        <v>330</v>
      </c>
      <c r="C1636" s="3">
        <v>2022</v>
      </c>
      <c r="D1636" s="4">
        <v>2</v>
      </c>
      <c r="E1636" s="5">
        <v>13.2</v>
      </c>
      <c r="F1636" s="5">
        <v>10.75</v>
      </c>
      <c r="G1636" s="3" t="str">
        <f>VLOOKUP(Registros[[#This Row],[Cliente]],Cliente_Region[],2,FALSE)</f>
        <v>Peru</v>
      </c>
      <c r="H1636" s="3" t="str">
        <f>VLOOKUP(Registros[[#This Row],[Producto]],Producto[],2,FALSE)</f>
        <v>DAWNE</v>
      </c>
    </row>
    <row r="1637" spans="1:8" ht="20.100000000000001" customHeight="1" x14ac:dyDescent="0.25">
      <c r="A1637" s="3" t="s">
        <v>90</v>
      </c>
      <c r="B1637" s="3" t="s">
        <v>330</v>
      </c>
      <c r="C1637" s="3">
        <v>2022</v>
      </c>
      <c r="D1637" s="4">
        <v>2</v>
      </c>
      <c r="E1637" s="5">
        <v>15.13</v>
      </c>
      <c r="F1637" s="5">
        <v>12.01</v>
      </c>
      <c r="G1637" s="3" t="str">
        <f>VLOOKUP(Registros[[#This Row],[Cliente]],Cliente_Region[],2,FALSE)</f>
        <v>Peru</v>
      </c>
      <c r="H1637" s="3" t="str">
        <f>VLOOKUP(Registros[[#This Row],[Producto]],Producto[],2,FALSE)</f>
        <v>CHOTUS</v>
      </c>
    </row>
    <row r="1638" spans="1:8" ht="20.100000000000001" customHeight="1" x14ac:dyDescent="0.25">
      <c r="A1638" s="3" t="s">
        <v>297</v>
      </c>
      <c r="B1638" s="3" t="s">
        <v>330</v>
      </c>
      <c r="C1638" s="3">
        <v>2022</v>
      </c>
      <c r="D1638" s="4">
        <v>2</v>
      </c>
      <c r="E1638" s="5">
        <v>37</v>
      </c>
      <c r="F1638" s="5">
        <v>18.71</v>
      </c>
      <c r="G1638" s="3" t="str">
        <f>VLOOKUP(Registros[[#This Row],[Cliente]],Cliente_Region[],2,FALSE)</f>
        <v>Peru</v>
      </c>
      <c r="H1638" s="3" t="str">
        <f>VLOOKUP(Registros[[#This Row],[Producto]],Producto[],2,FALSE)</f>
        <v>LAX</v>
      </c>
    </row>
    <row r="1639" spans="1:8" ht="20.100000000000001" customHeight="1" x14ac:dyDescent="0.25">
      <c r="A1639" s="3" t="s">
        <v>77</v>
      </c>
      <c r="B1639" s="3" t="s">
        <v>330</v>
      </c>
      <c r="C1639" s="3">
        <v>2022</v>
      </c>
      <c r="D1639" s="4">
        <v>2</v>
      </c>
      <c r="E1639" s="5">
        <v>136.4</v>
      </c>
      <c r="F1639" s="5">
        <v>96.89</v>
      </c>
      <c r="G1639" s="3" t="str">
        <f>VLOOKUP(Registros[[#This Row],[Cliente]],Cliente_Region[],2,FALSE)</f>
        <v>Peru</v>
      </c>
      <c r="H1639" s="3" t="str">
        <f>VLOOKUP(Registros[[#This Row],[Producto]],Producto[],2,FALSE)</f>
        <v>LAX</v>
      </c>
    </row>
    <row r="1640" spans="1:8" ht="20.100000000000001" customHeight="1" x14ac:dyDescent="0.25">
      <c r="A1640" s="3" t="s">
        <v>92</v>
      </c>
      <c r="B1640" s="3" t="s">
        <v>330</v>
      </c>
      <c r="C1640" s="3">
        <v>2022</v>
      </c>
      <c r="D1640" s="4">
        <v>2</v>
      </c>
      <c r="E1640" s="5">
        <v>40.15</v>
      </c>
      <c r="F1640" s="5">
        <v>21.42</v>
      </c>
      <c r="G1640" s="3" t="str">
        <f>VLOOKUP(Registros[[#This Row],[Cliente]],Cliente_Region[],2,FALSE)</f>
        <v>Peru</v>
      </c>
      <c r="H1640" s="3" t="str">
        <f>VLOOKUP(Registros[[#This Row],[Producto]],Producto[],2,FALSE)</f>
        <v>MOC</v>
      </c>
    </row>
    <row r="1641" spans="1:8" ht="20.100000000000001" customHeight="1" x14ac:dyDescent="0.25">
      <c r="A1641" s="3" t="s">
        <v>299</v>
      </c>
      <c r="B1641" s="3" t="s">
        <v>330</v>
      </c>
      <c r="C1641" s="3">
        <v>2022</v>
      </c>
      <c r="D1641" s="4">
        <v>2</v>
      </c>
      <c r="E1641" s="5">
        <v>95</v>
      </c>
      <c r="F1641" s="5">
        <v>52.9</v>
      </c>
      <c r="G1641" s="3" t="str">
        <f>VLOOKUP(Registros[[#This Row],[Cliente]],Cliente_Region[],2,FALSE)</f>
        <v>Peru</v>
      </c>
      <c r="H1641" s="3" t="str">
        <f>VLOOKUP(Registros[[#This Row],[Producto]],Producto[],2,FALSE)</f>
        <v>SALF</v>
      </c>
    </row>
    <row r="1642" spans="1:8" ht="20.100000000000001" customHeight="1" x14ac:dyDescent="0.25">
      <c r="A1642" s="3" t="s">
        <v>331</v>
      </c>
      <c r="B1642" s="3" t="s">
        <v>330</v>
      </c>
      <c r="C1642" s="3">
        <v>2022</v>
      </c>
      <c r="D1642" s="4">
        <v>2</v>
      </c>
      <c r="E1642" s="5">
        <v>70</v>
      </c>
      <c r="F1642" s="5">
        <v>40.909999999999997</v>
      </c>
      <c r="G1642" s="3" t="str">
        <f>VLOOKUP(Registros[[#This Row],[Cliente]],Cliente_Region[],2,FALSE)</f>
        <v>Peru</v>
      </c>
      <c r="H1642" s="3" t="str">
        <f>VLOOKUP(Registros[[#This Row],[Producto]],Producto[],2,FALSE)</f>
        <v>SALF</v>
      </c>
    </row>
    <row r="1643" spans="1:8" ht="20.100000000000001" customHeight="1" x14ac:dyDescent="0.25">
      <c r="A1643" s="3" t="s">
        <v>81</v>
      </c>
      <c r="B1643" s="3" t="s">
        <v>330</v>
      </c>
      <c r="C1643" s="3">
        <v>2022</v>
      </c>
      <c r="D1643" s="4">
        <v>2</v>
      </c>
      <c r="E1643" s="5">
        <v>23.93</v>
      </c>
      <c r="F1643" s="5">
        <v>9.9499999999999993</v>
      </c>
      <c r="G1643" s="3" t="str">
        <f>VLOOKUP(Registros[[#This Row],[Cliente]],Cliente_Region[],2,FALSE)</f>
        <v>Peru</v>
      </c>
      <c r="H1643" s="3" t="str">
        <f>VLOOKUP(Registros[[#This Row],[Producto]],Producto[],2,FALSE)</f>
        <v>QUOKAR</v>
      </c>
    </row>
    <row r="1644" spans="1:8" ht="20.100000000000001" customHeight="1" x14ac:dyDescent="0.25">
      <c r="A1644" s="3" t="s">
        <v>194</v>
      </c>
      <c r="B1644" s="3" t="s">
        <v>332</v>
      </c>
      <c r="C1644" s="3">
        <v>2022</v>
      </c>
      <c r="D1644" s="4">
        <v>2</v>
      </c>
      <c r="E1644" s="5">
        <v>24.76</v>
      </c>
      <c r="F1644" s="5">
        <v>14.56</v>
      </c>
      <c r="G1644" s="3" t="str">
        <f>VLOOKUP(Registros[[#This Row],[Cliente]],Cliente_Region[],2,FALSE)</f>
        <v>Argentina</v>
      </c>
      <c r="H1644" s="3" t="str">
        <f>VLOOKUP(Registros[[#This Row],[Producto]],Producto[],2,FALSE)</f>
        <v>LAX</v>
      </c>
    </row>
    <row r="1645" spans="1:8" ht="20.100000000000001" customHeight="1" x14ac:dyDescent="0.25">
      <c r="A1645" s="3" t="s">
        <v>334</v>
      </c>
      <c r="B1645" s="3" t="s">
        <v>332</v>
      </c>
      <c r="C1645" s="3">
        <v>2022</v>
      </c>
      <c r="D1645" s="4">
        <v>2</v>
      </c>
      <c r="E1645" s="5">
        <v>28</v>
      </c>
      <c r="F1645" s="5">
        <v>17.14</v>
      </c>
      <c r="G1645" s="3" t="str">
        <f>VLOOKUP(Registros[[#This Row],[Cliente]],Cliente_Region[],2,FALSE)</f>
        <v>Argentina</v>
      </c>
      <c r="H1645" s="3" t="str">
        <f>VLOOKUP(Registros[[#This Row],[Producto]],Producto[],2,FALSE)</f>
        <v>MOC</v>
      </c>
    </row>
    <row r="1646" spans="1:8" ht="20.100000000000001" customHeight="1" x14ac:dyDescent="0.25">
      <c r="A1646" s="3" t="s">
        <v>335</v>
      </c>
      <c r="B1646" s="3" t="s">
        <v>332</v>
      </c>
      <c r="C1646" s="3">
        <v>2022</v>
      </c>
      <c r="D1646" s="4">
        <v>4</v>
      </c>
      <c r="E1646" s="5">
        <v>17.329999999999998</v>
      </c>
      <c r="F1646" s="5">
        <v>8.19</v>
      </c>
      <c r="G1646" s="3" t="str">
        <f>VLOOKUP(Registros[[#This Row],[Cliente]],Cliente_Region[],2,FALSE)</f>
        <v>Argentina</v>
      </c>
      <c r="H1646" s="3" t="str">
        <f>VLOOKUP(Registros[[#This Row],[Producto]],Producto[],2,FALSE)</f>
        <v>GAMBO</v>
      </c>
    </row>
    <row r="1647" spans="1:8" ht="20.100000000000001" customHeight="1" x14ac:dyDescent="0.25">
      <c r="A1647" s="3" t="s">
        <v>321</v>
      </c>
      <c r="B1647" s="3" t="s">
        <v>332</v>
      </c>
      <c r="C1647" s="3">
        <v>2022</v>
      </c>
      <c r="D1647" s="4">
        <v>1</v>
      </c>
      <c r="E1647" s="5">
        <v>558</v>
      </c>
      <c r="F1647" s="5">
        <v>159.69</v>
      </c>
      <c r="G1647" s="3" t="str">
        <f>VLOOKUP(Registros[[#This Row],[Cliente]],Cliente_Region[],2,FALSE)</f>
        <v>Argentina</v>
      </c>
      <c r="H1647" s="3" t="str">
        <f>VLOOKUP(Registros[[#This Row],[Producto]],Producto[],2,FALSE)</f>
        <v>GAMBO</v>
      </c>
    </row>
    <row r="1648" spans="1:8" ht="20.100000000000001" customHeight="1" x14ac:dyDescent="0.25">
      <c r="A1648" s="3" t="s">
        <v>322</v>
      </c>
      <c r="B1648" s="3" t="s">
        <v>332</v>
      </c>
      <c r="C1648" s="3">
        <v>2022</v>
      </c>
      <c r="D1648" s="4">
        <v>2</v>
      </c>
      <c r="E1648" s="5">
        <v>427.35</v>
      </c>
      <c r="F1648" s="5">
        <v>128.19999999999999</v>
      </c>
      <c r="G1648" s="3" t="str">
        <f>VLOOKUP(Registros[[#This Row],[Cliente]],Cliente_Region[],2,FALSE)</f>
        <v>Argentina</v>
      </c>
      <c r="H1648" s="3" t="str">
        <f>VLOOKUP(Registros[[#This Row],[Producto]],Producto[],2,FALSE)</f>
        <v>LAX</v>
      </c>
    </row>
    <row r="1649" spans="1:8" ht="20.100000000000001" customHeight="1" x14ac:dyDescent="0.25">
      <c r="A1649" s="3" t="s">
        <v>322</v>
      </c>
      <c r="B1649" s="3" t="s">
        <v>332</v>
      </c>
      <c r="C1649" s="3">
        <v>2022</v>
      </c>
      <c r="D1649" s="4">
        <v>3</v>
      </c>
      <c r="E1649" s="5">
        <v>569.79999999999995</v>
      </c>
      <c r="F1649" s="5">
        <v>173.29</v>
      </c>
      <c r="G1649" s="3" t="str">
        <f>VLOOKUP(Registros[[#This Row],[Cliente]],Cliente_Region[],2,FALSE)</f>
        <v>Argentina</v>
      </c>
      <c r="H1649" s="3" t="str">
        <f>VLOOKUP(Registros[[#This Row],[Producto]],Producto[],2,FALSE)</f>
        <v>LAX</v>
      </c>
    </row>
    <row r="1650" spans="1:8" ht="20.100000000000001" customHeight="1" x14ac:dyDescent="0.25">
      <c r="A1650" s="3" t="s">
        <v>322</v>
      </c>
      <c r="B1650" s="3" t="s">
        <v>332</v>
      </c>
      <c r="C1650" s="3">
        <v>2022</v>
      </c>
      <c r="D1650" s="4">
        <v>4</v>
      </c>
      <c r="E1650" s="5">
        <v>529.1</v>
      </c>
      <c r="F1650" s="5">
        <v>171.47</v>
      </c>
      <c r="G1650" s="3" t="str">
        <f>VLOOKUP(Registros[[#This Row],[Cliente]],Cliente_Region[],2,FALSE)</f>
        <v>Argentina</v>
      </c>
      <c r="H1650" s="3" t="str">
        <f>VLOOKUP(Registros[[#This Row],[Producto]],Producto[],2,FALSE)</f>
        <v>LAX</v>
      </c>
    </row>
    <row r="1651" spans="1:8" ht="20.100000000000001" customHeight="1" x14ac:dyDescent="0.25">
      <c r="A1651" s="3" t="s">
        <v>322</v>
      </c>
      <c r="B1651" s="3" t="s">
        <v>332</v>
      </c>
      <c r="C1651" s="3">
        <v>2022</v>
      </c>
      <c r="D1651" s="4">
        <v>5</v>
      </c>
      <c r="E1651" s="5">
        <v>427.35</v>
      </c>
      <c r="F1651" s="5">
        <v>135.49</v>
      </c>
      <c r="G1651" s="3" t="str">
        <f>VLOOKUP(Registros[[#This Row],[Cliente]],Cliente_Region[],2,FALSE)</f>
        <v>Argentina</v>
      </c>
      <c r="H1651" s="3" t="str">
        <f>VLOOKUP(Registros[[#This Row],[Producto]],Producto[],2,FALSE)</f>
        <v>LAX</v>
      </c>
    </row>
    <row r="1652" spans="1:8" ht="20.100000000000001" customHeight="1" x14ac:dyDescent="0.25">
      <c r="A1652" s="3" t="s">
        <v>322</v>
      </c>
      <c r="B1652" s="3" t="s">
        <v>332</v>
      </c>
      <c r="C1652" s="3">
        <v>2022</v>
      </c>
      <c r="D1652" s="4">
        <v>6</v>
      </c>
      <c r="E1652" s="5">
        <v>325.60000000000002</v>
      </c>
      <c r="F1652" s="5">
        <v>99.45</v>
      </c>
      <c r="G1652" s="3" t="str">
        <f>VLOOKUP(Registros[[#This Row],[Cliente]],Cliente_Region[],2,FALSE)</f>
        <v>Argentina</v>
      </c>
      <c r="H1652" s="3" t="str">
        <f>VLOOKUP(Registros[[#This Row],[Producto]],Producto[],2,FALSE)</f>
        <v>LAX</v>
      </c>
    </row>
    <row r="1653" spans="1:8" ht="20.100000000000001" customHeight="1" x14ac:dyDescent="0.25">
      <c r="A1653" s="3" t="s">
        <v>11</v>
      </c>
      <c r="B1653" s="3" t="s">
        <v>332</v>
      </c>
      <c r="C1653" s="3">
        <v>2022</v>
      </c>
      <c r="D1653" s="4">
        <v>1</v>
      </c>
      <c r="E1653" s="5">
        <v>264</v>
      </c>
      <c r="F1653" s="5">
        <v>96.38</v>
      </c>
      <c r="G1653" s="3" t="str">
        <f>VLOOKUP(Registros[[#This Row],[Cliente]],Cliente_Region[],2,FALSE)</f>
        <v>Argentina</v>
      </c>
      <c r="H1653" s="3" t="str">
        <f>VLOOKUP(Registros[[#This Row],[Producto]],Producto[],2,FALSE)</f>
        <v>DONANY</v>
      </c>
    </row>
    <row r="1654" spans="1:8" ht="20.100000000000001" customHeight="1" x14ac:dyDescent="0.25">
      <c r="A1654" s="3" t="s">
        <v>292</v>
      </c>
      <c r="B1654" s="3" t="s">
        <v>332</v>
      </c>
      <c r="C1654" s="3">
        <v>2022</v>
      </c>
      <c r="D1654" s="4">
        <v>2</v>
      </c>
      <c r="E1654" s="5">
        <v>173.32</v>
      </c>
      <c r="F1654" s="5">
        <v>89.65</v>
      </c>
      <c r="G1654" s="3" t="str">
        <f>VLOOKUP(Registros[[#This Row],[Cliente]],Cliente_Region[],2,FALSE)</f>
        <v>Argentina</v>
      </c>
      <c r="H1654" s="3" t="str">
        <f>VLOOKUP(Registros[[#This Row],[Producto]],Producto[],2,FALSE)</f>
        <v>QUOKAR</v>
      </c>
    </row>
    <row r="1655" spans="1:8" ht="20.100000000000001" customHeight="1" x14ac:dyDescent="0.25">
      <c r="A1655" s="3" t="s">
        <v>292</v>
      </c>
      <c r="B1655" s="3" t="s">
        <v>332</v>
      </c>
      <c r="C1655" s="3">
        <v>2022</v>
      </c>
      <c r="D1655" s="4">
        <v>3</v>
      </c>
      <c r="E1655" s="5">
        <v>247.6</v>
      </c>
      <c r="F1655" s="5">
        <v>128.07</v>
      </c>
      <c r="G1655" s="3" t="str">
        <f>VLOOKUP(Registros[[#This Row],[Cliente]],Cliente_Region[],2,FALSE)</f>
        <v>Argentina</v>
      </c>
      <c r="H1655" s="3" t="str">
        <f>VLOOKUP(Registros[[#This Row],[Producto]],Producto[],2,FALSE)</f>
        <v>QUOKAR</v>
      </c>
    </row>
    <row r="1656" spans="1:8" ht="20.100000000000001" customHeight="1" x14ac:dyDescent="0.25">
      <c r="A1656" s="3" t="s">
        <v>292</v>
      </c>
      <c r="B1656" s="3" t="s">
        <v>332</v>
      </c>
      <c r="C1656" s="3">
        <v>2022</v>
      </c>
      <c r="D1656" s="4">
        <v>4</v>
      </c>
      <c r="E1656" s="5">
        <v>173.32</v>
      </c>
      <c r="F1656" s="5">
        <v>89.65</v>
      </c>
      <c r="G1656" s="3" t="str">
        <f>VLOOKUP(Registros[[#This Row],[Cliente]],Cliente_Region[],2,FALSE)</f>
        <v>Argentina</v>
      </c>
      <c r="H1656" s="3" t="str">
        <f>VLOOKUP(Registros[[#This Row],[Producto]],Producto[],2,FALSE)</f>
        <v>QUOKAR</v>
      </c>
    </row>
    <row r="1657" spans="1:8" ht="20.100000000000001" customHeight="1" x14ac:dyDescent="0.25">
      <c r="A1657" s="3" t="s">
        <v>292</v>
      </c>
      <c r="B1657" s="3" t="s">
        <v>332</v>
      </c>
      <c r="C1657" s="3">
        <v>2022</v>
      </c>
      <c r="D1657" s="4">
        <v>5</v>
      </c>
      <c r="E1657" s="5">
        <v>185.7</v>
      </c>
      <c r="F1657" s="5">
        <v>96.06</v>
      </c>
      <c r="G1657" s="3" t="str">
        <f>VLOOKUP(Registros[[#This Row],[Cliente]],Cliente_Region[],2,FALSE)</f>
        <v>Argentina</v>
      </c>
      <c r="H1657" s="3" t="str">
        <f>VLOOKUP(Registros[[#This Row],[Producto]],Producto[],2,FALSE)</f>
        <v>QUOKAR</v>
      </c>
    </row>
    <row r="1658" spans="1:8" ht="20.100000000000001" customHeight="1" x14ac:dyDescent="0.25">
      <c r="A1658" s="3" t="s">
        <v>292</v>
      </c>
      <c r="B1658" s="3" t="s">
        <v>332</v>
      </c>
      <c r="C1658" s="3">
        <v>2022</v>
      </c>
      <c r="D1658" s="4">
        <v>6</v>
      </c>
      <c r="E1658" s="5">
        <v>99.04</v>
      </c>
      <c r="F1658" s="5">
        <v>51.23</v>
      </c>
      <c r="G1658" s="3" t="str">
        <f>VLOOKUP(Registros[[#This Row],[Cliente]],Cliente_Region[],2,FALSE)</f>
        <v>Argentina</v>
      </c>
      <c r="H1658" s="3" t="str">
        <f>VLOOKUP(Registros[[#This Row],[Producto]],Producto[],2,FALSE)</f>
        <v>QUOKAR</v>
      </c>
    </row>
    <row r="1659" spans="1:8" ht="20.100000000000001" customHeight="1" x14ac:dyDescent="0.25">
      <c r="A1659" s="3" t="s">
        <v>293</v>
      </c>
      <c r="B1659" s="3" t="s">
        <v>332</v>
      </c>
      <c r="C1659" s="3">
        <v>2022</v>
      </c>
      <c r="D1659" s="4">
        <v>1</v>
      </c>
      <c r="E1659" s="5">
        <v>437</v>
      </c>
      <c r="F1659" s="5">
        <v>77.86</v>
      </c>
      <c r="G1659" s="3" t="str">
        <f>VLOOKUP(Registros[[#This Row],[Cliente]],Cliente_Region[],2,FALSE)</f>
        <v>Argentina</v>
      </c>
      <c r="H1659" s="3" t="str">
        <f>VLOOKUP(Registros[[#This Row],[Producto]],Producto[],2,FALSE)</f>
        <v>QUOKAR</v>
      </c>
    </row>
    <row r="1660" spans="1:8" ht="20.100000000000001" customHeight="1" x14ac:dyDescent="0.25">
      <c r="A1660" s="3" t="s">
        <v>294</v>
      </c>
      <c r="B1660" s="3" t="s">
        <v>332</v>
      </c>
      <c r="C1660" s="3">
        <v>2022</v>
      </c>
      <c r="D1660" s="4">
        <v>2</v>
      </c>
      <c r="E1660" s="5">
        <v>408.54</v>
      </c>
      <c r="F1660" s="5">
        <v>85.54</v>
      </c>
      <c r="G1660" s="3" t="str">
        <f>VLOOKUP(Registros[[#This Row],[Cliente]],Cliente_Region[],2,FALSE)</f>
        <v>Argentina</v>
      </c>
      <c r="H1660" s="3" t="str">
        <f>VLOOKUP(Registros[[#This Row],[Producto]],Producto[],2,FALSE)</f>
        <v>CHOTUS</v>
      </c>
    </row>
    <row r="1661" spans="1:8" ht="20.100000000000001" customHeight="1" x14ac:dyDescent="0.25">
      <c r="A1661" s="3" t="s">
        <v>294</v>
      </c>
      <c r="B1661" s="3" t="s">
        <v>332</v>
      </c>
      <c r="C1661" s="3">
        <v>2022</v>
      </c>
      <c r="D1661" s="4">
        <v>3</v>
      </c>
      <c r="E1661" s="5">
        <v>495.2</v>
      </c>
      <c r="F1661" s="5">
        <v>105.47</v>
      </c>
      <c r="G1661" s="3" t="str">
        <f>VLOOKUP(Registros[[#This Row],[Cliente]],Cliente_Region[],2,FALSE)</f>
        <v>Argentina</v>
      </c>
      <c r="H1661" s="3" t="str">
        <f>VLOOKUP(Registros[[#This Row],[Producto]],Producto[],2,FALSE)</f>
        <v>CHOTUS</v>
      </c>
    </row>
    <row r="1662" spans="1:8" ht="20.100000000000001" customHeight="1" x14ac:dyDescent="0.25">
      <c r="A1662" s="3" t="s">
        <v>294</v>
      </c>
      <c r="B1662" s="3" t="s">
        <v>332</v>
      </c>
      <c r="C1662" s="3">
        <v>2022</v>
      </c>
      <c r="D1662" s="4">
        <v>4</v>
      </c>
      <c r="E1662" s="5">
        <v>333.66</v>
      </c>
      <c r="F1662" s="5">
        <v>82.07</v>
      </c>
      <c r="G1662" s="3" t="str">
        <f>VLOOKUP(Registros[[#This Row],[Cliente]],Cliente_Region[],2,FALSE)</f>
        <v>Argentina</v>
      </c>
      <c r="H1662" s="3" t="str">
        <f>VLOOKUP(Registros[[#This Row],[Producto]],Producto[],2,FALSE)</f>
        <v>CHOTUS</v>
      </c>
    </row>
    <row r="1663" spans="1:8" ht="20.100000000000001" customHeight="1" x14ac:dyDescent="0.25">
      <c r="A1663" s="3" t="s">
        <v>294</v>
      </c>
      <c r="B1663" s="3" t="s">
        <v>332</v>
      </c>
      <c r="C1663" s="3">
        <v>2022</v>
      </c>
      <c r="D1663" s="4">
        <v>5</v>
      </c>
      <c r="E1663" s="5">
        <v>390</v>
      </c>
      <c r="F1663" s="5">
        <v>97.54</v>
      </c>
      <c r="G1663" s="3" t="str">
        <f>VLOOKUP(Registros[[#This Row],[Cliente]],Cliente_Region[],2,FALSE)</f>
        <v>Argentina</v>
      </c>
      <c r="H1663" s="3" t="str">
        <f>VLOOKUP(Registros[[#This Row],[Producto]],Producto[],2,FALSE)</f>
        <v>CHOTUS</v>
      </c>
    </row>
    <row r="1664" spans="1:8" ht="20.100000000000001" customHeight="1" x14ac:dyDescent="0.25">
      <c r="A1664" s="3" t="s">
        <v>294</v>
      </c>
      <c r="B1664" s="3" t="s">
        <v>332</v>
      </c>
      <c r="C1664" s="3">
        <v>2022</v>
      </c>
      <c r="D1664" s="4">
        <v>6</v>
      </c>
      <c r="E1664" s="5">
        <v>377</v>
      </c>
      <c r="F1664" s="5">
        <v>92.85</v>
      </c>
      <c r="G1664" s="3" t="str">
        <f>VLOOKUP(Registros[[#This Row],[Cliente]],Cliente_Region[],2,FALSE)</f>
        <v>Argentina</v>
      </c>
      <c r="H1664" s="3" t="str">
        <f>VLOOKUP(Registros[[#This Row],[Producto]],Producto[],2,FALSE)</f>
        <v>CHOTUS</v>
      </c>
    </row>
    <row r="1665" spans="1:8" ht="20.100000000000001" customHeight="1" x14ac:dyDescent="0.25">
      <c r="A1665" s="3" t="s">
        <v>310</v>
      </c>
      <c r="B1665" s="3" t="s">
        <v>332</v>
      </c>
      <c r="C1665" s="3">
        <v>2022</v>
      </c>
      <c r="D1665" s="4">
        <v>1</v>
      </c>
      <c r="E1665" s="5">
        <v>231</v>
      </c>
      <c r="F1665" s="5">
        <v>153.78</v>
      </c>
      <c r="G1665" s="3" t="str">
        <f>VLOOKUP(Registros[[#This Row],[Cliente]],Cliente_Region[],2,FALSE)</f>
        <v>Argentina</v>
      </c>
      <c r="H1665" s="3" t="str">
        <f>VLOOKUP(Registros[[#This Row],[Producto]],Producto[],2,FALSE)</f>
        <v>DONANY</v>
      </c>
    </row>
    <row r="1666" spans="1:8" ht="20.100000000000001" customHeight="1" x14ac:dyDescent="0.25">
      <c r="A1666" s="3" t="s">
        <v>311</v>
      </c>
      <c r="B1666" s="3" t="s">
        <v>332</v>
      </c>
      <c r="C1666" s="3">
        <v>2022</v>
      </c>
      <c r="D1666" s="4">
        <v>2</v>
      </c>
      <c r="E1666" s="5">
        <v>259.68</v>
      </c>
      <c r="F1666" s="5">
        <v>171.44</v>
      </c>
      <c r="G1666" s="3" t="str">
        <f>VLOOKUP(Registros[[#This Row],[Cliente]],Cliente_Region[],2,FALSE)</f>
        <v>Argentina</v>
      </c>
      <c r="H1666" s="3" t="str">
        <f>VLOOKUP(Registros[[#This Row],[Producto]],Producto[],2,FALSE)</f>
        <v>CHOTUS</v>
      </c>
    </row>
    <row r="1667" spans="1:8" ht="20.100000000000001" customHeight="1" x14ac:dyDescent="0.25">
      <c r="A1667" s="3" t="s">
        <v>311</v>
      </c>
      <c r="B1667" s="3" t="s">
        <v>332</v>
      </c>
      <c r="C1667" s="3">
        <v>2022</v>
      </c>
      <c r="D1667" s="4">
        <v>3</v>
      </c>
      <c r="E1667" s="5">
        <v>292.14</v>
      </c>
      <c r="F1667" s="5">
        <v>192.83</v>
      </c>
      <c r="G1667" s="3" t="str">
        <f>VLOOKUP(Registros[[#This Row],[Cliente]],Cliente_Region[],2,FALSE)</f>
        <v>Argentina</v>
      </c>
      <c r="H1667" s="3" t="str">
        <f>VLOOKUP(Registros[[#This Row],[Producto]],Producto[],2,FALSE)</f>
        <v>CHOTUS</v>
      </c>
    </row>
    <row r="1668" spans="1:8" ht="20.100000000000001" customHeight="1" x14ac:dyDescent="0.25">
      <c r="A1668" s="3" t="s">
        <v>311</v>
      </c>
      <c r="B1668" s="3" t="s">
        <v>332</v>
      </c>
      <c r="C1668" s="3">
        <v>2022</v>
      </c>
      <c r="D1668" s="4">
        <v>4</v>
      </c>
      <c r="E1668" s="5">
        <v>279.14999999999998</v>
      </c>
      <c r="F1668" s="5">
        <v>185.37</v>
      </c>
      <c r="G1668" s="3" t="str">
        <f>VLOOKUP(Registros[[#This Row],[Cliente]],Cliente_Region[],2,FALSE)</f>
        <v>Argentina</v>
      </c>
      <c r="H1668" s="3" t="str">
        <f>VLOOKUP(Registros[[#This Row],[Producto]],Producto[],2,FALSE)</f>
        <v>CHOTUS</v>
      </c>
    </row>
    <row r="1669" spans="1:8" ht="20.100000000000001" customHeight="1" x14ac:dyDescent="0.25">
      <c r="A1669" s="3" t="s">
        <v>311</v>
      </c>
      <c r="B1669" s="3" t="s">
        <v>332</v>
      </c>
      <c r="C1669" s="3">
        <v>2022</v>
      </c>
      <c r="D1669" s="4">
        <v>5</v>
      </c>
      <c r="E1669" s="5">
        <v>297</v>
      </c>
      <c r="F1669" s="5">
        <v>197.72</v>
      </c>
      <c r="G1669" s="3" t="str">
        <f>VLOOKUP(Registros[[#This Row],[Cliente]],Cliente_Region[],2,FALSE)</f>
        <v>Argentina</v>
      </c>
      <c r="H1669" s="3" t="str">
        <f>VLOOKUP(Registros[[#This Row],[Producto]],Producto[],2,FALSE)</f>
        <v>CHOTUS</v>
      </c>
    </row>
    <row r="1670" spans="1:8" ht="20.100000000000001" customHeight="1" x14ac:dyDescent="0.25">
      <c r="A1670" s="3" t="s">
        <v>311</v>
      </c>
      <c r="B1670" s="3" t="s">
        <v>332</v>
      </c>
      <c r="C1670" s="3">
        <v>2022</v>
      </c>
      <c r="D1670" s="4">
        <v>6</v>
      </c>
      <c r="E1670" s="5">
        <v>214.5</v>
      </c>
      <c r="F1670" s="5">
        <v>142.79</v>
      </c>
      <c r="G1670" s="3" t="str">
        <f>VLOOKUP(Registros[[#This Row],[Cliente]],Cliente_Region[],2,FALSE)</f>
        <v>Argentina</v>
      </c>
      <c r="H1670" s="3" t="str">
        <f>VLOOKUP(Registros[[#This Row],[Producto]],Producto[],2,FALSE)</f>
        <v>CHOTUS</v>
      </c>
    </row>
    <row r="1671" spans="1:8" ht="20.100000000000001" customHeight="1" x14ac:dyDescent="0.25">
      <c r="A1671" s="3" t="s">
        <v>337</v>
      </c>
      <c r="B1671" s="3" t="s">
        <v>332</v>
      </c>
      <c r="C1671" s="3">
        <v>2022</v>
      </c>
      <c r="D1671" s="4">
        <v>1</v>
      </c>
      <c r="E1671" s="5">
        <v>16.25</v>
      </c>
      <c r="F1671" s="5">
        <v>9.19</v>
      </c>
      <c r="G1671" s="3" t="str">
        <f>VLOOKUP(Registros[[#This Row],[Cliente]],Cliente_Region[],2,FALSE)</f>
        <v>Argentina</v>
      </c>
      <c r="H1671" s="3" t="str">
        <f>VLOOKUP(Registros[[#This Row],[Producto]],Producto[],2,FALSE)</f>
        <v>LAX</v>
      </c>
    </row>
    <row r="1672" spans="1:8" ht="20.100000000000001" customHeight="1" x14ac:dyDescent="0.25">
      <c r="A1672" s="3" t="s">
        <v>301</v>
      </c>
      <c r="B1672" s="3" t="s">
        <v>332</v>
      </c>
      <c r="C1672" s="3">
        <v>2022</v>
      </c>
      <c r="D1672" s="4">
        <v>1</v>
      </c>
      <c r="E1672" s="5">
        <v>180</v>
      </c>
      <c r="F1672" s="5">
        <v>76.03</v>
      </c>
      <c r="G1672" s="3" t="str">
        <f>VLOOKUP(Registros[[#This Row],[Cliente]],Cliente_Region[],2,FALSE)</f>
        <v>Argentina</v>
      </c>
      <c r="H1672" s="3" t="str">
        <f>VLOOKUP(Registros[[#This Row],[Producto]],Producto[],2,FALSE)</f>
        <v>CHOTUS</v>
      </c>
    </row>
    <row r="1673" spans="1:8" ht="20.100000000000001" customHeight="1" x14ac:dyDescent="0.25">
      <c r="A1673" s="3" t="s">
        <v>302</v>
      </c>
      <c r="B1673" s="3" t="s">
        <v>332</v>
      </c>
      <c r="C1673" s="3">
        <v>2022</v>
      </c>
      <c r="D1673" s="4">
        <v>2</v>
      </c>
      <c r="E1673" s="5">
        <v>180</v>
      </c>
      <c r="F1673" s="5">
        <v>97.78</v>
      </c>
      <c r="G1673" s="3" t="str">
        <f>VLOOKUP(Registros[[#This Row],[Cliente]],Cliente_Region[],2,FALSE)</f>
        <v>Argentina</v>
      </c>
      <c r="H1673" s="3" t="str">
        <f>VLOOKUP(Registros[[#This Row],[Producto]],Producto[],2,FALSE)</f>
        <v>CHOTUS</v>
      </c>
    </row>
    <row r="1674" spans="1:8" ht="20.100000000000001" customHeight="1" x14ac:dyDescent="0.25">
      <c r="A1674" s="3" t="s">
        <v>302</v>
      </c>
      <c r="B1674" s="3" t="s">
        <v>332</v>
      </c>
      <c r="C1674" s="3">
        <v>2022</v>
      </c>
      <c r="D1674" s="4">
        <v>3</v>
      </c>
      <c r="E1674" s="5">
        <v>200</v>
      </c>
      <c r="F1674" s="5">
        <v>108.63</v>
      </c>
      <c r="G1674" s="3" t="str">
        <f>VLOOKUP(Registros[[#This Row],[Cliente]],Cliente_Region[],2,FALSE)</f>
        <v>Argentina</v>
      </c>
      <c r="H1674" s="3" t="str">
        <f>VLOOKUP(Registros[[#This Row],[Producto]],Producto[],2,FALSE)</f>
        <v>CHOTUS</v>
      </c>
    </row>
    <row r="1675" spans="1:8" ht="20.100000000000001" customHeight="1" x14ac:dyDescent="0.25">
      <c r="A1675" s="3" t="s">
        <v>302</v>
      </c>
      <c r="B1675" s="3" t="s">
        <v>332</v>
      </c>
      <c r="C1675" s="3">
        <v>2022</v>
      </c>
      <c r="D1675" s="4">
        <v>4</v>
      </c>
      <c r="E1675" s="5">
        <v>260</v>
      </c>
      <c r="F1675" s="5">
        <v>141.24</v>
      </c>
      <c r="G1675" s="3" t="str">
        <f>VLOOKUP(Registros[[#This Row],[Cliente]],Cliente_Region[],2,FALSE)</f>
        <v>Argentina</v>
      </c>
      <c r="H1675" s="3" t="str">
        <f>VLOOKUP(Registros[[#This Row],[Producto]],Producto[],2,FALSE)</f>
        <v>CHOTUS</v>
      </c>
    </row>
    <row r="1676" spans="1:8" ht="20.100000000000001" customHeight="1" x14ac:dyDescent="0.25">
      <c r="A1676" s="3" t="s">
        <v>302</v>
      </c>
      <c r="B1676" s="3" t="s">
        <v>332</v>
      </c>
      <c r="C1676" s="3">
        <v>2022</v>
      </c>
      <c r="D1676" s="4">
        <v>5</v>
      </c>
      <c r="E1676" s="5">
        <v>240</v>
      </c>
      <c r="F1676" s="5">
        <v>130.34</v>
      </c>
      <c r="G1676" s="3" t="str">
        <f>VLOOKUP(Registros[[#This Row],[Cliente]],Cliente_Region[],2,FALSE)</f>
        <v>Argentina</v>
      </c>
      <c r="H1676" s="3" t="str">
        <f>VLOOKUP(Registros[[#This Row],[Producto]],Producto[],2,FALSE)</f>
        <v>CHOTUS</v>
      </c>
    </row>
    <row r="1677" spans="1:8" ht="20.100000000000001" customHeight="1" x14ac:dyDescent="0.25">
      <c r="A1677" s="3" t="s">
        <v>302</v>
      </c>
      <c r="B1677" s="3" t="s">
        <v>332</v>
      </c>
      <c r="C1677" s="3">
        <v>2022</v>
      </c>
      <c r="D1677" s="4">
        <v>6</v>
      </c>
      <c r="E1677" s="5">
        <v>260</v>
      </c>
      <c r="F1677" s="5">
        <v>141.24</v>
      </c>
      <c r="G1677" s="3" t="str">
        <f>VLOOKUP(Registros[[#This Row],[Cliente]],Cliente_Region[],2,FALSE)</f>
        <v>Argentina</v>
      </c>
      <c r="H1677" s="3" t="str">
        <f>VLOOKUP(Registros[[#This Row],[Producto]],Producto[],2,FALSE)</f>
        <v>CHOTUS</v>
      </c>
    </row>
    <row r="1678" spans="1:8" ht="20.100000000000001" customHeight="1" x14ac:dyDescent="0.25">
      <c r="A1678" s="3" t="s">
        <v>280</v>
      </c>
      <c r="B1678" s="3" t="s">
        <v>332</v>
      </c>
      <c r="C1678" s="3">
        <v>2022</v>
      </c>
      <c r="D1678" s="4">
        <v>1</v>
      </c>
      <c r="E1678" s="5">
        <v>440</v>
      </c>
      <c r="F1678" s="5">
        <v>223.36</v>
      </c>
      <c r="G1678" s="3" t="str">
        <f>VLOOKUP(Registros[[#This Row],[Cliente]],Cliente_Region[],2,FALSE)</f>
        <v>Argentina</v>
      </c>
      <c r="H1678" s="3" t="str">
        <f>VLOOKUP(Registros[[#This Row],[Producto]],Producto[],2,FALSE)</f>
        <v>CHOTUS</v>
      </c>
    </row>
    <row r="1679" spans="1:8" ht="20.100000000000001" customHeight="1" x14ac:dyDescent="0.25">
      <c r="A1679" s="3" t="s">
        <v>281</v>
      </c>
      <c r="B1679" s="3" t="s">
        <v>332</v>
      </c>
      <c r="C1679" s="3">
        <v>2022</v>
      </c>
      <c r="D1679" s="4">
        <v>2</v>
      </c>
      <c r="E1679" s="5">
        <v>386.65</v>
      </c>
      <c r="F1679" s="5">
        <v>208.74</v>
      </c>
      <c r="G1679" s="3" t="str">
        <f>VLOOKUP(Registros[[#This Row],[Cliente]],Cliente_Region[],2,FALSE)</f>
        <v>Argentina</v>
      </c>
      <c r="H1679" s="3" t="str">
        <f>VLOOKUP(Registros[[#This Row],[Producto]],Producto[],2,FALSE)</f>
        <v>SALF</v>
      </c>
    </row>
    <row r="1680" spans="1:8" ht="20.100000000000001" customHeight="1" x14ac:dyDescent="0.25">
      <c r="A1680" s="3" t="s">
        <v>281</v>
      </c>
      <c r="B1680" s="3" t="s">
        <v>332</v>
      </c>
      <c r="C1680" s="3">
        <v>2022</v>
      </c>
      <c r="D1680" s="4">
        <v>3</v>
      </c>
      <c r="E1680" s="5">
        <v>346.55</v>
      </c>
      <c r="F1680" s="5">
        <v>187.36</v>
      </c>
      <c r="G1680" s="3" t="str">
        <f>VLOOKUP(Registros[[#This Row],[Cliente]],Cliente_Region[],2,FALSE)</f>
        <v>Argentina</v>
      </c>
      <c r="H1680" s="3" t="str">
        <f>VLOOKUP(Registros[[#This Row],[Producto]],Producto[],2,FALSE)</f>
        <v>SALF</v>
      </c>
    </row>
    <row r="1681" spans="1:8" ht="20.100000000000001" customHeight="1" x14ac:dyDescent="0.25">
      <c r="A1681" s="3" t="s">
        <v>281</v>
      </c>
      <c r="B1681" s="3" t="s">
        <v>332</v>
      </c>
      <c r="C1681" s="3">
        <v>2022</v>
      </c>
      <c r="D1681" s="4">
        <v>4</v>
      </c>
      <c r="E1681" s="5">
        <v>348.5</v>
      </c>
      <c r="F1681" s="5">
        <v>189.31</v>
      </c>
      <c r="G1681" s="3" t="str">
        <f>VLOOKUP(Registros[[#This Row],[Cliente]],Cliente_Region[],2,FALSE)</f>
        <v>Argentina</v>
      </c>
      <c r="H1681" s="3" t="str">
        <f>VLOOKUP(Registros[[#This Row],[Producto]],Producto[],2,FALSE)</f>
        <v>SALF</v>
      </c>
    </row>
    <row r="1682" spans="1:8" ht="20.100000000000001" customHeight="1" x14ac:dyDescent="0.25">
      <c r="A1682" s="3" t="s">
        <v>281</v>
      </c>
      <c r="B1682" s="3" t="s">
        <v>332</v>
      </c>
      <c r="C1682" s="3">
        <v>2022</v>
      </c>
      <c r="D1682" s="4">
        <v>5</v>
      </c>
      <c r="E1682" s="5">
        <v>328</v>
      </c>
      <c r="F1682" s="5">
        <v>178.19</v>
      </c>
      <c r="G1682" s="3" t="str">
        <f>VLOOKUP(Registros[[#This Row],[Cliente]],Cliente_Region[],2,FALSE)</f>
        <v>Argentina</v>
      </c>
      <c r="H1682" s="3" t="str">
        <f>VLOOKUP(Registros[[#This Row],[Producto]],Producto[],2,FALSE)</f>
        <v>SALF</v>
      </c>
    </row>
    <row r="1683" spans="1:8" ht="20.100000000000001" customHeight="1" x14ac:dyDescent="0.25">
      <c r="A1683" s="3" t="s">
        <v>281</v>
      </c>
      <c r="B1683" s="3" t="s">
        <v>332</v>
      </c>
      <c r="C1683" s="3">
        <v>2022</v>
      </c>
      <c r="D1683" s="4">
        <v>6</v>
      </c>
      <c r="E1683" s="5">
        <v>307.5</v>
      </c>
      <c r="F1683" s="5">
        <v>167.04</v>
      </c>
      <c r="G1683" s="3" t="str">
        <f>VLOOKUP(Registros[[#This Row],[Cliente]],Cliente_Region[],2,FALSE)</f>
        <v>Argentina</v>
      </c>
      <c r="H1683" s="3" t="str">
        <f>VLOOKUP(Registros[[#This Row],[Producto]],Producto[],2,FALSE)</f>
        <v>SALF</v>
      </c>
    </row>
    <row r="1684" spans="1:8" ht="20.100000000000001" customHeight="1" x14ac:dyDescent="0.25">
      <c r="A1684" s="3" t="s">
        <v>282</v>
      </c>
      <c r="B1684" s="3" t="s">
        <v>332</v>
      </c>
      <c r="C1684" s="3">
        <v>2022</v>
      </c>
      <c r="D1684" s="4">
        <v>1</v>
      </c>
      <c r="E1684" s="5">
        <v>330</v>
      </c>
      <c r="F1684" s="5">
        <v>180.26</v>
      </c>
      <c r="G1684" s="3" t="str">
        <f>VLOOKUP(Registros[[#This Row],[Cliente]],Cliente_Region[],2,FALSE)</f>
        <v>Argentina</v>
      </c>
      <c r="H1684" s="3" t="str">
        <f>VLOOKUP(Registros[[#This Row],[Producto]],Producto[],2,FALSE)</f>
        <v>DAWNE</v>
      </c>
    </row>
    <row r="1685" spans="1:8" ht="20.100000000000001" customHeight="1" x14ac:dyDescent="0.25">
      <c r="A1685" s="3" t="s">
        <v>114</v>
      </c>
      <c r="B1685" s="3" t="s">
        <v>332</v>
      </c>
      <c r="C1685" s="3">
        <v>2022</v>
      </c>
      <c r="D1685" s="4">
        <v>2</v>
      </c>
      <c r="E1685" s="5">
        <v>363</v>
      </c>
      <c r="F1685" s="5">
        <v>189.74</v>
      </c>
      <c r="G1685" s="3" t="str">
        <f>VLOOKUP(Registros[[#This Row],[Cliente]],Cliente_Region[],2,FALSE)</f>
        <v>Argentina</v>
      </c>
      <c r="H1685" s="3" t="str">
        <f>VLOOKUP(Registros[[#This Row],[Producto]],Producto[],2,FALSE)</f>
        <v>DAWNE</v>
      </c>
    </row>
    <row r="1686" spans="1:8" ht="20.100000000000001" customHeight="1" x14ac:dyDescent="0.25">
      <c r="A1686" s="3" t="s">
        <v>114</v>
      </c>
      <c r="B1686" s="3" t="s">
        <v>332</v>
      </c>
      <c r="C1686" s="3">
        <v>2022</v>
      </c>
      <c r="D1686" s="4">
        <v>3</v>
      </c>
      <c r="E1686" s="5">
        <v>280.5</v>
      </c>
      <c r="F1686" s="5">
        <v>161.26</v>
      </c>
      <c r="G1686" s="3" t="str">
        <f>VLOOKUP(Registros[[#This Row],[Cliente]],Cliente_Region[],2,FALSE)</f>
        <v>Argentina</v>
      </c>
      <c r="H1686" s="3" t="str">
        <f>VLOOKUP(Registros[[#This Row],[Producto]],Producto[],2,FALSE)</f>
        <v>DAWNE</v>
      </c>
    </row>
    <row r="1687" spans="1:8" ht="20.100000000000001" customHeight="1" x14ac:dyDescent="0.25">
      <c r="A1687" s="3" t="s">
        <v>114</v>
      </c>
      <c r="B1687" s="3" t="s">
        <v>332</v>
      </c>
      <c r="C1687" s="3">
        <v>2022</v>
      </c>
      <c r="D1687" s="4">
        <v>4</v>
      </c>
      <c r="E1687" s="5">
        <v>280.5</v>
      </c>
      <c r="F1687" s="5">
        <v>161.27000000000001</v>
      </c>
      <c r="G1687" s="3" t="str">
        <f>VLOOKUP(Registros[[#This Row],[Cliente]],Cliente_Region[],2,FALSE)</f>
        <v>Argentina</v>
      </c>
      <c r="H1687" s="3" t="str">
        <f>VLOOKUP(Registros[[#This Row],[Producto]],Producto[],2,FALSE)</f>
        <v>DAWNE</v>
      </c>
    </row>
    <row r="1688" spans="1:8" ht="20.100000000000001" customHeight="1" x14ac:dyDescent="0.25">
      <c r="A1688" s="3" t="s">
        <v>114</v>
      </c>
      <c r="B1688" s="3" t="s">
        <v>332</v>
      </c>
      <c r="C1688" s="3">
        <v>2022</v>
      </c>
      <c r="D1688" s="4">
        <v>5</v>
      </c>
      <c r="E1688" s="5">
        <v>214.5</v>
      </c>
      <c r="F1688" s="5">
        <v>123.33</v>
      </c>
      <c r="G1688" s="3" t="str">
        <f>VLOOKUP(Registros[[#This Row],[Cliente]],Cliente_Region[],2,FALSE)</f>
        <v>Argentina</v>
      </c>
      <c r="H1688" s="3" t="str">
        <f>VLOOKUP(Registros[[#This Row],[Producto]],Producto[],2,FALSE)</f>
        <v>DAWNE</v>
      </c>
    </row>
    <row r="1689" spans="1:8" ht="20.100000000000001" customHeight="1" x14ac:dyDescent="0.25">
      <c r="A1689" s="3" t="s">
        <v>114</v>
      </c>
      <c r="B1689" s="3" t="s">
        <v>332</v>
      </c>
      <c r="C1689" s="3">
        <v>2022</v>
      </c>
      <c r="D1689" s="4">
        <v>6</v>
      </c>
      <c r="E1689" s="5">
        <v>214.5</v>
      </c>
      <c r="F1689" s="5">
        <v>123.33</v>
      </c>
      <c r="G1689" s="3" t="str">
        <f>VLOOKUP(Registros[[#This Row],[Cliente]],Cliente_Region[],2,FALSE)</f>
        <v>Argentina</v>
      </c>
      <c r="H1689" s="3" t="str">
        <f>VLOOKUP(Registros[[#This Row],[Producto]],Producto[],2,FALSE)</f>
        <v>DAWNE</v>
      </c>
    </row>
    <row r="1690" spans="1:8" ht="20.100000000000001" customHeight="1" x14ac:dyDescent="0.25">
      <c r="A1690" s="3" t="s">
        <v>4</v>
      </c>
      <c r="B1690" s="3" t="s">
        <v>332</v>
      </c>
      <c r="C1690" s="3">
        <v>2022</v>
      </c>
      <c r="D1690" s="4">
        <v>5</v>
      </c>
      <c r="E1690" s="5">
        <v>63.75</v>
      </c>
      <c r="F1690" s="5">
        <v>40.950000000000003</v>
      </c>
      <c r="G1690" s="3" t="str">
        <f>VLOOKUP(Registros[[#This Row],[Cliente]],Cliente_Region[],2,FALSE)</f>
        <v>Argentina</v>
      </c>
      <c r="H1690" s="3" t="str">
        <f>VLOOKUP(Registros[[#This Row],[Producto]],Producto[],2,FALSE)</f>
        <v>QUOKAR</v>
      </c>
    </row>
    <row r="1691" spans="1:8" ht="20.100000000000001" customHeight="1" x14ac:dyDescent="0.25">
      <c r="A1691" s="3" t="s">
        <v>135</v>
      </c>
      <c r="B1691" s="3" t="s">
        <v>332</v>
      </c>
      <c r="C1691" s="3">
        <v>2022</v>
      </c>
      <c r="D1691" s="4">
        <v>1</v>
      </c>
      <c r="E1691" s="5">
        <v>553.5</v>
      </c>
      <c r="F1691" s="5">
        <v>380.45</v>
      </c>
      <c r="G1691" s="3" t="str">
        <f>VLOOKUP(Registros[[#This Row],[Cliente]],Cliente_Region[],2,FALSE)</f>
        <v>Argentina</v>
      </c>
      <c r="H1691" s="3" t="str">
        <f>VLOOKUP(Registros[[#This Row],[Producto]],Producto[],2,FALSE)</f>
        <v>GAMBO</v>
      </c>
    </row>
    <row r="1692" spans="1:8" ht="20.100000000000001" customHeight="1" x14ac:dyDescent="0.25">
      <c r="A1692" s="3" t="s">
        <v>93</v>
      </c>
      <c r="B1692" s="3" t="s">
        <v>332</v>
      </c>
      <c r="C1692" s="3">
        <v>2022</v>
      </c>
      <c r="D1692" s="4">
        <v>2</v>
      </c>
      <c r="E1692" s="5">
        <v>599.05999999999995</v>
      </c>
      <c r="F1692" s="5">
        <v>450.78</v>
      </c>
      <c r="G1692" s="3" t="str">
        <f>VLOOKUP(Registros[[#This Row],[Cliente]],Cliente_Region[],2,FALSE)</f>
        <v>Argentina</v>
      </c>
      <c r="H1692" s="3" t="str">
        <f>VLOOKUP(Registros[[#This Row],[Producto]],Producto[],2,FALSE)</f>
        <v>GAMBO</v>
      </c>
    </row>
    <row r="1693" spans="1:8" ht="20.100000000000001" customHeight="1" x14ac:dyDescent="0.25">
      <c r="A1693" s="3" t="s">
        <v>93</v>
      </c>
      <c r="B1693" s="3" t="s">
        <v>332</v>
      </c>
      <c r="C1693" s="3">
        <v>2022</v>
      </c>
      <c r="D1693" s="4">
        <v>3</v>
      </c>
      <c r="E1693" s="5">
        <v>680.75</v>
      </c>
      <c r="F1693" s="5">
        <v>512.25</v>
      </c>
      <c r="G1693" s="3" t="str">
        <f>VLOOKUP(Registros[[#This Row],[Cliente]],Cliente_Region[],2,FALSE)</f>
        <v>Argentina</v>
      </c>
      <c r="H1693" s="3" t="str">
        <f>VLOOKUP(Registros[[#This Row],[Producto]],Producto[],2,FALSE)</f>
        <v>GAMBO</v>
      </c>
    </row>
    <row r="1694" spans="1:8" ht="20.100000000000001" customHeight="1" x14ac:dyDescent="0.25">
      <c r="A1694" s="3" t="s">
        <v>93</v>
      </c>
      <c r="B1694" s="3" t="s">
        <v>332</v>
      </c>
      <c r="C1694" s="3">
        <v>2022</v>
      </c>
      <c r="D1694" s="4">
        <v>4</v>
      </c>
      <c r="E1694" s="5">
        <v>353.99</v>
      </c>
      <c r="F1694" s="5">
        <v>266.37</v>
      </c>
      <c r="G1694" s="3" t="str">
        <f>VLOOKUP(Registros[[#This Row],[Cliente]],Cliente_Region[],2,FALSE)</f>
        <v>Argentina</v>
      </c>
      <c r="H1694" s="3" t="str">
        <f>VLOOKUP(Registros[[#This Row],[Producto]],Producto[],2,FALSE)</f>
        <v>GAMBO</v>
      </c>
    </row>
    <row r="1695" spans="1:8" ht="20.100000000000001" customHeight="1" x14ac:dyDescent="0.25">
      <c r="A1695" s="3" t="s">
        <v>93</v>
      </c>
      <c r="B1695" s="3" t="s">
        <v>332</v>
      </c>
      <c r="C1695" s="3">
        <v>2022</v>
      </c>
      <c r="D1695" s="4">
        <v>5</v>
      </c>
      <c r="E1695" s="5">
        <v>435.68</v>
      </c>
      <c r="F1695" s="5">
        <v>327.84</v>
      </c>
      <c r="G1695" s="3" t="str">
        <f>VLOOKUP(Registros[[#This Row],[Cliente]],Cliente_Region[],2,FALSE)</f>
        <v>Argentina</v>
      </c>
      <c r="H1695" s="3" t="str">
        <f>VLOOKUP(Registros[[#This Row],[Producto]],Producto[],2,FALSE)</f>
        <v>GAMBO</v>
      </c>
    </row>
    <row r="1696" spans="1:8" ht="20.100000000000001" customHeight="1" x14ac:dyDescent="0.25">
      <c r="A1696" s="3" t="s">
        <v>93</v>
      </c>
      <c r="B1696" s="3" t="s">
        <v>332</v>
      </c>
      <c r="C1696" s="3">
        <v>2022</v>
      </c>
      <c r="D1696" s="4">
        <v>6</v>
      </c>
      <c r="E1696" s="5">
        <v>381.22</v>
      </c>
      <c r="F1696" s="5">
        <v>286.86</v>
      </c>
      <c r="G1696" s="3" t="str">
        <f>VLOOKUP(Registros[[#This Row],[Cliente]],Cliente_Region[],2,FALSE)</f>
        <v>Argentina</v>
      </c>
      <c r="H1696" s="3" t="str">
        <f>VLOOKUP(Registros[[#This Row],[Producto]],Producto[],2,FALSE)</f>
        <v>GAMBO</v>
      </c>
    </row>
    <row r="1697" spans="1:8" ht="20.100000000000001" customHeight="1" x14ac:dyDescent="0.25">
      <c r="A1697" s="3" t="s">
        <v>136</v>
      </c>
      <c r="B1697" s="3" t="s">
        <v>332</v>
      </c>
      <c r="C1697" s="3">
        <v>2022</v>
      </c>
      <c r="D1697" s="4">
        <v>1</v>
      </c>
      <c r="E1697" s="5">
        <v>554.5</v>
      </c>
      <c r="F1697" s="5">
        <v>267.04000000000002</v>
      </c>
      <c r="G1697" s="3" t="str">
        <f>VLOOKUP(Registros[[#This Row],[Cliente]],Cliente_Region[],2,FALSE)</f>
        <v>Argentina</v>
      </c>
      <c r="H1697" s="3" t="str">
        <f>VLOOKUP(Registros[[#This Row],[Producto]],Producto[],2,FALSE)</f>
        <v>CHOTUS</v>
      </c>
    </row>
    <row r="1698" spans="1:8" ht="20.100000000000001" customHeight="1" x14ac:dyDescent="0.25">
      <c r="A1698" s="3" t="s">
        <v>137</v>
      </c>
      <c r="B1698" s="3" t="s">
        <v>332</v>
      </c>
      <c r="C1698" s="3">
        <v>2022</v>
      </c>
      <c r="D1698" s="4">
        <v>2</v>
      </c>
      <c r="E1698" s="5">
        <v>554.4</v>
      </c>
      <c r="F1698" s="5">
        <v>351.22</v>
      </c>
      <c r="G1698" s="3" t="str">
        <f>VLOOKUP(Registros[[#This Row],[Cliente]],Cliente_Region[],2,FALSE)</f>
        <v>Argentina</v>
      </c>
      <c r="H1698" s="3" t="str">
        <f>VLOOKUP(Registros[[#This Row],[Producto]],Producto[],2,FALSE)</f>
        <v>QUOKAR</v>
      </c>
    </row>
    <row r="1699" spans="1:8" ht="20.100000000000001" customHeight="1" x14ac:dyDescent="0.25">
      <c r="A1699" s="3" t="s">
        <v>137</v>
      </c>
      <c r="B1699" s="3" t="s">
        <v>332</v>
      </c>
      <c r="C1699" s="3">
        <v>2022</v>
      </c>
      <c r="D1699" s="4">
        <v>3</v>
      </c>
      <c r="E1699" s="5">
        <v>589.04999999999995</v>
      </c>
      <c r="F1699" s="5">
        <v>377.17</v>
      </c>
      <c r="G1699" s="3" t="str">
        <f>VLOOKUP(Registros[[#This Row],[Cliente]],Cliente_Region[],2,FALSE)</f>
        <v>Argentina</v>
      </c>
      <c r="H1699" s="3" t="str">
        <f>VLOOKUP(Registros[[#This Row],[Producto]],Producto[],2,FALSE)</f>
        <v>QUOKAR</v>
      </c>
    </row>
    <row r="1700" spans="1:8" ht="20.100000000000001" customHeight="1" x14ac:dyDescent="0.25">
      <c r="A1700" s="3" t="s">
        <v>137</v>
      </c>
      <c r="B1700" s="3" t="s">
        <v>332</v>
      </c>
      <c r="C1700" s="3">
        <v>2022</v>
      </c>
      <c r="D1700" s="4">
        <v>4</v>
      </c>
      <c r="E1700" s="5">
        <v>485.1</v>
      </c>
      <c r="F1700" s="5">
        <v>310.61</v>
      </c>
      <c r="G1700" s="3" t="str">
        <f>VLOOKUP(Registros[[#This Row],[Cliente]],Cliente_Region[],2,FALSE)</f>
        <v>Argentina</v>
      </c>
      <c r="H1700" s="3" t="str">
        <f>VLOOKUP(Registros[[#This Row],[Producto]],Producto[],2,FALSE)</f>
        <v>QUOKAR</v>
      </c>
    </row>
    <row r="1701" spans="1:8" ht="20.100000000000001" customHeight="1" x14ac:dyDescent="0.25">
      <c r="A1701" s="3" t="s">
        <v>137</v>
      </c>
      <c r="B1701" s="3" t="s">
        <v>332</v>
      </c>
      <c r="C1701" s="3">
        <v>2022</v>
      </c>
      <c r="D1701" s="4">
        <v>5</v>
      </c>
      <c r="E1701" s="5">
        <v>485.1</v>
      </c>
      <c r="F1701" s="5">
        <v>310.61</v>
      </c>
      <c r="G1701" s="3" t="str">
        <f>VLOOKUP(Registros[[#This Row],[Cliente]],Cliente_Region[],2,FALSE)</f>
        <v>Argentina</v>
      </c>
      <c r="H1701" s="3" t="str">
        <f>VLOOKUP(Registros[[#This Row],[Producto]],Producto[],2,FALSE)</f>
        <v>QUOKAR</v>
      </c>
    </row>
    <row r="1702" spans="1:8" ht="20.100000000000001" customHeight="1" x14ac:dyDescent="0.25">
      <c r="A1702" s="3" t="s">
        <v>137</v>
      </c>
      <c r="B1702" s="3" t="s">
        <v>332</v>
      </c>
      <c r="C1702" s="3">
        <v>2022</v>
      </c>
      <c r="D1702" s="4">
        <v>6</v>
      </c>
      <c r="E1702" s="5">
        <v>311.85000000000002</v>
      </c>
      <c r="F1702" s="5">
        <v>199.68</v>
      </c>
      <c r="G1702" s="3" t="str">
        <f>VLOOKUP(Registros[[#This Row],[Cliente]],Cliente_Region[],2,FALSE)</f>
        <v>Argentina</v>
      </c>
      <c r="H1702" s="3" t="str">
        <f>VLOOKUP(Registros[[#This Row],[Producto]],Producto[],2,FALSE)</f>
        <v>QUOKAR</v>
      </c>
    </row>
    <row r="1703" spans="1:8" ht="20.100000000000001" customHeight="1" x14ac:dyDescent="0.25">
      <c r="A1703" s="3" t="s">
        <v>338</v>
      </c>
      <c r="B1703" s="3" t="s">
        <v>332</v>
      </c>
      <c r="C1703" s="3">
        <v>2022</v>
      </c>
      <c r="D1703" s="4">
        <v>1</v>
      </c>
      <c r="E1703" s="5">
        <v>102</v>
      </c>
      <c r="F1703" s="5">
        <v>68.88</v>
      </c>
      <c r="G1703" s="3" t="str">
        <f>VLOOKUP(Registros[[#This Row],[Cliente]],Cliente_Region[],2,FALSE)</f>
        <v>Argentina</v>
      </c>
      <c r="H1703" s="3" t="str">
        <f>VLOOKUP(Registros[[#This Row],[Producto]],Producto[],2,FALSE)</f>
        <v>DAWNE</v>
      </c>
    </row>
    <row r="1704" spans="1:8" ht="20.100000000000001" customHeight="1" x14ac:dyDescent="0.25">
      <c r="A1704" s="3" t="s">
        <v>339</v>
      </c>
      <c r="B1704" s="3" t="s">
        <v>332</v>
      </c>
      <c r="C1704" s="3">
        <v>2022</v>
      </c>
      <c r="D1704" s="4">
        <v>2</v>
      </c>
      <c r="E1704" s="5">
        <v>70</v>
      </c>
      <c r="F1704" s="5">
        <v>47.92</v>
      </c>
      <c r="G1704" s="3" t="str">
        <f>VLOOKUP(Registros[[#This Row],[Cliente]],Cliente_Region[],2,FALSE)</f>
        <v>Argentina</v>
      </c>
      <c r="H1704" s="3" t="str">
        <f>VLOOKUP(Registros[[#This Row],[Producto]],Producto[],2,FALSE)</f>
        <v>LAX</v>
      </c>
    </row>
    <row r="1705" spans="1:8" ht="20.100000000000001" customHeight="1" x14ac:dyDescent="0.25">
      <c r="A1705" s="3" t="s">
        <v>339</v>
      </c>
      <c r="B1705" s="3" t="s">
        <v>332</v>
      </c>
      <c r="C1705" s="3">
        <v>2022</v>
      </c>
      <c r="D1705" s="4">
        <v>3</v>
      </c>
      <c r="E1705" s="5">
        <v>140</v>
      </c>
      <c r="F1705" s="5">
        <v>95.84</v>
      </c>
      <c r="G1705" s="3" t="str">
        <f>VLOOKUP(Registros[[#This Row],[Cliente]],Cliente_Region[],2,FALSE)</f>
        <v>Argentina</v>
      </c>
      <c r="H1705" s="3" t="str">
        <f>VLOOKUP(Registros[[#This Row],[Producto]],Producto[],2,FALSE)</f>
        <v>LAX</v>
      </c>
    </row>
    <row r="1706" spans="1:8" ht="20.100000000000001" customHeight="1" x14ac:dyDescent="0.25">
      <c r="A1706" s="3" t="s">
        <v>339</v>
      </c>
      <c r="B1706" s="3" t="s">
        <v>332</v>
      </c>
      <c r="C1706" s="3">
        <v>2022</v>
      </c>
      <c r="D1706" s="4">
        <v>4</v>
      </c>
      <c r="E1706" s="5">
        <v>122.5</v>
      </c>
      <c r="F1706" s="5">
        <v>83.86</v>
      </c>
      <c r="G1706" s="3" t="str">
        <f>VLOOKUP(Registros[[#This Row],[Cliente]],Cliente_Region[],2,FALSE)</f>
        <v>Argentina</v>
      </c>
      <c r="H1706" s="3" t="str">
        <f>VLOOKUP(Registros[[#This Row],[Producto]],Producto[],2,FALSE)</f>
        <v>LAX</v>
      </c>
    </row>
    <row r="1707" spans="1:8" ht="20.100000000000001" customHeight="1" x14ac:dyDescent="0.25">
      <c r="A1707" s="3" t="s">
        <v>339</v>
      </c>
      <c r="B1707" s="3" t="s">
        <v>332</v>
      </c>
      <c r="C1707" s="3">
        <v>2022</v>
      </c>
      <c r="D1707" s="4">
        <v>5</v>
      </c>
      <c r="E1707" s="5">
        <v>175</v>
      </c>
      <c r="F1707" s="5">
        <v>119.81</v>
      </c>
      <c r="G1707" s="3" t="str">
        <f>VLOOKUP(Registros[[#This Row],[Cliente]],Cliente_Region[],2,FALSE)</f>
        <v>Argentina</v>
      </c>
      <c r="H1707" s="3" t="str">
        <f>VLOOKUP(Registros[[#This Row],[Producto]],Producto[],2,FALSE)</f>
        <v>LAX</v>
      </c>
    </row>
    <row r="1708" spans="1:8" ht="20.100000000000001" customHeight="1" x14ac:dyDescent="0.25">
      <c r="A1708" s="3" t="s">
        <v>339</v>
      </c>
      <c r="B1708" s="3" t="s">
        <v>332</v>
      </c>
      <c r="C1708" s="3">
        <v>2022</v>
      </c>
      <c r="D1708" s="4">
        <v>6</v>
      </c>
      <c r="E1708" s="5">
        <v>87.5</v>
      </c>
      <c r="F1708" s="5">
        <v>59.9</v>
      </c>
      <c r="G1708" s="3" t="str">
        <f>VLOOKUP(Registros[[#This Row],[Cliente]],Cliente_Region[],2,FALSE)</f>
        <v>Argentina</v>
      </c>
      <c r="H1708" s="3" t="str">
        <f>VLOOKUP(Registros[[#This Row],[Producto]],Producto[],2,FALSE)</f>
        <v>LAX</v>
      </c>
    </row>
    <row r="1709" spans="1:8" ht="20.100000000000001" customHeight="1" x14ac:dyDescent="0.25">
      <c r="A1709" s="3" t="s">
        <v>74</v>
      </c>
      <c r="B1709" s="3" t="s">
        <v>332</v>
      </c>
      <c r="C1709" s="3">
        <v>2022</v>
      </c>
      <c r="D1709" s="4">
        <v>2</v>
      </c>
      <c r="E1709" s="5">
        <v>9.25</v>
      </c>
      <c r="F1709" s="5">
        <v>34.5</v>
      </c>
      <c r="G1709" s="3" t="str">
        <f>VLOOKUP(Registros[[#This Row],[Cliente]],Cliente_Region[],2,FALSE)</f>
        <v>Argentina</v>
      </c>
      <c r="H1709" s="3" t="str">
        <f>VLOOKUP(Registros[[#This Row],[Producto]],Producto[],2,FALSE)</f>
        <v>CHOTUS</v>
      </c>
    </row>
    <row r="1710" spans="1:8" ht="20.100000000000001" customHeight="1" x14ac:dyDescent="0.25">
      <c r="A1710" s="3" t="s">
        <v>340</v>
      </c>
      <c r="B1710" s="3" t="s">
        <v>332</v>
      </c>
      <c r="C1710" s="3">
        <v>2022</v>
      </c>
      <c r="D1710" s="4">
        <v>1</v>
      </c>
      <c r="E1710" s="5">
        <v>17</v>
      </c>
      <c r="F1710" s="5">
        <v>8.82</v>
      </c>
      <c r="G1710" s="3" t="str">
        <f>VLOOKUP(Registros[[#This Row],[Cliente]],Cliente_Region[],2,FALSE)</f>
        <v>Argentina</v>
      </c>
      <c r="H1710" s="3" t="str">
        <f>VLOOKUP(Registros[[#This Row],[Producto]],Producto[],2,FALSE)</f>
        <v>CHOTUS</v>
      </c>
    </row>
    <row r="1711" spans="1:8" ht="20.100000000000001" customHeight="1" x14ac:dyDescent="0.25">
      <c r="A1711" s="3" t="s">
        <v>95</v>
      </c>
      <c r="B1711" s="3" t="s">
        <v>332</v>
      </c>
      <c r="C1711" s="3">
        <v>2022</v>
      </c>
      <c r="D1711" s="4">
        <v>2</v>
      </c>
      <c r="E1711" s="5">
        <v>34</v>
      </c>
      <c r="F1711" s="5">
        <v>17.64</v>
      </c>
      <c r="G1711" s="3" t="str">
        <f>VLOOKUP(Registros[[#This Row],[Cliente]],Cliente_Region[],2,FALSE)</f>
        <v>Argentina</v>
      </c>
      <c r="H1711" s="3" t="str">
        <f>VLOOKUP(Registros[[#This Row],[Producto]],Producto[],2,FALSE)</f>
        <v>CHOTUS</v>
      </c>
    </row>
    <row r="1712" spans="1:8" ht="20.100000000000001" customHeight="1" x14ac:dyDescent="0.25">
      <c r="A1712" s="3" t="s">
        <v>95</v>
      </c>
      <c r="B1712" s="3" t="s">
        <v>332</v>
      </c>
      <c r="C1712" s="3">
        <v>2022</v>
      </c>
      <c r="D1712" s="4">
        <v>3</v>
      </c>
      <c r="E1712" s="5">
        <v>17</v>
      </c>
      <c r="F1712" s="5">
        <v>8.82</v>
      </c>
      <c r="G1712" s="3" t="str">
        <f>VLOOKUP(Registros[[#This Row],[Cliente]],Cliente_Region[],2,FALSE)</f>
        <v>Argentina</v>
      </c>
      <c r="H1712" s="3" t="str">
        <f>VLOOKUP(Registros[[#This Row],[Producto]],Producto[],2,FALSE)</f>
        <v>CHOTUS</v>
      </c>
    </row>
    <row r="1713" spans="1:8" ht="20.100000000000001" customHeight="1" x14ac:dyDescent="0.25">
      <c r="A1713" s="3" t="s">
        <v>288</v>
      </c>
      <c r="B1713" s="3" t="s">
        <v>341</v>
      </c>
      <c r="C1713" s="3">
        <v>2022</v>
      </c>
      <c r="D1713" s="4">
        <v>4</v>
      </c>
      <c r="E1713" s="5">
        <v>27.84</v>
      </c>
      <c r="F1713" s="5">
        <v>21.02</v>
      </c>
      <c r="G1713" s="3" t="str">
        <f>VLOOKUP(Registros[[#This Row],[Cliente]],Cliente_Region[],2,FALSE)</f>
        <v>Mexico</v>
      </c>
      <c r="H1713" s="3" t="str">
        <f>VLOOKUP(Registros[[#This Row],[Producto]],Producto[],2,FALSE)</f>
        <v>DAWNE</v>
      </c>
    </row>
    <row r="1714" spans="1:8" ht="20.100000000000001" customHeight="1" x14ac:dyDescent="0.25">
      <c r="A1714" s="3" t="s">
        <v>321</v>
      </c>
      <c r="B1714" s="3" t="s">
        <v>341</v>
      </c>
      <c r="C1714" s="3">
        <v>2022</v>
      </c>
      <c r="D1714" s="4">
        <v>1</v>
      </c>
      <c r="E1714" s="5">
        <v>453</v>
      </c>
      <c r="F1714" s="5">
        <v>125.89</v>
      </c>
      <c r="G1714" s="3" t="str">
        <f>VLOOKUP(Registros[[#This Row],[Cliente]],Cliente_Region[],2,FALSE)</f>
        <v>Mexico</v>
      </c>
      <c r="H1714" s="3" t="str">
        <f>VLOOKUP(Registros[[#This Row],[Producto]],Producto[],2,FALSE)</f>
        <v>GAMBO</v>
      </c>
    </row>
    <row r="1715" spans="1:8" ht="20.100000000000001" customHeight="1" x14ac:dyDescent="0.25">
      <c r="A1715" s="3" t="s">
        <v>322</v>
      </c>
      <c r="B1715" s="3" t="s">
        <v>341</v>
      </c>
      <c r="C1715" s="3">
        <v>2022</v>
      </c>
      <c r="D1715" s="4">
        <v>2</v>
      </c>
      <c r="E1715" s="5">
        <v>323.05</v>
      </c>
      <c r="F1715" s="5">
        <v>95.13</v>
      </c>
      <c r="G1715" s="3" t="str">
        <f>VLOOKUP(Registros[[#This Row],[Cliente]],Cliente_Region[],2,FALSE)</f>
        <v>Mexico</v>
      </c>
      <c r="H1715" s="3" t="str">
        <f>VLOOKUP(Registros[[#This Row],[Producto]],Producto[],2,FALSE)</f>
        <v>LAX</v>
      </c>
    </row>
    <row r="1716" spans="1:8" ht="20.100000000000001" customHeight="1" x14ac:dyDescent="0.25">
      <c r="A1716" s="3" t="s">
        <v>322</v>
      </c>
      <c r="B1716" s="3" t="s">
        <v>341</v>
      </c>
      <c r="C1716" s="3">
        <v>2022</v>
      </c>
      <c r="D1716" s="4">
        <v>3</v>
      </c>
      <c r="E1716" s="5">
        <v>234</v>
      </c>
      <c r="F1716" s="5">
        <v>63.71</v>
      </c>
      <c r="G1716" s="3" t="str">
        <f>VLOOKUP(Registros[[#This Row],[Cliente]],Cliente_Region[],2,FALSE)</f>
        <v>Mexico</v>
      </c>
      <c r="H1716" s="3" t="str">
        <f>VLOOKUP(Registros[[#This Row],[Producto]],Producto[],2,FALSE)</f>
        <v>LAX</v>
      </c>
    </row>
    <row r="1717" spans="1:8" ht="20.100000000000001" customHeight="1" x14ac:dyDescent="0.25">
      <c r="A1717" s="3" t="s">
        <v>322</v>
      </c>
      <c r="B1717" s="3" t="s">
        <v>341</v>
      </c>
      <c r="C1717" s="3">
        <v>2022</v>
      </c>
      <c r="D1717" s="4">
        <v>4</v>
      </c>
      <c r="E1717" s="5">
        <v>362.25</v>
      </c>
      <c r="F1717" s="5">
        <v>-8.64</v>
      </c>
      <c r="G1717" s="3" t="str">
        <f>VLOOKUP(Registros[[#This Row],[Cliente]],Cliente_Region[],2,FALSE)</f>
        <v>Mexico</v>
      </c>
      <c r="H1717" s="3" t="str">
        <f>VLOOKUP(Registros[[#This Row],[Producto]],Producto[],2,FALSE)</f>
        <v>LAX</v>
      </c>
    </row>
    <row r="1718" spans="1:8" ht="20.100000000000001" customHeight="1" x14ac:dyDescent="0.25">
      <c r="A1718" s="3" t="s">
        <v>322</v>
      </c>
      <c r="B1718" s="3" t="s">
        <v>341</v>
      </c>
      <c r="C1718" s="3">
        <v>2022</v>
      </c>
      <c r="D1718" s="4">
        <v>5</v>
      </c>
      <c r="E1718" s="5">
        <v>263.25</v>
      </c>
      <c r="F1718" s="5">
        <v>81.02</v>
      </c>
      <c r="G1718" s="3" t="str">
        <f>VLOOKUP(Registros[[#This Row],[Cliente]],Cliente_Region[],2,FALSE)</f>
        <v>Mexico</v>
      </c>
      <c r="H1718" s="3" t="str">
        <f>VLOOKUP(Registros[[#This Row],[Producto]],Producto[],2,FALSE)</f>
        <v>LAX</v>
      </c>
    </row>
    <row r="1719" spans="1:8" ht="20.100000000000001" customHeight="1" x14ac:dyDescent="0.25">
      <c r="A1719" s="3" t="s">
        <v>322</v>
      </c>
      <c r="B1719" s="3" t="s">
        <v>341</v>
      </c>
      <c r="C1719" s="3">
        <v>2022</v>
      </c>
      <c r="D1719" s="4">
        <v>6</v>
      </c>
      <c r="E1719" s="5">
        <v>202.5</v>
      </c>
      <c r="F1719" s="5">
        <v>61.08</v>
      </c>
      <c r="G1719" s="3" t="str">
        <f>VLOOKUP(Registros[[#This Row],[Cliente]],Cliente_Region[],2,FALSE)</f>
        <v>Mexico</v>
      </c>
      <c r="H1719" s="3" t="str">
        <f>VLOOKUP(Registros[[#This Row],[Producto]],Producto[],2,FALSE)</f>
        <v>LAX</v>
      </c>
    </row>
    <row r="1720" spans="1:8" ht="20.100000000000001" customHeight="1" x14ac:dyDescent="0.25">
      <c r="A1720" s="3" t="s">
        <v>11</v>
      </c>
      <c r="B1720" s="3" t="s">
        <v>341</v>
      </c>
      <c r="C1720" s="3">
        <v>2022</v>
      </c>
      <c r="D1720" s="4">
        <v>1</v>
      </c>
      <c r="E1720" s="5">
        <v>348</v>
      </c>
      <c r="F1720" s="5">
        <v>174.72</v>
      </c>
      <c r="G1720" s="3" t="str">
        <f>VLOOKUP(Registros[[#This Row],[Cliente]],Cliente_Region[],2,FALSE)</f>
        <v>Mexico</v>
      </c>
      <c r="H1720" s="3" t="str">
        <f>VLOOKUP(Registros[[#This Row],[Producto]],Producto[],2,FALSE)</f>
        <v>DONANY</v>
      </c>
    </row>
    <row r="1721" spans="1:8" ht="20.100000000000001" customHeight="1" x14ac:dyDescent="0.25">
      <c r="A1721" s="3" t="s">
        <v>292</v>
      </c>
      <c r="B1721" s="3" t="s">
        <v>341</v>
      </c>
      <c r="C1721" s="3">
        <v>2022</v>
      </c>
      <c r="D1721" s="4">
        <v>2</v>
      </c>
      <c r="E1721" s="5">
        <v>270.45999999999998</v>
      </c>
      <c r="F1721" s="5">
        <v>139</v>
      </c>
      <c r="G1721" s="3" t="str">
        <f>VLOOKUP(Registros[[#This Row],[Cliente]],Cliente_Region[],2,FALSE)</f>
        <v>Mexico</v>
      </c>
      <c r="H1721" s="3" t="str">
        <f>VLOOKUP(Registros[[#This Row],[Producto]],Producto[],2,FALSE)</f>
        <v>QUOKAR</v>
      </c>
    </row>
    <row r="1722" spans="1:8" ht="20.100000000000001" customHeight="1" x14ac:dyDescent="0.25">
      <c r="A1722" s="3" t="s">
        <v>292</v>
      </c>
      <c r="B1722" s="3" t="s">
        <v>341</v>
      </c>
      <c r="C1722" s="3">
        <v>2022</v>
      </c>
      <c r="D1722" s="4">
        <v>3</v>
      </c>
      <c r="E1722" s="5">
        <v>336</v>
      </c>
      <c r="F1722" s="5">
        <v>168.7</v>
      </c>
      <c r="G1722" s="3" t="str">
        <f>VLOOKUP(Registros[[#This Row],[Cliente]],Cliente_Region[],2,FALSE)</f>
        <v>Mexico</v>
      </c>
      <c r="H1722" s="3" t="str">
        <f>VLOOKUP(Registros[[#This Row],[Producto]],Producto[],2,FALSE)</f>
        <v>QUOKAR</v>
      </c>
    </row>
    <row r="1723" spans="1:8" ht="20.100000000000001" customHeight="1" x14ac:dyDescent="0.25">
      <c r="A1723" s="3" t="s">
        <v>292</v>
      </c>
      <c r="B1723" s="3" t="s">
        <v>341</v>
      </c>
      <c r="C1723" s="3">
        <v>2022</v>
      </c>
      <c r="D1723" s="4">
        <v>4</v>
      </c>
      <c r="E1723" s="5">
        <v>249</v>
      </c>
      <c r="F1723" s="5">
        <v>129.5</v>
      </c>
      <c r="G1723" s="3" t="str">
        <f>VLOOKUP(Registros[[#This Row],[Cliente]],Cliente_Region[],2,FALSE)</f>
        <v>Mexico</v>
      </c>
      <c r="H1723" s="3" t="str">
        <f>VLOOKUP(Registros[[#This Row],[Producto]],Producto[],2,FALSE)</f>
        <v>QUOKAR</v>
      </c>
    </row>
    <row r="1724" spans="1:8" ht="20.100000000000001" customHeight="1" x14ac:dyDescent="0.25">
      <c r="A1724" s="3" t="s">
        <v>292</v>
      </c>
      <c r="B1724" s="3" t="s">
        <v>341</v>
      </c>
      <c r="C1724" s="3">
        <v>2022</v>
      </c>
      <c r="D1724" s="4">
        <v>5</v>
      </c>
      <c r="E1724" s="5">
        <v>275</v>
      </c>
      <c r="F1724" s="5">
        <v>143.55000000000001</v>
      </c>
      <c r="G1724" s="3" t="str">
        <f>VLOOKUP(Registros[[#This Row],[Cliente]],Cliente_Region[],2,FALSE)</f>
        <v>Mexico</v>
      </c>
      <c r="H1724" s="3" t="str">
        <f>VLOOKUP(Registros[[#This Row],[Producto]],Producto[],2,FALSE)</f>
        <v>QUOKAR</v>
      </c>
    </row>
    <row r="1725" spans="1:8" ht="20.100000000000001" customHeight="1" x14ac:dyDescent="0.25">
      <c r="A1725" s="3" t="s">
        <v>292</v>
      </c>
      <c r="B1725" s="3" t="s">
        <v>341</v>
      </c>
      <c r="C1725" s="3">
        <v>2022</v>
      </c>
      <c r="D1725" s="4">
        <v>6</v>
      </c>
      <c r="E1725" s="5">
        <v>162.5</v>
      </c>
      <c r="F1725" s="5">
        <v>84.82</v>
      </c>
      <c r="G1725" s="3" t="str">
        <f>VLOOKUP(Registros[[#This Row],[Cliente]],Cliente_Region[],2,FALSE)</f>
        <v>Mexico</v>
      </c>
      <c r="H1725" s="3" t="str">
        <f>VLOOKUP(Registros[[#This Row],[Producto]],Producto[],2,FALSE)</f>
        <v>QUOKAR</v>
      </c>
    </row>
    <row r="1726" spans="1:8" ht="20.100000000000001" customHeight="1" x14ac:dyDescent="0.25">
      <c r="A1726" s="3" t="s">
        <v>293</v>
      </c>
      <c r="B1726" s="3" t="s">
        <v>341</v>
      </c>
      <c r="C1726" s="3">
        <v>2022</v>
      </c>
      <c r="D1726" s="4">
        <v>1</v>
      </c>
      <c r="E1726" s="5">
        <v>1034</v>
      </c>
      <c r="F1726" s="5">
        <v>231.23</v>
      </c>
      <c r="G1726" s="3" t="str">
        <f>VLOOKUP(Registros[[#This Row],[Cliente]],Cliente_Region[],2,FALSE)</f>
        <v>Mexico</v>
      </c>
      <c r="H1726" s="3" t="str">
        <f>VLOOKUP(Registros[[#This Row],[Producto]],Producto[],2,FALSE)</f>
        <v>QUOKAR</v>
      </c>
    </row>
    <row r="1727" spans="1:8" ht="20.100000000000001" customHeight="1" x14ac:dyDescent="0.25">
      <c r="A1727" s="3" t="s">
        <v>294</v>
      </c>
      <c r="B1727" s="3" t="s">
        <v>341</v>
      </c>
      <c r="C1727" s="3">
        <v>2022</v>
      </c>
      <c r="D1727" s="4">
        <v>2</v>
      </c>
      <c r="E1727" s="5">
        <v>927.28</v>
      </c>
      <c r="F1727" s="5">
        <v>203.9</v>
      </c>
      <c r="G1727" s="3" t="str">
        <f>VLOOKUP(Registros[[#This Row],[Cliente]],Cliente_Region[],2,FALSE)</f>
        <v>Mexico</v>
      </c>
      <c r="H1727" s="3" t="str">
        <f>VLOOKUP(Registros[[#This Row],[Producto]],Producto[],2,FALSE)</f>
        <v>CHOTUS</v>
      </c>
    </row>
    <row r="1728" spans="1:8" ht="20.100000000000001" customHeight="1" x14ac:dyDescent="0.25">
      <c r="A1728" s="3" t="s">
        <v>294</v>
      </c>
      <c r="B1728" s="3" t="s">
        <v>341</v>
      </c>
      <c r="C1728" s="3">
        <v>2022</v>
      </c>
      <c r="D1728" s="4">
        <v>3</v>
      </c>
      <c r="E1728" s="5">
        <v>988</v>
      </c>
      <c r="F1728" s="5">
        <v>248.11</v>
      </c>
      <c r="G1728" s="3" t="str">
        <f>VLOOKUP(Registros[[#This Row],[Cliente]],Cliente_Region[],2,FALSE)</f>
        <v>Mexico</v>
      </c>
      <c r="H1728" s="3" t="str">
        <f>VLOOKUP(Registros[[#This Row],[Producto]],Producto[],2,FALSE)</f>
        <v>CHOTUS</v>
      </c>
    </row>
    <row r="1729" spans="1:8" ht="20.100000000000001" customHeight="1" x14ac:dyDescent="0.25">
      <c r="A1729" s="3" t="s">
        <v>294</v>
      </c>
      <c r="B1729" s="3" t="s">
        <v>341</v>
      </c>
      <c r="C1729" s="3">
        <v>2022</v>
      </c>
      <c r="D1729" s="4">
        <v>4</v>
      </c>
      <c r="E1729" s="5">
        <v>1014</v>
      </c>
      <c r="F1729" s="5">
        <v>257.11</v>
      </c>
      <c r="G1729" s="3" t="str">
        <f>VLOOKUP(Registros[[#This Row],[Cliente]],Cliente_Region[],2,FALSE)</f>
        <v>Mexico</v>
      </c>
      <c r="H1729" s="3" t="str">
        <f>VLOOKUP(Registros[[#This Row],[Producto]],Producto[],2,FALSE)</f>
        <v>CHOTUS</v>
      </c>
    </row>
    <row r="1730" spans="1:8" ht="20.100000000000001" customHeight="1" x14ac:dyDescent="0.25">
      <c r="A1730" s="3" t="s">
        <v>294</v>
      </c>
      <c r="B1730" s="3" t="s">
        <v>341</v>
      </c>
      <c r="C1730" s="3">
        <v>2022</v>
      </c>
      <c r="D1730" s="4">
        <v>5</v>
      </c>
      <c r="E1730" s="5">
        <v>871</v>
      </c>
      <c r="F1730" s="5">
        <v>221.72</v>
      </c>
      <c r="G1730" s="3" t="str">
        <f>VLOOKUP(Registros[[#This Row],[Cliente]],Cliente_Region[],2,FALSE)</f>
        <v>Mexico</v>
      </c>
      <c r="H1730" s="3" t="str">
        <f>VLOOKUP(Registros[[#This Row],[Producto]],Producto[],2,FALSE)</f>
        <v>CHOTUS</v>
      </c>
    </row>
    <row r="1731" spans="1:8" ht="20.100000000000001" customHeight="1" x14ac:dyDescent="0.25">
      <c r="A1731" s="3" t="s">
        <v>294</v>
      </c>
      <c r="B1731" s="3" t="s">
        <v>341</v>
      </c>
      <c r="C1731" s="3">
        <v>2022</v>
      </c>
      <c r="D1731" s="4">
        <v>6</v>
      </c>
      <c r="E1731" s="5">
        <v>559</v>
      </c>
      <c r="F1731" s="5">
        <v>137.68</v>
      </c>
      <c r="G1731" s="3" t="str">
        <f>VLOOKUP(Registros[[#This Row],[Cliente]],Cliente_Region[],2,FALSE)</f>
        <v>Mexico</v>
      </c>
      <c r="H1731" s="3" t="str">
        <f>VLOOKUP(Registros[[#This Row],[Producto]],Producto[],2,FALSE)</f>
        <v>CHOTUS</v>
      </c>
    </row>
    <row r="1732" spans="1:8" ht="20.100000000000001" customHeight="1" x14ac:dyDescent="0.25">
      <c r="A1732" s="3" t="s">
        <v>310</v>
      </c>
      <c r="B1732" s="3" t="s">
        <v>341</v>
      </c>
      <c r="C1732" s="3">
        <v>2022</v>
      </c>
      <c r="D1732" s="4">
        <v>1</v>
      </c>
      <c r="E1732" s="5">
        <v>456</v>
      </c>
      <c r="F1732" s="5">
        <v>302.27999999999997</v>
      </c>
      <c r="G1732" s="3" t="str">
        <f>VLOOKUP(Registros[[#This Row],[Cliente]],Cliente_Region[],2,FALSE)</f>
        <v>Mexico</v>
      </c>
      <c r="H1732" s="3" t="str">
        <f>VLOOKUP(Registros[[#This Row],[Producto]],Producto[],2,FALSE)</f>
        <v>DONANY</v>
      </c>
    </row>
    <row r="1733" spans="1:8" ht="20.100000000000001" customHeight="1" x14ac:dyDescent="0.25">
      <c r="A1733" s="3" t="s">
        <v>311</v>
      </c>
      <c r="B1733" s="3" t="s">
        <v>341</v>
      </c>
      <c r="C1733" s="3">
        <v>2022</v>
      </c>
      <c r="D1733" s="4">
        <v>2</v>
      </c>
      <c r="E1733" s="5">
        <v>303.52999999999997</v>
      </c>
      <c r="F1733" s="5">
        <v>215.28</v>
      </c>
      <c r="G1733" s="3" t="str">
        <f>VLOOKUP(Registros[[#This Row],[Cliente]],Cliente_Region[],2,FALSE)</f>
        <v>Mexico</v>
      </c>
      <c r="H1733" s="3" t="str">
        <f>VLOOKUP(Registros[[#This Row],[Producto]],Producto[],2,FALSE)</f>
        <v>CHOTUS</v>
      </c>
    </row>
    <row r="1734" spans="1:8" ht="20.100000000000001" customHeight="1" x14ac:dyDescent="0.25">
      <c r="A1734" s="3" t="s">
        <v>311</v>
      </c>
      <c r="B1734" s="3" t="s">
        <v>341</v>
      </c>
      <c r="C1734" s="3">
        <v>2022</v>
      </c>
      <c r="D1734" s="4">
        <v>3</v>
      </c>
      <c r="E1734" s="5">
        <v>400</v>
      </c>
      <c r="F1734" s="5">
        <v>311.76</v>
      </c>
      <c r="G1734" s="3" t="str">
        <f>VLOOKUP(Registros[[#This Row],[Cliente]],Cliente_Region[],2,FALSE)</f>
        <v>Mexico</v>
      </c>
      <c r="H1734" s="3" t="str">
        <f>VLOOKUP(Registros[[#This Row],[Producto]],Producto[],2,FALSE)</f>
        <v>CHOTUS</v>
      </c>
    </row>
    <row r="1735" spans="1:8" ht="20.100000000000001" customHeight="1" x14ac:dyDescent="0.25">
      <c r="A1735" s="3" t="s">
        <v>311</v>
      </c>
      <c r="B1735" s="3" t="s">
        <v>341</v>
      </c>
      <c r="C1735" s="3">
        <v>2022</v>
      </c>
      <c r="D1735" s="4">
        <v>4</v>
      </c>
      <c r="E1735" s="5">
        <v>400</v>
      </c>
      <c r="F1735" s="5">
        <v>311.75</v>
      </c>
      <c r="G1735" s="3" t="str">
        <f>VLOOKUP(Registros[[#This Row],[Cliente]],Cliente_Region[],2,FALSE)</f>
        <v>Mexico</v>
      </c>
      <c r="H1735" s="3" t="str">
        <f>VLOOKUP(Registros[[#This Row],[Producto]],Producto[],2,FALSE)</f>
        <v>CHOTUS</v>
      </c>
    </row>
    <row r="1736" spans="1:8" ht="20.100000000000001" customHeight="1" x14ac:dyDescent="0.25">
      <c r="A1736" s="3" t="s">
        <v>311</v>
      </c>
      <c r="B1736" s="3" t="s">
        <v>341</v>
      </c>
      <c r="C1736" s="3">
        <v>2022</v>
      </c>
      <c r="D1736" s="4">
        <v>5</v>
      </c>
      <c r="E1736" s="5">
        <v>475</v>
      </c>
      <c r="F1736" s="5">
        <v>370.21</v>
      </c>
      <c r="G1736" s="3" t="str">
        <f>VLOOKUP(Registros[[#This Row],[Cliente]],Cliente_Region[],2,FALSE)</f>
        <v>Mexico</v>
      </c>
      <c r="H1736" s="3" t="str">
        <f>VLOOKUP(Registros[[#This Row],[Producto]],Producto[],2,FALSE)</f>
        <v>CHOTUS</v>
      </c>
    </row>
    <row r="1737" spans="1:8" ht="20.100000000000001" customHeight="1" x14ac:dyDescent="0.25">
      <c r="A1737" s="3" t="s">
        <v>311</v>
      </c>
      <c r="B1737" s="3" t="s">
        <v>341</v>
      </c>
      <c r="C1737" s="3">
        <v>2022</v>
      </c>
      <c r="D1737" s="4">
        <v>6</v>
      </c>
      <c r="E1737" s="5">
        <v>350</v>
      </c>
      <c r="F1737" s="5">
        <v>272.77999999999997</v>
      </c>
      <c r="G1737" s="3" t="str">
        <f>VLOOKUP(Registros[[#This Row],[Cliente]],Cliente_Region[],2,FALSE)</f>
        <v>Mexico</v>
      </c>
      <c r="H1737" s="3" t="str">
        <f>VLOOKUP(Registros[[#This Row],[Producto]],Producto[],2,FALSE)</f>
        <v>CHOTUS</v>
      </c>
    </row>
    <row r="1738" spans="1:8" ht="20.100000000000001" customHeight="1" x14ac:dyDescent="0.25">
      <c r="A1738" s="3" t="s">
        <v>301</v>
      </c>
      <c r="B1738" s="3" t="s">
        <v>341</v>
      </c>
      <c r="C1738" s="3">
        <v>2022</v>
      </c>
      <c r="D1738" s="4">
        <v>1</v>
      </c>
      <c r="E1738" s="5">
        <v>300</v>
      </c>
      <c r="F1738" s="5">
        <v>162.96</v>
      </c>
      <c r="G1738" s="3" t="str">
        <f>VLOOKUP(Registros[[#This Row],[Cliente]],Cliente_Region[],2,FALSE)</f>
        <v>Mexico</v>
      </c>
      <c r="H1738" s="3" t="str">
        <f>VLOOKUP(Registros[[#This Row],[Producto]],Producto[],2,FALSE)</f>
        <v>CHOTUS</v>
      </c>
    </row>
    <row r="1739" spans="1:8" ht="20.100000000000001" customHeight="1" x14ac:dyDescent="0.25">
      <c r="A1739" s="3" t="s">
        <v>302</v>
      </c>
      <c r="B1739" s="3" t="s">
        <v>341</v>
      </c>
      <c r="C1739" s="3">
        <v>2022</v>
      </c>
      <c r="D1739" s="4">
        <v>2</v>
      </c>
      <c r="E1739" s="5">
        <v>80</v>
      </c>
      <c r="F1739" s="5">
        <v>43.46</v>
      </c>
      <c r="G1739" s="3" t="str">
        <f>VLOOKUP(Registros[[#This Row],[Cliente]],Cliente_Region[],2,FALSE)</f>
        <v>Mexico</v>
      </c>
      <c r="H1739" s="3" t="str">
        <f>VLOOKUP(Registros[[#This Row],[Producto]],Producto[],2,FALSE)</f>
        <v>CHOTUS</v>
      </c>
    </row>
    <row r="1740" spans="1:8" ht="20.100000000000001" customHeight="1" x14ac:dyDescent="0.25">
      <c r="A1740" s="3" t="s">
        <v>302</v>
      </c>
      <c r="B1740" s="3" t="s">
        <v>341</v>
      </c>
      <c r="C1740" s="3">
        <v>2022</v>
      </c>
      <c r="D1740" s="4">
        <v>3</v>
      </c>
      <c r="E1740" s="5">
        <v>220</v>
      </c>
      <c r="F1740" s="5">
        <v>119.51</v>
      </c>
      <c r="G1740" s="3" t="str">
        <f>VLOOKUP(Registros[[#This Row],[Cliente]],Cliente_Region[],2,FALSE)</f>
        <v>Mexico</v>
      </c>
      <c r="H1740" s="3" t="str">
        <f>VLOOKUP(Registros[[#This Row],[Producto]],Producto[],2,FALSE)</f>
        <v>CHOTUS</v>
      </c>
    </row>
    <row r="1741" spans="1:8" ht="20.100000000000001" customHeight="1" x14ac:dyDescent="0.25">
      <c r="A1741" s="3" t="s">
        <v>302</v>
      </c>
      <c r="B1741" s="3" t="s">
        <v>341</v>
      </c>
      <c r="C1741" s="3">
        <v>2022</v>
      </c>
      <c r="D1741" s="4">
        <v>4</v>
      </c>
      <c r="E1741" s="5">
        <v>240</v>
      </c>
      <c r="F1741" s="5">
        <v>130.37</v>
      </c>
      <c r="G1741" s="3" t="str">
        <f>VLOOKUP(Registros[[#This Row],[Cliente]],Cliente_Region[],2,FALSE)</f>
        <v>Mexico</v>
      </c>
      <c r="H1741" s="3" t="str">
        <f>VLOOKUP(Registros[[#This Row],[Producto]],Producto[],2,FALSE)</f>
        <v>CHOTUS</v>
      </c>
    </row>
    <row r="1742" spans="1:8" ht="20.100000000000001" customHeight="1" x14ac:dyDescent="0.25">
      <c r="A1742" s="3" t="s">
        <v>302</v>
      </c>
      <c r="B1742" s="3" t="s">
        <v>341</v>
      </c>
      <c r="C1742" s="3">
        <v>2022</v>
      </c>
      <c r="D1742" s="4">
        <v>5</v>
      </c>
      <c r="E1742" s="5">
        <v>200</v>
      </c>
      <c r="F1742" s="5">
        <v>108.64</v>
      </c>
      <c r="G1742" s="3" t="str">
        <f>VLOOKUP(Registros[[#This Row],[Cliente]],Cliente_Region[],2,FALSE)</f>
        <v>Mexico</v>
      </c>
      <c r="H1742" s="3" t="str">
        <f>VLOOKUP(Registros[[#This Row],[Producto]],Producto[],2,FALSE)</f>
        <v>CHOTUS</v>
      </c>
    </row>
    <row r="1743" spans="1:8" ht="20.100000000000001" customHeight="1" x14ac:dyDescent="0.25">
      <c r="A1743" s="3" t="s">
        <v>302</v>
      </c>
      <c r="B1743" s="3" t="s">
        <v>341</v>
      </c>
      <c r="C1743" s="3">
        <v>2022</v>
      </c>
      <c r="D1743" s="4">
        <v>6</v>
      </c>
      <c r="E1743" s="5">
        <v>260</v>
      </c>
      <c r="F1743" s="5">
        <v>141.24</v>
      </c>
      <c r="G1743" s="3" t="str">
        <f>VLOOKUP(Registros[[#This Row],[Cliente]],Cliente_Region[],2,FALSE)</f>
        <v>Mexico</v>
      </c>
      <c r="H1743" s="3" t="str">
        <f>VLOOKUP(Registros[[#This Row],[Producto]],Producto[],2,FALSE)</f>
        <v>CHOTUS</v>
      </c>
    </row>
    <row r="1744" spans="1:8" ht="20.100000000000001" customHeight="1" x14ac:dyDescent="0.25">
      <c r="A1744" s="3" t="s">
        <v>280</v>
      </c>
      <c r="B1744" s="3" t="s">
        <v>341</v>
      </c>
      <c r="C1744" s="3">
        <v>2022</v>
      </c>
      <c r="D1744" s="4">
        <v>1</v>
      </c>
      <c r="E1744" s="5">
        <v>420</v>
      </c>
      <c r="F1744" s="5">
        <v>223.36</v>
      </c>
      <c r="G1744" s="3" t="str">
        <f>VLOOKUP(Registros[[#This Row],[Cliente]],Cliente_Region[],2,FALSE)</f>
        <v>Mexico</v>
      </c>
      <c r="H1744" s="3" t="str">
        <f>VLOOKUP(Registros[[#This Row],[Producto]],Producto[],2,FALSE)</f>
        <v>CHOTUS</v>
      </c>
    </row>
    <row r="1745" spans="1:8" ht="20.100000000000001" customHeight="1" x14ac:dyDescent="0.25">
      <c r="A1745" s="3" t="s">
        <v>281</v>
      </c>
      <c r="B1745" s="3" t="s">
        <v>341</v>
      </c>
      <c r="C1745" s="3">
        <v>2022</v>
      </c>
      <c r="D1745" s="4">
        <v>2</v>
      </c>
      <c r="E1745" s="5">
        <v>304.55</v>
      </c>
      <c r="F1745" s="5">
        <v>164.08</v>
      </c>
      <c r="G1745" s="3" t="str">
        <f>VLOOKUP(Registros[[#This Row],[Cliente]],Cliente_Region[],2,FALSE)</f>
        <v>Mexico</v>
      </c>
      <c r="H1745" s="3" t="str">
        <f>VLOOKUP(Registros[[#This Row],[Producto]],Producto[],2,FALSE)</f>
        <v>SALF</v>
      </c>
    </row>
    <row r="1746" spans="1:8" ht="20.100000000000001" customHeight="1" x14ac:dyDescent="0.25">
      <c r="A1746" s="3" t="s">
        <v>281</v>
      </c>
      <c r="B1746" s="3" t="s">
        <v>341</v>
      </c>
      <c r="C1746" s="3">
        <v>2022</v>
      </c>
      <c r="D1746" s="4">
        <v>3</v>
      </c>
      <c r="E1746" s="5">
        <v>301.5</v>
      </c>
      <c r="F1746" s="5">
        <v>161.03</v>
      </c>
      <c r="G1746" s="3" t="str">
        <f>VLOOKUP(Registros[[#This Row],[Cliente]],Cliente_Region[],2,FALSE)</f>
        <v>Mexico</v>
      </c>
      <c r="H1746" s="3" t="str">
        <f>VLOOKUP(Registros[[#This Row],[Producto]],Producto[],2,FALSE)</f>
        <v>SALF</v>
      </c>
    </row>
    <row r="1747" spans="1:8" ht="20.100000000000001" customHeight="1" x14ac:dyDescent="0.25">
      <c r="A1747" s="3" t="s">
        <v>281</v>
      </c>
      <c r="B1747" s="3" t="s">
        <v>341</v>
      </c>
      <c r="C1747" s="3">
        <v>2022</v>
      </c>
      <c r="D1747" s="4">
        <v>4</v>
      </c>
      <c r="E1747" s="5">
        <v>225.5</v>
      </c>
      <c r="F1747" s="5">
        <v>122.49</v>
      </c>
      <c r="G1747" s="3" t="str">
        <f>VLOOKUP(Registros[[#This Row],[Cliente]],Cliente_Region[],2,FALSE)</f>
        <v>Mexico</v>
      </c>
      <c r="H1747" s="3" t="str">
        <f>VLOOKUP(Registros[[#This Row],[Producto]],Producto[],2,FALSE)</f>
        <v>SALF</v>
      </c>
    </row>
    <row r="1748" spans="1:8" ht="20.100000000000001" customHeight="1" x14ac:dyDescent="0.25">
      <c r="A1748" s="3" t="s">
        <v>281</v>
      </c>
      <c r="B1748" s="3" t="s">
        <v>341</v>
      </c>
      <c r="C1748" s="3">
        <v>2022</v>
      </c>
      <c r="D1748" s="4">
        <v>5</v>
      </c>
      <c r="E1748" s="5">
        <v>410</v>
      </c>
      <c r="F1748" s="5">
        <v>222.72</v>
      </c>
      <c r="G1748" s="3" t="str">
        <f>VLOOKUP(Registros[[#This Row],[Cliente]],Cliente_Region[],2,FALSE)</f>
        <v>Mexico</v>
      </c>
      <c r="H1748" s="3" t="str">
        <f>VLOOKUP(Registros[[#This Row],[Producto]],Producto[],2,FALSE)</f>
        <v>SALF</v>
      </c>
    </row>
    <row r="1749" spans="1:8" ht="20.100000000000001" customHeight="1" x14ac:dyDescent="0.25">
      <c r="A1749" s="3" t="s">
        <v>281</v>
      </c>
      <c r="B1749" s="3" t="s">
        <v>341</v>
      </c>
      <c r="C1749" s="3">
        <v>2022</v>
      </c>
      <c r="D1749" s="4">
        <v>6</v>
      </c>
      <c r="E1749" s="5">
        <v>184.5</v>
      </c>
      <c r="F1749" s="5">
        <v>100.23</v>
      </c>
      <c r="G1749" s="3" t="str">
        <f>VLOOKUP(Registros[[#This Row],[Cliente]],Cliente_Region[],2,FALSE)</f>
        <v>Mexico</v>
      </c>
      <c r="H1749" s="3" t="str">
        <f>VLOOKUP(Registros[[#This Row],[Producto]],Producto[],2,FALSE)</f>
        <v>SALF</v>
      </c>
    </row>
    <row r="1750" spans="1:8" ht="20.100000000000001" customHeight="1" x14ac:dyDescent="0.25">
      <c r="A1750" s="3" t="s">
        <v>282</v>
      </c>
      <c r="B1750" s="3" t="s">
        <v>341</v>
      </c>
      <c r="C1750" s="3">
        <v>2022</v>
      </c>
      <c r="D1750" s="4">
        <v>1</v>
      </c>
      <c r="E1750" s="5">
        <v>627</v>
      </c>
      <c r="F1750" s="5">
        <v>360.52</v>
      </c>
      <c r="G1750" s="3" t="str">
        <f>VLOOKUP(Registros[[#This Row],[Cliente]],Cliente_Region[],2,FALSE)</f>
        <v>Mexico</v>
      </c>
      <c r="H1750" s="3" t="str">
        <f>VLOOKUP(Registros[[#This Row],[Producto]],Producto[],2,FALSE)</f>
        <v>DAWNE</v>
      </c>
    </row>
    <row r="1751" spans="1:8" ht="20.100000000000001" customHeight="1" x14ac:dyDescent="0.25">
      <c r="A1751" s="3" t="s">
        <v>114</v>
      </c>
      <c r="B1751" s="3" t="s">
        <v>341</v>
      </c>
      <c r="C1751" s="3">
        <v>2022</v>
      </c>
      <c r="D1751" s="4">
        <v>2</v>
      </c>
      <c r="E1751" s="5">
        <v>561</v>
      </c>
      <c r="F1751" s="5">
        <v>322.56</v>
      </c>
      <c r="G1751" s="3" t="str">
        <f>VLOOKUP(Registros[[#This Row],[Cliente]],Cliente_Region[],2,FALSE)</f>
        <v>Mexico</v>
      </c>
      <c r="H1751" s="3" t="str">
        <f>VLOOKUP(Registros[[#This Row],[Producto]],Producto[],2,FALSE)</f>
        <v>DAWNE</v>
      </c>
    </row>
    <row r="1752" spans="1:8" ht="20.100000000000001" customHeight="1" x14ac:dyDescent="0.25">
      <c r="A1752" s="3" t="s">
        <v>114</v>
      </c>
      <c r="B1752" s="3" t="s">
        <v>341</v>
      </c>
      <c r="C1752" s="3">
        <v>2022</v>
      </c>
      <c r="D1752" s="4">
        <v>3</v>
      </c>
      <c r="E1752" s="5">
        <v>363</v>
      </c>
      <c r="F1752" s="5">
        <v>208.72</v>
      </c>
      <c r="G1752" s="3" t="str">
        <f>VLOOKUP(Registros[[#This Row],[Cliente]],Cliente_Region[],2,FALSE)</f>
        <v>Mexico</v>
      </c>
      <c r="H1752" s="3" t="str">
        <f>VLOOKUP(Registros[[#This Row],[Producto]],Producto[],2,FALSE)</f>
        <v>DAWNE</v>
      </c>
    </row>
    <row r="1753" spans="1:8" ht="20.100000000000001" customHeight="1" x14ac:dyDescent="0.25">
      <c r="A1753" s="3" t="s">
        <v>114</v>
      </c>
      <c r="B1753" s="3" t="s">
        <v>341</v>
      </c>
      <c r="C1753" s="3">
        <v>2022</v>
      </c>
      <c r="D1753" s="4">
        <v>4</v>
      </c>
      <c r="E1753" s="5">
        <v>495</v>
      </c>
      <c r="F1753" s="5">
        <v>284.62</v>
      </c>
      <c r="G1753" s="3" t="str">
        <f>VLOOKUP(Registros[[#This Row],[Cliente]],Cliente_Region[],2,FALSE)</f>
        <v>Mexico</v>
      </c>
      <c r="H1753" s="3" t="str">
        <f>VLOOKUP(Registros[[#This Row],[Producto]],Producto[],2,FALSE)</f>
        <v>DAWNE</v>
      </c>
    </row>
    <row r="1754" spans="1:8" ht="20.100000000000001" customHeight="1" x14ac:dyDescent="0.25">
      <c r="A1754" s="3" t="s">
        <v>114</v>
      </c>
      <c r="B1754" s="3" t="s">
        <v>341</v>
      </c>
      <c r="C1754" s="3">
        <v>2022</v>
      </c>
      <c r="D1754" s="4">
        <v>5</v>
      </c>
      <c r="E1754" s="5">
        <v>445.5</v>
      </c>
      <c r="F1754" s="5">
        <v>256.16000000000003</v>
      </c>
      <c r="G1754" s="3" t="str">
        <f>VLOOKUP(Registros[[#This Row],[Cliente]],Cliente_Region[],2,FALSE)</f>
        <v>Mexico</v>
      </c>
      <c r="H1754" s="3" t="str">
        <f>VLOOKUP(Registros[[#This Row],[Producto]],Producto[],2,FALSE)</f>
        <v>DAWNE</v>
      </c>
    </row>
    <row r="1755" spans="1:8" ht="20.100000000000001" customHeight="1" x14ac:dyDescent="0.25">
      <c r="A1755" s="3" t="s">
        <v>114</v>
      </c>
      <c r="B1755" s="3" t="s">
        <v>341</v>
      </c>
      <c r="C1755" s="3">
        <v>2022</v>
      </c>
      <c r="D1755" s="4">
        <v>6</v>
      </c>
      <c r="E1755" s="5">
        <v>231</v>
      </c>
      <c r="F1755" s="5">
        <v>132.82</v>
      </c>
      <c r="G1755" s="3" t="str">
        <f>VLOOKUP(Registros[[#This Row],[Cliente]],Cliente_Region[],2,FALSE)</f>
        <v>Mexico</v>
      </c>
      <c r="H1755" s="3" t="str">
        <f>VLOOKUP(Registros[[#This Row],[Producto]],Producto[],2,FALSE)</f>
        <v>DAWNE</v>
      </c>
    </row>
    <row r="1756" spans="1:8" ht="20.100000000000001" customHeight="1" x14ac:dyDescent="0.25">
      <c r="A1756" s="3" t="s">
        <v>342</v>
      </c>
      <c r="B1756" s="3" t="s">
        <v>341</v>
      </c>
      <c r="C1756" s="3">
        <v>2022</v>
      </c>
      <c r="D1756" s="4">
        <v>3</v>
      </c>
      <c r="E1756" s="5">
        <v>25</v>
      </c>
      <c r="F1756" s="5">
        <v>15.96</v>
      </c>
      <c r="G1756" s="3" t="str">
        <f>VLOOKUP(Registros[[#This Row],[Cliente]],Cliente_Region[],2,FALSE)</f>
        <v>Mexico</v>
      </c>
      <c r="H1756" s="3" t="str">
        <f>VLOOKUP(Registros[[#This Row],[Producto]],Producto[],2,FALSE)</f>
        <v>SALF</v>
      </c>
    </row>
    <row r="1757" spans="1:8" ht="20.100000000000001" customHeight="1" x14ac:dyDescent="0.25">
      <c r="A1757" s="3" t="s">
        <v>194</v>
      </c>
      <c r="B1757" s="3" t="s">
        <v>344</v>
      </c>
      <c r="C1757" s="3">
        <v>2022</v>
      </c>
      <c r="D1757" s="4">
        <v>4</v>
      </c>
      <c r="E1757" s="5">
        <v>12.38</v>
      </c>
      <c r="F1757" s="5">
        <v>7.28</v>
      </c>
      <c r="G1757" s="3" t="str">
        <f>VLOOKUP(Registros[[#This Row],[Cliente]],Cliente_Region[],2,FALSE)</f>
        <v>Argentina</v>
      </c>
      <c r="H1757" s="3" t="str">
        <f>VLOOKUP(Registros[[#This Row],[Producto]],Producto[],2,FALSE)</f>
        <v>LAX</v>
      </c>
    </row>
    <row r="1758" spans="1:8" ht="20.100000000000001" customHeight="1" x14ac:dyDescent="0.25">
      <c r="A1758" s="3" t="s">
        <v>321</v>
      </c>
      <c r="B1758" s="3" t="s">
        <v>344</v>
      </c>
      <c r="C1758" s="3">
        <v>2022</v>
      </c>
      <c r="D1758" s="4">
        <v>5</v>
      </c>
      <c r="E1758" s="5">
        <v>0</v>
      </c>
      <c r="F1758" s="5">
        <v>0</v>
      </c>
      <c r="G1758" s="3" t="str">
        <f>VLOOKUP(Registros[[#This Row],[Cliente]],Cliente_Region[],2,FALSE)</f>
        <v>Argentina</v>
      </c>
      <c r="H1758" s="3" t="str">
        <f>VLOOKUP(Registros[[#This Row],[Producto]],Producto[],2,FALSE)</f>
        <v>GAMBO</v>
      </c>
    </row>
    <row r="1759" spans="1:8" ht="20.100000000000001" customHeight="1" x14ac:dyDescent="0.25">
      <c r="A1759" s="3" t="s">
        <v>11</v>
      </c>
      <c r="B1759" s="3" t="s">
        <v>344</v>
      </c>
      <c r="C1759" s="3">
        <v>2022</v>
      </c>
      <c r="D1759" s="4">
        <v>1</v>
      </c>
      <c r="E1759" s="5">
        <v>60</v>
      </c>
      <c r="F1759" s="5">
        <v>30.11</v>
      </c>
      <c r="G1759" s="3" t="str">
        <f>VLOOKUP(Registros[[#This Row],[Cliente]],Cliente_Region[],2,FALSE)</f>
        <v>Argentina</v>
      </c>
      <c r="H1759" s="3" t="str">
        <f>VLOOKUP(Registros[[#This Row],[Producto]],Producto[],2,FALSE)</f>
        <v>DONANY</v>
      </c>
    </row>
    <row r="1760" spans="1:8" ht="20.100000000000001" customHeight="1" x14ac:dyDescent="0.25">
      <c r="A1760" s="3" t="s">
        <v>292</v>
      </c>
      <c r="B1760" s="3" t="s">
        <v>344</v>
      </c>
      <c r="C1760" s="3">
        <v>2022</v>
      </c>
      <c r="D1760" s="4">
        <v>2</v>
      </c>
      <c r="E1760" s="5">
        <v>49.52</v>
      </c>
      <c r="F1760" s="5">
        <v>25.61</v>
      </c>
      <c r="G1760" s="3" t="str">
        <f>VLOOKUP(Registros[[#This Row],[Cliente]],Cliente_Region[],2,FALSE)</f>
        <v>Argentina</v>
      </c>
      <c r="H1760" s="3" t="str">
        <f>VLOOKUP(Registros[[#This Row],[Producto]],Producto[],2,FALSE)</f>
        <v>QUOKAR</v>
      </c>
    </row>
    <row r="1761" spans="1:8" ht="20.100000000000001" customHeight="1" x14ac:dyDescent="0.25">
      <c r="A1761" s="3" t="s">
        <v>292</v>
      </c>
      <c r="B1761" s="3" t="s">
        <v>344</v>
      </c>
      <c r="C1761" s="3">
        <v>2022</v>
      </c>
      <c r="D1761" s="4">
        <v>3</v>
      </c>
      <c r="E1761" s="5">
        <v>49.52</v>
      </c>
      <c r="F1761" s="5">
        <v>25.6</v>
      </c>
      <c r="G1761" s="3" t="str">
        <f>VLOOKUP(Registros[[#This Row],[Cliente]],Cliente_Region[],2,FALSE)</f>
        <v>Argentina</v>
      </c>
      <c r="H1761" s="3" t="str">
        <f>VLOOKUP(Registros[[#This Row],[Producto]],Producto[],2,FALSE)</f>
        <v>QUOKAR</v>
      </c>
    </row>
    <row r="1762" spans="1:8" ht="20.100000000000001" customHeight="1" x14ac:dyDescent="0.25">
      <c r="A1762" s="3" t="s">
        <v>292</v>
      </c>
      <c r="B1762" s="3" t="s">
        <v>344</v>
      </c>
      <c r="C1762" s="3">
        <v>2022</v>
      </c>
      <c r="D1762" s="4">
        <v>4</v>
      </c>
      <c r="E1762" s="5">
        <v>12.38</v>
      </c>
      <c r="F1762" s="5">
        <v>6.4</v>
      </c>
      <c r="G1762" s="3" t="str">
        <f>VLOOKUP(Registros[[#This Row],[Cliente]],Cliente_Region[],2,FALSE)</f>
        <v>Argentina</v>
      </c>
      <c r="H1762" s="3" t="str">
        <f>VLOOKUP(Registros[[#This Row],[Producto]],Producto[],2,FALSE)</f>
        <v>QUOKAR</v>
      </c>
    </row>
    <row r="1763" spans="1:8" ht="20.100000000000001" customHeight="1" x14ac:dyDescent="0.25">
      <c r="A1763" s="3" t="s">
        <v>292</v>
      </c>
      <c r="B1763" s="3" t="s">
        <v>344</v>
      </c>
      <c r="C1763" s="3">
        <v>2022</v>
      </c>
      <c r="D1763" s="4">
        <v>5</v>
      </c>
      <c r="E1763" s="5">
        <v>49.52</v>
      </c>
      <c r="F1763" s="5">
        <v>25.6</v>
      </c>
      <c r="G1763" s="3" t="str">
        <f>VLOOKUP(Registros[[#This Row],[Cliente]],Cliente_Region[],2,FALSE)</f>
        <v>Argentina</v>
      </c>
      <c r="H1763" s="3" t="str">
        <f>VLOOKUP(Registros[[#This Row],[Producto]],Producto[],2,FALSE)</f>
        <v>QUOKAR</v>
      </c>
    </row>
    <row r="1764" spans="1:8" ht="20.100000000000001" customHeight="1" x14ac:dyDescent="0.25">
      <c r="A1764" s="3" t="s">
        <v>292</v>
      </c>
      <c r="B1764" s="3" t="s">
        <v>344</v>
      </c>
      <c r="C1764" s="3">
        <v>2022</v>
      </c>
      <c r="D1764" s="4">
        <v>6</v>
      </c>
      <c r="E1764" s="5">
        <v>24.76</v>
      </c>
      <c r="F1764" s="5">
        <v>12.8</v>
      </c>
      <c r="G1764" s="3" t="str">
        <f>VLOOKUP(Registros[[#This Row],[Cliente]],Cliente_Region[],2,FALSE)</f>
        <v>Argentina</v>
      </c>
      <c r="H1764" s="3" t="str">
        <f>VLOOKUP(Registros[[#This Row],[Producto]],Producto[],2,FALSE)</f>
        <v>QUOKAR</v>
      </c>
    </row>
    <row r="1765" spans="1:8" ht="20.100000000000001" customHeight="1" x14ac:dyDescent="0.25">
      <c r="A1765" s="3" t="s">
        <v>293</v>
      </c>
      <c r="B1765" s="3" t="s">
        <v>344</v>
      </c>
      <c r="C1765" s="3">
        <v>2022</v>
      </c>
      <c r="D1765" s="4">
        <v>1</v>
      </c>
      <c r="E1765" s="5">
        <v>168.75</v>
      </c>
      <c r="F1765" s="5">
        <v>21.87</v>
      </c>
      <c r="G1765" s="3" t="str">
        <f>VLOOKUP(Registros[[#This Row],[Cliente]],Cliente_Region[],2,FALSE)</f>
        <v>Argentina</v>
      </c>
      <c r="H1765" s="3" t="str">
        <f>VLOOKUP(Registros[[#This Row],[Producto]],Producto[],2,FALSE)</f>
        <v>QUOKAR</v>
      </c>
    </row>
    <row r="1766" spans="1:8" ht="20.100000000000001" customHeight="1" x14ac:dyDescent="0.25">
      <c r="A1766" s="3" t="s">
        <v>294</v>
      </c>
      <c r="B1766" s="3" t="s">
        <v>344</v>
      </c>
      <c r="C1766" s="3">
        <v>2022</v>
      </c>
      <c r="D1766" s="4">
        <v>2</v>
      </c>
      <c r="E1766" s="5">
        <v>205.94</v>
      </c>
      <c r="F1766" s="5">
        <v>39.340000000000003</v>
      </c>
      <c r="G1766" s="3" t="str">
        <f>VLOOKUP(Registros[[#This Row],[Cliente]],Cliente_Region[],2,FALSE)</f>
        <v>Argentina</v>
      </c>
      <c r="H1766" s="3" t="str">
        <f>VLOOKUP(Registros[[#This Row],[Producto]],Producto[],2,FALSE)</f>
        <v>CHOTUS</v>
      </c>
    </row>
    <row r="1767" spans="1:8" ht="20.100000000000001" customHeight="1" x14ac:dyDescent="0.25">
      <c r="A1767" s="3" t="s">
        <v>294</v>
      </c>
      <c r="B1767" s="3" t="s">
        <v>344</v>
      </c>
      <c r="C1767" s="3">
        <v>2022</v>
      </c>
      <c r="D1767" s="4">
        <v>3</v>
      </c>
      <c r="E1767" s="5">
        <v>184.52</v>
      </c>
      <c r="F1767" s="5">
        <v>27.96</v>
      </c>
      <c r="G1767" s="3" t="str">
        <f>VLOOKUP(Registros[[#This Row],[Cliente]],Cliente_Region[],2,FALSE)</f>
        <v>Argentina</v>
      </c>
      <c r="H1767" s="3" t="str">
        <f>VLOOKUP(Registros[[#This Row],[Producto]],Producto[],2,FALSE)</f>
        <v>CHOTUS</v>
      </c>
    </row>
    <row r="1768" spans="1:8" ht="20.100000000000001" customHeight="1" x14ac:dyDescent="0.25">
      <c r="A1768" s="3" t="s">
        <v>294</v>
      </c>
      <c r="B1768" s="3" t="s">
        <v>344</v>
      </c>
      <c r="C1768" s="3">
        <v>2022</v>
      </c>
      <c r="D1768" s="4">
        <v>4</v>
      </c>
      <c r="E1768" s="5">
        <v>149</v>
      </c>
      <c r="F1768" s="5">
        <v>33.74</v>
      </c>
      <c r="G1768" s="3" t="str">
        <f>VLOOKUP(Registros[[#This Row],[Cliente]],Cliente_Region[],2,FALSE)</f>
        <v>Argentina</v>
      </c>
      <c r="H1768" s="3" t="str">
        <f>VLOOKUP(Registros[[#This Row],[Producto]],Producto[],2,FALSE)</f>
        <v>CHOTUS</v>
      </c>
    </row>
    <row r="1769" spans="1:8" ht="20.100000000000001" customHeight="1" x14ac:dyDescent="0.25">
      <c r="A1769" s="3" t="s">
        <v>294</v>
      </c>
      <c r="B1769" s="3" t="s">
        <v>344</v>
      </c>
      <c r="C1769" s="3">
        <v>2022</v>
      </c>
      <c r="D1769" s="4">
        <v>5</v>
      </c>
      <c r="E1769" s="5">
        <v>208</v>
      </c>
      <c r="F1769" s="5">
        <v>27.02</v>
      </c>
      <c r="G1769" s="3" t="str">
        <f>VLOOKUP(Registros[[#This Row],[Cliente]],Cliente_Region[],2,FALSE)</f>
        <v>Argentina</v>
      </c>
      <c r="H1769" s="3" t="str">
        <f>VLOOKUP(Registros[[#This Row],[Producto]],Producto[],2,FALSE)</f>
        <v>CHOTUS</v>
      </c>
    </row>
    <row r="1770" spans="1:8" ht="20.100000000000001" customHeight="1" x14ac:dyDescent="0.25">
      <c r="A1770" s="3" t="s">
        <v>294</v>
      </c>
      <c r="B1770" s="3" t="s">
        <v>344</v>
      </c>
      <c r="C1770" s="3">
        <v>2022</v>
      </c>
      <c r="D1770" s="4">
        <v>6</v>
      </c>
      <c r="E1770" s="5">
        <v>104</v>
      </c>
      <c r="F1770" s="5">
        <v>25.62</v>
      </c>
      <c r="G1770" s="3" t="str">
        <f>VLOOKUP(Registros[[#This Row],[Cliente]],Cliente_Region[],2,FALSE)</f>
        <v>Argentina</v>
      </c>
      <c r="H1770" s="3" t="str">
        <f>VLOOKUP(Registros[[#This Row],[Producto]],Producto[],2,FALSE)</f>
        <v>CHOTUS</v>
      </c>
    </row>
    <row r="1771" spans="1:8" ht="20.100000000000001" customHeight="1" x14ac:dyDescent="0.25">
      <c r="A1771" s="3" t="s">
        <v>310</v>
      </c>
      <c r="B1771" s="3" t="s">
        <v>344</v>
      </c>
      <c r="C1771" s="3">
        <v>2022</v>
      </c>
      <c r="D1771" s="4">
        <v>1</v>
      </c>
      <c r="E1771" s="5">
        <v>43.5</v>
      </c>
      <c r="F1771" s="5">
        <v>26.95</v>
      </c>
      <c r="G1771" s="3" t="str">
        <f>VLOOKUP(Registros[[#This Row],[Cliente]],Cliente_Region[],2,FALSE)</f>
        <v>Argentina</v>
      </c>
      <c r="H1771" s="3" t="str">
        <f>VLOOKUP(Registros[[#This Row],[Producto]],Producto[],2,FALSE)</f>
        <v>DONANY</v>
      </c>
    </row>
    <row r="1772" spans="1:8" ht="20.100000000000001" customHeight="1" x14ac:dyDescent="0.25">
      <c r="A1772" s="3" t="s">
        <v>311</v>
      </c>
      <c r="B1772" s="3" t="s">
        <v>344</v>
      </c>
      <c r="C1772" s="3">
        <v>2022</v>
      </c>
      <c r="D1772" s="4">
        <v>2</v>
      </c>
      <c r="E1772" s="5">
        <v>59.73</v>
      </c>
      <c r="F1772" s="5">
        <v>37.659999999999997</v>
      </c>
      <c r="G1772" s="3" t="str">
        <f>VLOOKUP(Registros[[#This Row],[Cliente]],Cliente_Region[],2,FALSE)</f>
        <v>Argentina</v>
      </c>
      <c r="H1772" s="3" t="str">
        <f>VLOOKUP(Registros[[#This Row],[Producto]],Producto[],2,FALSE)</f>
        <v>CHOTUS</v>
      </c>
    </row>
    <row r="1773" spans="1:8" ht="20.100000000000001" customHeight="1" x14ac:dyDescent="0.25">
      <c r="A1773" s="3" t="s">
        <v>311</v>
      </c>
      <c r="B1773" s="3" t="s">
        <v>344</v>
      </c>
      <c r="C1773" s="3">
        <v>2022</v>
      </c>
      <c r="D1773" s="4">
        <v>3</v>
      </c>
      <c r="E1773" s="5">
        <v>59.73</v>
      </c>
      <c r="F1773" s="5">
        <v>37.65</v>
      </c>
      <c r="G1773" s="3" t="str">
        <f>VLOOKUP(Registros[[#This Row],[Cliente]],Cliente_Region[],2,FALSE)</f>
        <v>Argentina</v>
      </c>
      <c r="H1773" s="3" t="str">
        <f>VLOOKUP(Registros[[#This Row],[Producto]],Producto[],2,FALSE)</f>
        <v>CHOTUS</v>
      </c>
    </row>
    <row r="1774" spans="1:8" ht="20.100000000000001" customHeight="1" x14ac:dyDescent="0.25">
      <c r="A1774" s="3" t="s">
        <v>311</v>
      </c>
      <c r="B1774" s="3" t="s">
        <v>344</v>
      </c>
      <c r="C1774" s="3">
        <v>2022</v>
      </c>
      <c r="D1774" s="4">
        <v>4</v>
      </c>
      <c r="E1774" s="5">
        <v>49.5</v>
      </c>
      <c r="F1774" s="5">
        <v>32.950000000000003</v>
      </c>
      <c r="G1774" s="3" t="str">
        <f>VLOOKUP(Registros[[#This Row],[Cliente]],Cliente_Region[],2,FALSE)</f>
        <v>Argentina</v>
      </c>
      <c r="H1774" s="3" t="str">
        <f>VLOOKUP(Registros[[#This Row],[Producto]],Producto[],2,FALSE)</f>
        <v>CHOTUS</v>
      </c>
    </row>
    <row r="1775" spans="1:8" ht="20.100000000000001" customHeight="1" x14ac:dyDescent="0.25">
      <c r="A1775" s="3" t="s">
        <v>311</v>
      </c>
      <c r="B1775" s="3" t="s">
        <v>344</v>
      </c>
      <c r="C1775" s="3">
        <v>2022</v>
      </c>
      <c r="D1775" s="4">
        <v>5</v>
      </c>
      <c r="E1775" s="5">
        <v>33</v>
      </c>
      <c r="F1775" s="5">
        <v>21.96</v>
      </c>
      <c r="G1775" s="3" t="str">
        <f>VLOOKUP(Registros[[#This Row],[Cliente]],Cliente_Region[],2,FALSE)</f>
        <v>Argentina</v>
      </c>
      <c r="H1775" s="3" t="str">
        <f>VLOOKUP(Registros[[#This Row],[Producto]],Producto[],2,FALSE)</f>
        <v>CHOTUS</v>
      </c>
    </row>
    <row r="1776" spans="1:8" ht="20.100000000000001" customHeight="1" x14ac:dyDescent="0.25">
      <c r="A1776" s="3" t="s">
        <v>301</v>
      </c>
      <c r="B1776" s="3" t="s">
        <v>344</v>
      </c>
      <c r="C1776" s="3">
        <v>2022</v>
      </c>
      <c r="D1776" s="4">
        <v>1</v>
      </c>
      <c r="E1776" s="5">
        <v>70</v>
      </c>
      <c r="F1776" s="5">
        <v>33.44</v>
      </c>
      <c r="G1776" s="3" t="str">
        <f>VLOOKUP(Registros[[#This Row],[Cliente]],Cliente_Region[],2,FALSE)</f>
        <v>Argentina</v>
      </c>
      <c r="H1776" s="3" t="str">
        <f>VLOOKUP(Registros[[#This Row],[Producto]],Producto[],2,FALSE)</f>
        <v>CHOTUS</v>
      </c>
    </row>
    <row r="1777" spans="1:8" ht="20.100000000000001" customHeight="1" x14ac:dyDescent="0.25">
      <c r="A1777" s="3" t="s">
        <v>302</v>
      </c>
      <c r="B1777" s="3" t="s">
        <v>344</v>
      </c>
      <c r="C1777" s="3">
        <v>2022</v>
      </c>
      <c r="D1777" s="4">
        <v>2</v>
      </c>
      <c r="E1777" s="5">
        <v>37.5</v>
      </c>
      <c r="F1777" s="5">
        <v>19.22</v>
      </c>
      <c r="G1777" s="3" t="str">
        <f>VLOOKUP(Registros[[#This Row],[Cliente]],Cliente_Region[],2,FALSE)</f>
        <v>Argentina</v>
      </c>
      <c r="H1777" s="3" t="str">
        <f>VLOOKUP(Registros[[#This Row],[Producto]],Producto[],2,FALSE)</f>
        <v>CHOTUS</v>
      </c>
    </row>
    <row r="1778" spans="1:8" ht="20.100000000000001" customHeight="1" x14ac:dyDescent="0.25">
      <c r="A1778" s="3" t="s">
        <v>302</v>
      </c>
      <c r="B1778" s="3" t="s">
        <v>344</v>
      </c>
      <c r="C1778" s="3">
        <v>2022</v>
      </c>
      <c r="D1778" s="4">
        <v>3</v>
      </c>
      <c r="E1778" s="5">
        <v>37.5</v>
      </c>
      <c r="F1778" s="5">
        <v>19.22</v>
      </c>
      <c r="G1778" s="3" t="str">
        <f>VLOOKUP(Registros[[#This Row],[Cliente]],Cliente_Region[],2,FALSE)</f>
        <v>Argentina</v>
      </c>
      <c r="H1778" s="3" t="str">
        <f>VLOOKUP(Registros[[#This Row],[Producto]],Producto[],2,FALSE)</f>
        <v>CHOTUS</v>
      </c>
    </row>
    <row r="1779" spans="1:8" ht="20.100000000000001" customHeight="1" x14ac:dyDescent="0.25">
      <c r="A1779" s="3" t="s">
        <v>302</v>
      </c>
      <c r="B1779" s="3" t="s">
        <v>344</v>
      </c>
      <c r="C1779" s="3">
        <v>2022</v>
      </c>
      <c r="D1779" s="4">
        <v>4</v>
      </c>
      <c r="E1779" s="5">
        <v>37.5</v>
      </c>
      <c r="F1779" s="5">
        <v>19.22</v>
      </c>
      <c r="G1779" s="3" t="str">
        <f>VLOOKUP(Registros[[#This Row],[Cliente]],Cliente_Region[],2,FALSE)</f>
        <v>Argentina</v>
      </c>
      <c r="H1779" s="3" t="str">
        <f>VLOOKUP(Registros[[#This Row],[Producto]],Producto[],2,FALSE)</f>
        <v>CHOTUS</v>
      </c>
    </row>
    <row r="1780" spans="1:8" ht="20.100000000000001" customHeight="1" x14ac:dyDescent="0.25">
      <c r="A1780" s="3" t="s">
        <v>302</v>
      </c>
      <c r="B1780" s="3" t="s">
        <v>344</v>
      </c>
      <c r="C1780" s="3">
        <v>2022</v>
      </c>
      <c r="D1780" s="4">
        <v>5</v>
      </c>
      <c r="E1780" s="5">
        <v>60</v>
      </c>
      <c r="F1780" s="5">
        <v>32.58</v>
      </c>
      <c r="G1780" s="3" t="str">
        <f>VLOOKUP(Registros[[#This Row],[Cliente]],Cliente_Region[],2,FALSE)</f>
        <v>Argentina</v>
      </c>
      <c r="H1780" s="3" t="str">
        <f>VLOOKUP(Registros[[#This Row],[Producto]],Producto[],2,FALSE)</f>
        <v>CHOTUS</v>
      </c>
    </row>
    <row r="1781" spans="1:8" ht="20.100000000000001" customHeight="1" x14ac:dyDescent="0.25">
      <c r="A1781" s="3" t="s">
        <v>302</v>
      </c>
      <c r="B1781" s="3" t="s">
        <v>344</v>
      </c>
      <c r="C1781" s="3">
        <v>2022</v>
      </c>
      <c r="D1781" s="4">
        <v>6</v>
      </c>
      <c r="E1781" s="5">
        <v>20</v>
      </c>
      <c r="F1781" s="5">
        <v>10.86</v>
      </c>
      <c r="G1781" s="3" t="str">
        <f>VLOOKUP(Registros[[#This Row],[Cliente]],Cliente_Region[],2,FALSE)</f>
        <v>Argentina</v>
      </c>
      <c r="H1781" s="3" t="str">
        <f>VLOOKUP(Registros[[#This Row],[Producto]],Producto[],2,FALSE)</f>
        <v>CHOTUS</v>
      </c>
    </row>
    <row r="1782" spans="1:8" ht="20.100000000000001" customHeight="1" x14ac:dyDescent="0.25">
      <c r="A1782" s="3" t="s">
        <v>295</v>
      </c>
      <c r="B1782" s="3" t="s">
        <v>344</v>
      </c>
      <c r="C1782" s="3">
        <v>2022</v>
      </c>
      <c r="D1782" s="4">
        <v>5</v>
      </c>
      <c r="E1782" s="5">
        <v>0</v>
      </c>
      <c r="F1782" s="5">
        <v>0</v>
      </c>
      <c r="G1782" s="3" t="str">
        <f>VLOOKUP(Registros[[#This Row],[Cliente]],Cliente_Region[],2,FALSE)</f>
        <v>Argentina</v>
      </c>
      <c r="H1782" s="3" t="str">
        <f>VLOOKUP(Registros[[#This Row],[Producto]],Producto[],2,FALSE)</f>
        <v>QUOKAR</v>
      </c>
    </row>
    <row r="1783" spans="1:8" ht="20.100000000000001" customHeight="1" x14ac:dyDescent="0.25">
      <c r="A1783" s="3" t="s">
        <v>280</v>
      </c>
      <c r="B1783" s="3" t="s">
        <v>344</v>
      </c>
      <c r="C1783" s="3">
        <v>2022</v>
      </c>
      <c r="D1783" s="4">
        <v>1</v>
      </c>
      <c r="E1783" s="5">
        <v>35.4</v>
      </c>
      <c r="F1783" s="5">
        <v>16.68</v>
      </c>
      <c r="G1783" s="3" t="str">
        <f>VLOOKUP(Registros[[#This Row],[Cliente]],Cliente_Region[],2,FALSE)</f>
        <v>Argentina</v>
      </c>
      <c r="H1783" s="3" t="str">
        <f>VLOOKUP(Registros[[#This Row],[Producto]],Producto[],2,FALSE)</f>
        <v>CHOTUS</v>
      </c>
    </row>
    <row r="1784" spans="1:8" ht="20.100000000000001" customHeight="1" x14ac:dyDescent="0.25">
      <c r="A1784" s="3" t="s">
        <v>281</v>
      </c>
      <c r="B1784" s="3" t="s">
        <v>344</v>
      </c>
      <c r="C1784" s="3">
        <v>2022</v>
      </c>
      <c r="D1784" s="4">
        <v>2</v>
      </c>
      <c r="E1784" s="5">
        <v>114.15</v>
      </c>
      <c r="F1784" s="5">
        <v>57.97</v>
      </c>
      <c r="G1784" s="3" t="str">
        <f>VLOOKUP(Registros[[#This Row],[Cliente]],Cliente_Region[],2,FALSE)</f>
        <v>Argentina</v>
      </c>
      <c r="H1784" s="3" t="str">
        <f>VLOOKUP(Registros[[#This Row],[Producto]],Producto[],2,FALSE)</f>
        <v>SALF</v>
      </c>
    </row>
    <row r="1785" spans="1:8" ht="20.100000000000001" customHeight="1" x14ac:dyDescent="0.25">
      <c r="A1785" s="3" t="s">
        <v>281</v>
      </c>
      <c r="B1785" s="3" t="s">
        <v>344</v>
      </c>
      <c r="C1785" s="3">
        <v>2022</v>
      </c>
      <c r="D1785" s="4">
        <v>3</v>
      </c>
      <c r="E1785" s="5">
        <v>73.599999999999994</v>
      </c>
      <c r="F1785" s="5">
        <v>36.15</v>
      </c>
      <c r="G1785" s="3" t="str">
        <f>VLOOKUP(Registros[[#This Row],[Cliente]],Cliente_Region[],2,FALSE)</f>
        <v>Argentina</v>
      </c>
      <c r="H1785" s="3" t="str">
        <f>VLOOKUP(Registros[[#This Row],[Producto]],Producto[],2,FALSE)</f>
        <v>SALF</v>
      </c>
    </row>
    <row r="1786" spans="1:8" ht="20.100000000000001" customHeight="1" x14ac:dyDescent="0.25">
      <c r="A1786" s="3" t="s">
        <v>281</v>
      </c>
      <c r="B1786" s="3" t="s">
        <v>344</v>
      </c>
      <c r="C1786" s="3">
        <v>2022</v>
      </c>
      <c r="D1786" s="4">
        <v>4</v>
      </c>
      <c r="E1786" s="5">
        <v>41</v>
      </c>
      <c r="F1786" s="5">
        <v>22.28</v>
      </c>
      <c r="G1786" s="3" t="str">
        <f>VLOOKUP(Registros[[#This Row],[Cliente]],Cliente_Region[],2,FALSE)</f>
        <v>Argentina</v>
      </c>
      <c r="H1786" s="3" t="str">
        <f>VLOOKUP(Registros[[#This Row],[Producto]],Producto[],2,FALSE)</f>
        <v>SALF</v>
      </c>
    </row>
    <row r="1787" spans="1:8" ht="20.100000000000001" customHeight="1" x14ac:dyDescent="0.25">
      <c r="A1787" s="3" t="s">
        <v>281</v>
      </c>
      <c r="B1787" s="3" t="s">
        <v>344</v>
      </c>
      <c r="C1787" s="3">
        <v>2022</v>
      </c>
      <c r="D1787" s="4">
        <v>5</v>
      </c>
      <c r="E1787" s="5">
        <v>102.5</v>
      </c>
      <c r="F1787" s="5">
        <v>55.69</v>
      </c>
      <c r="G1787" s="3" t="str">
        <f>VLOOKUP(Registros[[#This Row],[Cliente]],Cliente_Region[],2,FALSE)</f>
        <v>Argentina</v>
      </c>
      <c r="H1787" s="3" t="str">
        <f>VLOOKUP(Registros[[#This Row],[Producto]],Producto[],2,FALSE)</f>
        <v>SALF</v>
      </c>
    </row>
    <row r="1788" spans="1:8" ht="20.100000000000001" customHeight="1" x14ac:dyDescent="0.25">
      <c r="A1788" s="3" t="s">
        <v>281</v>
      </c>
      <c r="B1788" s="3" t="s">
        <v>344</v>
      </c>
      <c r="C1788" s="3">
        <v>2022</v>
      </c>
      <c r="D1788" s="4">
        <v>6</v>
      </c>
      <c r="E1788" s="5">
        <v>41</v>
      </c>
      <c r="F1788" s="5">
        <v>22.28</v>
      </c>
      <c r="G1788" s="3" t="str">
        <f>VLOOKUP(Registros[[#This Row],[Cliente]],Cliente_Region[],2,FALSE)</f>
        <v>Argentina</v>
      </c>
      <c r="H1788" s="3" t="str">
        <f>VLOOKUP(Registros[[#This Row],[Producto]],Producto[],2,FALSE)</f>
        <v>SALF</v>
      </c>
    </row>
    <row r="1789" spans="1:8" ht="20.100000000000001" customHeight="1" x14ac:dyDescent="0.25">
      <c r="A1789" s="3" t="s">
        <v>282</v>
      </c>
      <c r="B1789" s="3" t="s">
        <v>344</v>
      </c>
      <c r="C1789" s="3">
        <v>2022</v>
      </c>
      <c r="D1789" s="4">
        <v>1</v>
      </c>
      <c r="E1789" s="5">
        <v>44.25</v>
      </c>
      <c r="F1789" s="5">
        <v>23.22</v>
      </c>
      <c r="G1789" s="3" t="str">
        <f>VLOOKUP(Registros[[#This Row],[Cliente]],Cliente_Region[],2,FALSE)</f>
        <v>Argentina</v>
      </c>
      <c r="H1789" s="3" t="str">
        <f>VLOOKUP(Registros[[#This Row],[Producto]],Producto[],2,FALSE)</f>
        <v>DAWNE</v>
      </c>
    </row>
    <row r="1790" spans="1:8" ht="20.100000000000001" customHeight="1" x14ac:dyDescent="0.25">
      <c r="A1790" s="3" t="s">
        <v>114</v>
      </c>
      <c r="B1790" s="3" t="s">
        <v>344</v>
      </c>
      <c r="C1790" s="3">
        <v>2022</v>
      </c>
      <c r="D1790" s="4">
        <v>2</v>
      </c>
      <c r="E1790" s="5">
        <v>60.75</v>
      </c>
      <c r="F1790" s="5">
        <v>32.700000000000003</v>
      </c>
      <c r="G1790" s="3" t="str">
        <f>VLOOKUP(Registros[[#This Row],[Cliente]],Cliente_Region[],2,FALSE)</f>
        <v>Argentina</v>
      </c>
      <c r="H1790" s="3" t="str">
        <f>VLOOKUP(Registros[[#This Row],[Producto]],Producto[],2,FALSE)</f>
        <v>DAWNE</v>
      </c>
    </row>
    <row r="1791" spans="1:8" ht="20.100000000000001" customHeight="1" x14ac:dyDescent="0.25">
      <c r="A1791" s="3" t="s">
        <v>114</v>
      </c>
      <c r="B1791" s="3" t="s">
        <v>344</v>
      </c>
      <c r="C1791" s="3">
        <v>2022</v>
      </c>
      <c r="D1791" s="4">
        <v>3</v>
      </c>
      <c r="E1791" s="5">
        <v>46</v>
      </c>
      <c r="F1791" s="5">
        <v>24.97</v>
      </c>
      <c r="G1791" s="3" t="str">
        <f>VLOOKUP(Registros[[#This Row],[Cliente]],Cliente_Region[],2,FALSE)</f>
        <v>Argentina</v>
      </c>
      <c r="H1791" s="3" t="str">
        <f>VLOOKUP(Registros[[#This Row],[Producto]],Producto[],2,FALSE)</f>
        <v>DAWNE</v>
      </c>
    </row>
    <row r="1792" spans="1:8" ht="20.100000000000001" customHeight="1" x14ac:dyDescent="0.25">
      <c r="A1792" s="3" t="s">
        <v>114</v>
      </c>
      <c r="B1792" s="3" t="s">
        <v>344</v>
      </c>
      <c r="C1792" s="3">
        <v>2022</v>
      </c>
      <c r="D1792" s="4">
        <v>4</v>
      </c>
      <c r="E1792" s="5">
        <v>47.75</v>
      </c>
      <c r="F1792" s="5">
        <v>26.71</v>
      </c>
      <c r="G1792" s="3" t="str">
        <f>VLOOKUP(Registros[[#This Row],[Cliente]],Cliente_Region[],2,FALSE)</f>
        <v>Argentina</v>
      </c>
      <c r="H1792" s="3" t="str">
        <f>VLOOKUP(Registros[[#This Row],[Producto]],Producto[],2,FALSE)</f>
        <v>DAWNE</v>
      </c>
    </row>
    <row r="1793" spans="1:8" ht="20.100000000000001" customHeight="1" x14ac:dyDescent="0.25">
      <c r="A1793" s="3" t="s">
        <v>114</v>
      </c>
      <c r="B1793" s="3" t="s">
        <v>344</v>
      </c>
      <c r="C1793" s="3">
        <v>2022</v>
      </c>
      <c r="D1793" s="4">
        <v>5</v>
      </c>
      <c r="E1793" s="5">
        <v>49.5</v>
      </c>
      <c r="F1793" s="5">
        <v>28.47</v>
      </c>
      <c r="G1793" s="3" t="str">
        <f>VLOOKUP(Registros[[#This Row],[Cliente]],Cliente_Region[],2,FALSE)</f>
        <v>Argentina</v>
      </c>
      <c r="H1793" s="3" t="str">
        <f>VLOOKUP(Registros[[#This Row],[Producto]],Producto[],2,FALSE)</f>
        <v>DAWNE</v>
      </c>
    </row>
    <row r="1794" spans="1:8" ht="20.100000000000001" customHeight="1" x14ac:dyDescent="0.25">
      <c r="A1794" s="3" t="s">
        <v>114</v>
      </c>
      <c r="B1794" s="3" t="s">
        <v>344</v>
      </c>
      <c r="C1794" s="3">
        <v>2022</v>
      </c>
      <c r="D1794" s="4">
        <v>6</v>
      </c>
      <c r="E1794" s="5">
        <v>49.5</v>
      </c>
      <c r="F1794" s="5">
        <v>28.46</v>
      </c>
      <c r="G1794" s="3" t="str">
        <f>VLOOKUP(Registros[[#This Row],[Cliente]],Cliente_Region[],2,FALSE)</f>
        <v>Argentina</v>
      </c>
      <c r="H1794" s="3" t="str">
        <f>VLOOKUP(Registros[[#This Row],[Producto]],Producto[],2,FALSE)</f>
        <v>DAWNE</v>
      </c>
    </row>
    <row r="1795" spans="1:8" ht="20.100000000000001" customHeight="1" x14ac:dyDescent="0.25">
      <c r="A1795" s="3" t="s">
        <v>135</v>
      </c>
      <c r="B1795" s="3" t="s">
        <v>344</v>
      </c>
      <c r="C1795" s="3">
        <v>2022</v>
      </c>
      <c r="D1795" s="4">
        <v>1</v>
      </c>
      <c r="E1795" s="5">
        <v>93.75</v>
      </c>
      <c r="F1795" s="5">
        <v>66.790000000000006</v>
      </c>
      <c r="G1795" s="3" t="str">
        <f>VLOOKUP(Registros[[#This Row],[Cliente]],Cliente_Region[],2,FALSE)</f>
        <v>Argentina</v>
      </c>
      <c r="H1795" s="3" t="str">
        <f>VLOOKUP(Registros[[#This Row],[Producto]],Producto[],2,FALSE)</f>
        <v>GAMBO</v>
      </c>
    </row>
    <row r="1796" spans="1:8" ht="20.100000000000001" customHeight="1" x14ac:dyDescent="0.25">
      <c r="A1796" s="3" t="s">
        <v>93</v>
      </c>
      <c r="B1796" s="3" t="s">
        <v>344</v>
      </c>
      <c r="C1796" s="3">
        <v>2022</v>
      </c>
      <c r="D1796" s="4">
        <v>2</v>
      </c>
      <c r="E1796" s="5">
        <v>81.69</v>
      </c>
      <c r="F1796" s="5">
        <v>61.47</v>
      </c>
      <c r="G1796" s="3" t="str">
        <f>VLOOKUP(Registros[[#This Row],[Cliente]],Cliente_Region[],2,FALSE)</f>
        <v>Argentina</v>
      </c>
      <c r="H1796" s="3" t="str">
        <f>VLOOKUP(Registros[[#This Row],[Producto]],Producto[],2,FALSE)</f>
        <v>GAMBO</v>
      </c>
    </row>
    <row r="1797" spans="1:8" ht="20.100000000000001" customHeight="1" x14ac:dyDescent="0.25">
      <c r="A1797" s="3" t="s">
        <v>93</v>
      </c>
      <c r="B1797" s="3" t="s">
        <v>344</v>
      </c>
      <c r="C1797" s="3">
        <v>2022</v>
      </c>
      <c r="D1797" s="4">
        <v>3</v>
      </c>
      <c r="E1797" s="5">
        <v>108.92</v>
      </c>
      <c r="F1797" s="5">
        <v>81.96</v>
      </c>
      <c r="G1797" s="3" t="str">
        <f>VLOOKUP(Registros[[#This Row],[Cliente]],Cliente_Region[],2,FALSE)</f>
        <v>Argentina</v>
      </c>
      <c r="H1797" s="3" t="str">
        <f>VLOOKUP(Registros[[#This Row],[Producto]],Producto[],2,FALSE)</f>
        <v>GAMBO</v>
      </c>
    </row>
    <row r="1798" spans="1:8" ht="20.100000000000001" customHeight="1" x14ac:dyDescent="0.25">
      <c r="A1798" s="3" t="s">
        <v>93</v>
      </c>
      <c r="B1798" s="3" t="s">
        <v>344</v>
      </c>
      <c r="C1798" s="3">
        <v>2022</v>
      </c>
      <c r="D1798" s="4">
        <v>4</v>
      </c>
      <c r="E1798" s="5">
        <v>81.69</v>
      </c>
      <c r="F1798" s="5">
        <v>61.47</v>
      </c>
      <c r="G1798" s="3" t="str">
        <f>VLOOKUP(Registros[[#This Row],[Cliente]],Cliente_Region[],2,FALSE)</f>
        <v>Argentina</v>
      </c>
      <c r="H1798" s="3" t="str">
        <f>VLOOKUP(Registros[[#This Row],[Producto]],Producto[],2,FALSE)</f>
        <v>GAMBO</v>
      </c>
    </row>
    <row r="1799" spans="1:8" ht="20.100000000000001" customHeight="1" x14ac:dyDescent="0.25">
      <c r="A1799" s="3" t="s">
        <v>93</v>
      </c>
      <c r="B1799" s="3" t="s">
        <v>344</v>
      </c>
      <c r="C1799" s="3">
        <v>2022</v>
      </c>
      <c r="D1799" s="4">
        <v>5</v>
      </c>
      <c r="E1799" s="5">
        <v>108.92</v>
      </c>
      <c r="F1799" s="5">
        <v>81.96</v>
      </c>
      <c r="G1799" s="3" t="str">
        <f>VLOOKUP(Registros[[#This Row],[Cliente]],Cliente_Region[],2,FALSE)</f>
        <v>Argentina</v>
      </c>
      <c r="H1799" s="3" t="str">
        <f>VLOOKUP(Registros[[#This Row],[Producto]],Producto[],2,FALSE)</f>
        <v>GAMBO</v>
      </c>
    </row>
    <row r="1800" spans="1:8" ht="20.100000000000001" customHeight="1" x14ac:dyDescent="0.25">
      <c r="A1800" s="3" t="s">
        <v>93</v>
      </c>
      <c r="B1800" s="3" t="s">
        <v>344</v>
      </c>
      <c r="C1800" s="3">
        <v>2022</v>
      </c>
      <c r="D1800" s="4">
        <v>6</v>
      </c>
      <c r="E1800" s="5">
        <v>54.46</v>
      </c>
      <c r="F1800" s="5">
        <v>40.98</v>
      </c>
      <c r="G1800" s="3" t="str">
        <f>VLOOKUP(Registros[[#This Row],[Cliente]],Cliente_Region[],2,FALSE)</f>
        <v>Argentina</v>
      </c>
      <c r="H1800" s="3" t="str">
        <f>VLOOKUP(Registros[[#This Row],[Producto]],Producto[],2,FALSE)</f>
        <v>GAMBO</v>
      </c>
    </row>
    <row r="1801" spans="1:8" ht="20.100000000000001" customHeight="1" x14ac:dyDescent="0.25">
      <c r="A1801" s="3" t="s">
        <v>136</v>
      </c>
      <c r="B1801" s="3" t="s">
        <v>344</v>
      </c>
      <c r="C1801" s="3">
        <v>2022</v>
      </c>
      <c r="D1801" s="4">
        <v>1</v>
      </c>
      <c r="E1801" s="5">
        <v>121.25</v>
      </c>
      <c r="F1801" s="5">
        <v>58.93</v>
      </c>
      <c r="G1801" s="3" t="str">
        <f>VLOOKUP(Registros[[#This Row],[Cliente]],Cliente_Region[],2,FALSE)</f>
        <v>Argentina</v>
      </c>
      <c r="H1801" s="3" t="str">
        <f>VLOOKUP(Registros[[#This Row],[Producto]],Producto[],2,FALSE)</f>
        <v>CHOTUS</v>
      </c>
    </row>
    <row r="1802" spans="1:8" ht="20.100000000000001" customHeight="1" x14ac:dyDescent="0.25">
      <c r="A1802" s="3" t="s">
        <v>137</v>
      </c>
      <c r="B1802" s="3" t="s">
        <v>344</v>
      </c>
      <c r="C1802" s="3">
        <v>2022</v>
      </c>
      <c r="D1802" s="4">
        <v>2</v>
      </c>
      <c r="E1802" s="5">
        <v>103.95</v>
      </c>
      <c r="F1802" s="5">
        <v>66.569999999999993</v>
      </c>
      <c r="G1802" s="3" t="str">
        <f>VLOOKUP(Registros[[#This Row],[Cliente]],Cliente_Region[],2,FALSE)</f>
        <v>Argentina</v>
      </c>
      <c r="H1802" s="3" t="str">
        <f>VLOOKUP(Registros[[#This Row],[Producto]],Producto[],2,FALSE)</f>
        <v>QUOKAR</v>
      </c>
    </row>
    <row r="1803" spans="1:8" ht="20.100000000000001" customHeight="1" x14ac:dyDescent="0.25">
      <c r="A1803" s="3" t="s">
        <v>137</v>
      </c>
      <c r="B1803" s="3" t="s">
        <v>344</v>
      </c>
      <c r="C1803" s="3">
        <v>2022</v>
      </c>
      <c r="D1803" s="4">
        <v>3</v>
      </c>
      <c r="E1803" s="5">
        <v>138.6</v>
      </c>
      <c r="F1803" s="5">
        <v>88.76</v>
      </c>
      <c r="G1803" s="3" t="str">
        <f>VLOOKUP(Registros[[#This Row],[Cliente]],Cliente_Region[],2,FALSE)</f>
        <v>Argentina</v>
      </c>
      <c r="H1803" s="3" t="str">
        <f>VLOOKUP(Registros[[#This Row],[Producto]],Producto[],2,FALSE)</f>
        <v>QUOKAR</v>
      </c>
    </row>
    <row r="1804" spans="1:8" ht="20.100000000000001" customHeight="1" x14ac:dyDescent="0.25">
      <c r="A1804" s="3" t="s">
        <v>137</v>
      </c>
      <c r="B1804" s="3" t="s">
        <v>344</v>
      </c>
      <c r="C1804" s="3">
        <v>2022</v>
      </c>
      <c r="D1804" s="4">
        <v>4</v>
      </c>
      <c r="E1804" s="5">
        <v>103.95</v>
      </c>
      <c r="F1804" s="5">
        <v>66.569999999999993</v>
      </c>
      <c r="G1804" s="3" t="str">
        <f>VLOOKUP(Registros[[#This Row],[Cliente]],Cliente_Region[],2,FALSE)</f>
        <v>Argentina</v>
      </c>
      <c r="H1804" s="3" t="str">
        <f>VLOOKUP(Registros[[#This Row],[Producto]],Producto[],2,FALSE)</f>
        <v>QUOKAR</v>
      </c>
    </row>
    <row r="1805" spans="1:8" ht="20.100000000000001" customHeight="1" x14ac:dyDescent="0.25">
      <c r="A1805" s="3" t="s">
        <v>137</v>
      </c>
      <c r="B1805" s="3" t="s">
        <v>344</v>
      </c>
      <c r="C1805" s="3">
        <v>2022</v>
      </c>
      <c r="D1805" s="4">
        <v>5</v>
      </c>
      <c r="E1805" s="5">
        <v>138.6</v>
      </c>
      <c r="F1805" s="5">
        <v>88.76</v>
      </c>
      <c r="G1805" s="3" t="str">
        <f>VLOOKUP(Registros[[#This Row],[Cliente]],Cliente_Region[],2,FALSE)</f>
        <v>Argentina</v>
      </c>
      <c r="H1805" s="3" t="str">
        <f>VLOOKUP(Registros[[#This Row],[Producto]],Producto[],2,FALSE)</f>
        <v>QUOKAR</v>
      </c>
    </row>
    <row r="1806" spans="1:8" ht="20.100000000000001" customHeight="1" x14ac:dyDescent="0.25">
      <c r="A1806" s="3" t="s">
        <v>137</v>
      </c>
      <c r="B1806" s="3" t="s">
        <v>344</v>
      </c>
      <c r="C1806" s="3">
        <v>2022</v>
      </c>
      <c r="D1806" s="4">
        <v>6</v>
      </c>
      <c r="E1806" s="5">
        <v>69.3</v>
      </c>
      <c r="F1806" s="5">
        <v>44.38</v>
      </c>
      <c r="G1806" s="3" t="str">
        <f>VLOOKUP(Registros[[#This Row],[Cliente]],Cliente_Region[],2,FALSE)</f>
        <v>Argentina</v>
      </c>
      <c r="H1806" s="3" t="str">
        <f>VLOOKUP(Registros[[#This Row],[Producto]],Producto[],2,FALSE)</f>
        <v>QUOKAR</v>
      </c>
    </row>
    <row r="1807" spans="1:8" ht="20.100000000000001" customHeight="1" x14ac:dyDescent="0.25">
      <c r="A1807" s="3" t="s">
        <v>338</v>
      </c>
      <c r="B1807" s="3" t="s">
        <v>344</v>
      </c>
      <c r="C1807" s="3">
        <v>2022</v>
      </c>
      <c r="D1807" s="4">
        <v>5</v>
      </c>
      <c r="E1807" s="5">
        <v>0</v>
      </c>
      <c r="F1807" s="5">
        <v>0</v>
      </c>
      <c r="G1807" s="3" t="str">
        <f>VLOOKUP(Registros[[#This Row],[Cliente]],Cliente_Region[],2,FALSE)</f>
        <v>Argentina</v>
      </c>
      <c r="H1807" s="3" t="str">
        <f>VLOOKUP(Registros[[#This Row],[Producto]],Producto[],2,FALSE)</f>
        <v>DAWNE</v>
      </c>
    </row>
    <row r="1808" spans="1:8" ht="20.100000000000001" customHeight="1" x14ac:dyDescent="0.25">
      <c r="A1808" s="3" t="s">
        <v>321</v>
      </c>
      <c r="B1808" s="3" t="s">
        <v>345</v>
      </c>
      <c r="C1808" s="3">
        <v>2022</v>
      </c>
      <c r="D1808" s="4">
        <v>1</v>
      </c>
      <c r="E1808" s="5">
        <v>157.5</v>
      </c>
      <c r="F1808" s="5">
        <v>43.69</v>
      </c>
      <c r="G1808" s="3" t="str">
        <f>VLOOKUP(Registros[[#This Row],[Cliente]],Cliente_Region[],2,FALSE)</f>
        <v>Chile</v>
      </c>
      <c r="H1808" s="3" t="str">
        <f>VLOOKUP(Registros[[#This Row],[Producto]],Producto[],2,FALSE)</f>
        <v>GAMBO</v>
      </c>
    </row>
    <row r="1809" spans="1:8" ht="20.100000000000001" customHeight="1" x14ac:dyDescent="0.25">
      <c r="A1809" s="3" t="s">
        <v>322</v>
      </c>
      <c r="B1809" s="3" t="s">
        <v>345</v>
      </c>
      <c r="C1809" s="3">
        <v>2022</v>
      </c>
      <c r="D1809" s="4">
        <v>2</v>
      </c>
      <c r="E1809" s="5">
        <v>78.849999999999994</v>
      </c>
      <c r="F1809" s="5">
        <v>21.86</v>
      </c>
      <c r="G1809" s="3" t="str">
        <f>VLOOKUP(Registros[[#This Row],[Cliente]],Cliente_Region[],2,FALSE)</f>
        <v>Chile</v>
      </c>
      <c r="H1809" s="3" t="str">
        <f>VLOOKUP(Registros[[#This Row],[Producto]],Producto[],2,FALSE)</f>
        <v>LAX</v>
      </c>
    </row>
    <row r="1810" spans="1:8" ht="20.100000000000001" customHeight="1" x14ac:dyDescent="0.25">
      <c r="A1810" s="3" t="s">
        <v>322</v>
      </c>
      <c r="B1810" s="3" t="s">
        <v>345</v>
      </c>
      <c r="C1810" s="3">
        <v>2022</v>
      </c>
      <c r="D1810" s="4">
        <v>3</v>
      </c>
      <c r="E1810" s="5">
        <v>156.85</v>
      </c>
      <c r="F1810" s="5">
        <v>43.32</v>
      </c>
      <c r="G1810" s="3" t="str">
        <f>VLOOKUP(Registros[[#This Row],[Cliente]],Cliente_Region[],2,FALSE)</f>
        <v>Chile</v>
      </c>
      <c r="H1810" s="3" t="str">
        <f>VLOOKUP(Registros[[#This Row],[Producto]],Producto[],2,FALSE)</f>
        <v>LAX</v>
      </c>
    </row>
    <row r="1811" spans="1:8" ht="20.100000000000001" customHeight="1" x14ac:dyDescent="0.25">
      <c r="A1811" s="3" t="s">
        <v>322</v>
      </c>
      <c r="B1811" s="3" t="s">
        <v>345</v>
      </c>
      <c r="C1811" s="3">
        <v>2022</v>
      </c>
      <c r="D1811" s="4">
        <v>4</v>
      </c>
      <c r="E1811" s="5">
        <v>98.25</v>
      </c>
      <c r="F1811" s="5">
        <v>29.3</v>
      </c>
      <c r="G1811" s="3" t="str">
        <f>VLOOKUP(Registros[[#This Row],[Cliente]],Cliente_Region[],2,FALSE)</f>
        <v>Chile</v>
      </c>
      <c r="H1811" s="3" t="str">
        <f>VLOOKUP(Registros[[#This Row],[Producto]],Producto[],2,FALSE)</f>
        <v>LAX</v>
      </c>
    </row>
    <row r="1812" spans="1:8" ht="20.100000000000001" customHeight="1" x14ac:dyDescent="0.25">
      <c r="A1812" s="3" t="s">
        <v>322</v>
      </c>
      <c r="B1812" s="3" t="s">
        <v>345</v>
      </c>
      <c r="C1812" s="3">
        <v>2022</v>
      </c>
      <c r="D1812" s="4">
        <v>5</v>
      </c>
      <c r="E1812" s="5">
        <v>121.5</v>
      </c>
      <c r="F1812" s="5">
        <v>38.119999999999997</v>
      </c>
      <c r="G1812" s="3" t="str">
        <f>VLOOKUP(Registros[[#This Row],[Cliente]],Cliente_Region[],2,FALSE)</f>
        <v>Chile</v>
      </c>
      <c r="H1812" s="3" t="str">
        <f>VLOOKUP(Registros[[#This Row],[Producto]],Producto[],2,FALSE)</f>
        <v>LAX</v>
      </c>
    </row>
    <row r="1813" spans="1:8" ht="20.100000000000001" customHeight="1" x14ac:dyDescent="0.25">
      <c r="A1813" s="3" t="s">
        <v>322</v>
      </c>
      <c r="B1813" s="3" t="s">
        <v>345</v>
      </c>
      <c r="C1813" s="3">
        <v>2022</v>
      </c>
      <c r="D1813" s="4">
        <v>6</v>
      </c>
      <c r="E1813" s="5">
        <v>121.5</v>
      </c>
      <c r="F1813" s="5">
        <v>36.67</v>
      </c>
      <c r="G1813" s="3" t="str">
        <f>VLOOKUP(Registros[[#This Row],[Cliente]],Cliente_Region[],2,FALSE)</f>
        <v>Chile</v>
      </c>
      <c r="H1813" s="3" t="str">
        <f>VLOOKUP(Registros[[#This Row],[Producto]],Producto[],2,FALSE)</f>
        <v>LAX</v>
      </c>
    </row>
    <row r="1814" spans="1:8" ht="20.100000000000001" customHeight="1" x14ac:dyDescent="0.25">
      <c r="A1814" s="3" t="s">
        <v>293</v>
      </c>
      <c r="B1814" s="3" t="s">
        <v>345</v>
      </c>
      <c r="C1814" s="3">
        <v>2022</v>
      </c>
      <c r="D1814" s="4">
        <v>1</v>
      </c>
      <c r="E1814" s="5">
        <v>178</v>
      </c>
      <c r="F1814" s="5">
        <v>40.92</v>
      </c>
      <c r="G1814" s="3" t="str">
        <f>VLOOKUP(Registros[[#This Row],[Cliente]],Cliente_Region[],2,FALSE)</f>
        <v>Chile</v>
      </c>
      <c r="H1814" s="3" t="str">
        <f>VLOOKUP(Registros[[#This Row],[Producto]],Producto[],2,FALSE)</f>
        <v>QUOKAR</v>
      </c>
    </row>
    <row r="1815" spans="1:8" ht="20.100000000000001" customHeight="1" x14ac:dyDescent="0.25">
      <c r="A1815" s="3" t="s">
        <v>294</v>
      </c>
      <c r="B1815" s="3" t="s">
        <v>345</v>
      </c>
      <c r="C1815" s="3">
        <v>2022</v>
      </c>
      <c r="D1815" s="4">
        <v>2</v>
      </c>
      <c r="E1815" s="5">
        <v>217.9</v>
      </c>
      <c r="F1815" s="5">
        <v>51.3</v>
      </c>
      <c r="G1815" s="3" t="str">
        <f>VLOOKUP(Registros[[#This Row],[Cliente]],Cliente_Region[],2,FALSE)</f>
        <v>Chile</v>
      </c>
      <c r="H1815" s="3" t="str">
        <f>VLOOKUP(Registros[[#This Row],[Producto]],Producto[],2,FALSE)</f>
        <v>CHOTUS</v>
      </c>
    </row>
    <row r="1816" spans="1:8" ht="20.100000000000001" customHeight="1" x14ac:dyDescent="0.25">
      <c r="A1816" s="3" t="s">
        <v>294</v>
      </c>
      <c r="B1816" s="3" t="s">
        <v>345</v>
      </c>
      <c r="C1816" s="3">
        <v>2022</v>
      </c>
      <c r="D1816" s="4">
        <v>3</v>
      </c>
      <c r="E1816" s="5">
        <v>282.89999999999998</v>
      </c>
      <c r="F1816" s="5">
        <v>68.37</v>
      </c>
      <c r="G1816" s="3" t="str">
        <f>VLOOKUP(Registros[[#This Row],[Cliente]],Cliente_Region[],2,FALSE)</f>
        <v>Chile</v>
      </c>
      <c r="H1816" s="3" t="str">
        <f>VLOOKUP(Registros[[#This Row],[Producto]],Producto[],2,FALSE)</f>
        <v>CHOTUS</v>
      </c>
    </row>
    <row r="1817" spans="1:8" ht="20.100000000000001" customHeight="1" x14ac:dyDescent="0.25">
      <c r="A1817" s="3" t="s">
        <v>294</v>
      </c>
      <c r="B1817" s="3" t="s">
        <v>345</v>
      </c>
      <c r="C1817" s="3">
        <v>2022</v>
      </c>
      <c r="D1817" s="4">
        <v>4</v>
      </c>
      <c r="E1817" s="5">
        <v>234</v>
      </c>
      <c r="F1817" s="5">
        <v>61.69</v>
      </c>
      <c r="G1817" s="3" t="str">
        <f>VLOOKUP(Registros[[#This Row],[Cliente]],Cliente_Region[],2,FALSE)</f>
        <v>Chile</v>
      </c>
      <c r="H1817" s="3" t="str">
        <f>VLOOKUP(Registros[[#This Row],[Producto]],Producto[],2,FALSE)</f>
        <v>CHOTUS</v>
      </c>
    </row>
    <row r="1818" spans="1:8" ht="20.100000000000001" customHeight="1" x14ac:dyDescent="0.25">
      <c r="A1818" s="3" t="s">
        <v>294</v>
      </c>
      <c r="B1818" s="3" t="s">
        <v>345</v>
      </c>
      <c r="C1818" s="3">
        <v>2022</v>
      </c>
      <c r="D1818" s="4">
        <v>5</v>
      </c>
      <c r="E1818" s="5">
        <v>247</v>
      </c>
      <c r="F1818" s="5">
        <v>62.28</v>
      </c>
      <c r="G1818" s="3" t="str">
        <f>VLOOKUP(Registros[[#This Row],[Cliente]],Cliente_Region[],2,FALSE)</f>
        <v>Chile</v>
      </c>
      <c r="H1818" s="3" t="str">
        <f>VLOOKUP(Registros[[#This Row],[Producto]],Producto[],2,FALSE)</f>
        <v>CHOTUS</v>
      </c>
    </row>
    <row r="1819" spans="1:8" ht="20.100000000000001" customHeight="1" x14ac:dyDescent="0.25">
      <c r="A1819" s="3" t="s">
        <v>294</v>
      </c>
      <c r="B1819" s="3" t="s">
        <v>345</v>
      </c>
      <c r="C1819" s="3">
        <v>2022</v>
      </c>
      <c r="D1819" s="4">
        <v>6</v>
      </c>
      <c r="E1819" s="5">
        <v>156</v>
      </c>
      <c r="F1819" s="5">
        <v>38.42</v>
      </c>
      <c r="G1819" s="3" t="str">
        <f>VLOOKUP(Registros[[#This Row],[Cliente]],Cliente_Region[],2,FALSE)</f>
        <v>Chile</v>
      </c>
      <c r="H1819" s="3" t="str">
        <f>VLOOKUP(Registros[[#This Row],[Producto]],Producto[],2,FALSE)</f>
        <v>CHOTUS</v>
      </c>
    </row>
    <row r="1820" spans="1:8" ht="20.100000000000001" customHeight="1" x14ac:dyDescent="0.25">
      <c r="A1820" s="3" t="s">
        <v>310</v>
      </c>
      <c r="B1820" s="3" t="s">
        <v>345</v>
      </c>
      <c r="C1820" s="3">
        <v>2022</v>
      </c>
      <c r="D1820" s="4">
        <v>1</v>
      </c>
      <c r="E1820" s="5">
        <v>66</v>
      </c>
      <c r="F1820" s="5">
        <v>43.92</v>
      </c>
      <c r="G1820" s="3" t="str">
        <f>VLOOKUP(Registros[[#This Row],[Cliente]],Cliente_Region[],2,FALSE)</f>
        <v>Chile</v>
      </c>
      <c r="H1820" s="3" t="str">
        <f>VLOOKUP(Registros[[#This Row],[Producto]],Producto[],2,FALSE)</f>
        <v>DONANY</v>
      </c>
    </row>
    <row r="1821" spans="1:8" ht="20.100000000000001" customHeight="1" x14ac:dyDescent="0.25">
      <c r="A1821" s="3" t="s">
        <v>311</v>
      </c>
      <c r="B1821" s="3" t="s">
        <v>345</v>
      </c>
      <c r="C1821" s="3">
        <v>2022</v>
      </c>
      <c r="D1821" s="4">
        <v>2</v>
      </c>
      <c r="E1821" s="5">
        <v>97.38</v>
      </c>
      <c r="F1821" s="5">
        <v>64.28</v>
      </c>
      <c r="G1821" s="3" t="str">
        <f>VLOOKUP(Registros[[#This Row],[Cliente]],Cliente_Region[],2,FALSE)</f>
        <v>Chile</v>
      </c>
      <c r="H1821" s="3" t="str">
        <f>VLOOKUP(Registros[[#This Row],[Producto]],Producto[],2,FALSE)</f>
        <v>CHOTUS</v>
      </c>
    </row>
    <row r="1822" spans="1:8" ht="20.100000000000001" customHeight="1" x14ac:dyDescent="0.25">
      <c r="A1822" s="3" t="s">
        <v>311</v>
      </c>
      <c r="B1822" s="3" t="s">
        <v>345</v>
      </c>
      <c r="C1822" s="3">
        <v>2022</v>
      </c>
      <c r="D1822" s="4">
        <v>3</v>
      </c>
      <c r="E1822" s="5">
        <v>64.92</v>
      </c>
      <c r="F1822" s="5">
        <v>42.84</v>
      </c>
      <c r="G1822" s="3" t="str">
        <f>VLOOKUP(Registros[[#This Row],[Cliente]],Cliente_Region[],2,FALSE)</f>
        <v>Chile</v>
      </c>
      <c r="H1822" s="3" t="str">
        <f>VLOOKUP(Registros[[#This Row],[Producto]],Producto[],2,FALSE)</f>
        <v>CHOTUS</v>
      </c>
    </row>
    <row r="1823" spans="1:8" ht="20.100000000000001" customHeight="1" x14ac:dyDescent="0.25">
      <c r="A1823" s="3" t="s">
        <v>311</v>
      </c>
      <c r="B1823" s="3" t="s">
        <v>345</v>
      </c>
      <c r="C1823" s="3">
        <v>2022</v>
      </c>
      <c r="D1823" s="4">
        <v>4</v>
      </c>
      <c r="E1823" s="5">
        <v>65.19</v>
      </c>
      <c r="F1823" s="5">
        <v>43.12</v>
      </c>
      <c r="G1823" s="3" t="str">
        <f>VLOOKUP(Registros[[#This Row],[Cliente]],Cliente_Region[],2,FALSE)</f>
        <v>Chile</v>
      </c>
      <c r="H1823" s="3" t="str">
        <f>VLOOKUP(Registros[[#This Row],[Producto]],Producto[],2,FALSE)</f>
        <v>CHOTUS</v>
      </c>
    </row>
    <row r="1824" spans="1:8" ht="20.100000000000001" customHeight="1" x14ac:dyDescent="0.25">
      <c r="A1824" s="3" t="s">
        <v>311</v>
      </c>
      <c r="B1824" s="3" t="s">
        <v>345</v>
      </c>
      <c r="C1824" s="3">
        <v>2022</v>
      </c>
      <c r="D1824" s="4">
        <v>5</v>
      </c>
      <c r="E1824" s="5">
        <v>66</v>
      </c>
      <c r="F1824" s="5">
        <v>43.94</v>
      </c>
      <c r="G1824" s="3" t="str">
        <f>VLOOKUP(Registros[[#This Row],[Cliente]],Cliente_Region[],2,FALSE)</f>
        <v>Chile</v>
      </c>
      <c r="H1824" s="3" t="str">
        <f>VLOOKUP(Registros[[#This Row],[Producto]],Producto[],2,FALSE)</f>
        <v>CHOTUS</v>
      </c>
    </row>
    <row r="1825" spans="1:8" ht="20.100000000000001" customHeight="1" x14ac:dyDescent="0.25">
      <c r="A1825" s="3" t="s">
        <v>311</v>
      </c>
      <c r="B1825" s="3" t="s">
        <v>345</v>
      </c>
      <c r="C1825" s="3">
        <v>2022</v>
      </c>
      <c r="D1825" s="4">
        <v>6</v>
      </c>
      <c r="E1825" s="5">
        <v>99</v>
      </c>
      <c r="F1825" s="5">
        <v>65.91</v>
      </c>
      <c r="G1825" s="3" t="str">
        <f>VLOOKUP(Registros[[#This Row],[Cliente]],Cliente_Region[],2,FALSE)</f>
        <v>Chile</v>
      </c>
      <c r="H1825" s="3" t="str">
        <f>VLOOKUP(Registros[[#This Row],[Producto]],Producto[],2,FALSE)</f>
        <v>CHOTUS</v>
      </c>
    </row>
    <row r="1826" spans="1:8" ht="20.100000000000001" customHeight="1" x14ac:dyDescent="0.25">
      <c r="A1826" s="3" t="s">
        <v>301</v>
      </c>
      <c r="B1826" s="3" t="s">
        <v>345</v>
      </c>
      <c r="C1826" s="3">
        <v>2022</v>
      </c>
      <c r="D1826" s="4">
        <v>1</v>
      </c>
      <c r="E1826" s="5">
        <v>100</v>
      </c>
      <c r="F1826" s="5">
        <v>54.32</v>
      </c>
      <c r="G1826" s="3" t="str">
        <f>VLOOKUP(Registros[[#This Row],[Cliente]],Cliente_Region[],2,FALSE)</f>
        <v>Chile</v>
      </c>
      <c r="H1826" s="3" t="str">
        <f>VLOOKUP(Registros[[#This Row],[Producto]],Producto[],2,FALSE)</f>
        <v>CHOTUS</v>
      </c>
    </row>
    <row r="1827" spans="1:8" ht="20.100000000000001" customHeight="1" x14ac:dyDescent="0.25">
      <c r="A1827" s="3" t="s">
        <v>302</v>
      </c>
      <c r="B1827" s="3" t="s">
        <v>345</v>
      </c>
      <c r="C1827" s="3">
        <v>2022</v>
      </c>
      <c r="D1827" s="4">
        <v>2</v>
      </c>
      <c r="E1827" s="5">
        <v>40</v>
      </c>
      <c r="F1827" s="5">
        <v>21.73</v>
      </c>
      <c r="G1827" s="3" t="str">
        <f>VLOOKUP(Registros[[#This Row],[Cliente]],Cliente_Region[],2,FALSE)</f>
        <v>Chile</v>
      </c>
      <c r="H1827" s="3" t="str">
        <f>VLOOKUP(Registros[[#This Row],[Producto]],Producto[],2,FALSE)</f>
        <v>CHOTUS</v>
      </c>
    </row>
    <row r="1828" spans="1:8" ht="20.100000000000001" customHeight="1" x14ac:dyDescent="0.25">
      <c r="A1828" s="3" t="s">
        <v>302</v>
      </c>
      <c r="B1828" s="3" t="s">
        <v>345</v>
      </c>
      <c r="C1828" s="3">
        <v>2022</v>
      </c>
      <c r="D1828" s="4">
        <v>3</v>
      </c>
      <c r="E1828" s="5">
        <v>80</v>
      </c>
      <c r="F1828" s="5">
        <v>32.590000000000003</v>
      </c>
      <c r="G1828" s="3" t="str">
        <f>VLOOKUP(Registros[[#This Row],[Cliente]],Cliente_Region[],2,FALSE)</f>
        <v>Chile</v>
      </c>
      <c r="H1828" s="3" t="str">
        <f>VLOOKUP(Registros[[#This Row],[Producto]],Producto[],2,FALSE)</f>
        <v>CHOTUS</v>
      </c>
    </row>
    <row r="1829" spans="1:8" ht="20.100000000000001" customHeight="1" x14ac:dyDescent="0.25">
      <c r="A1829" s="3" t="s">
        <v>302</v>
      </c>
      <c r="B1829" s="3" t="s">
        <v>345</v>
      </c>
      <c r="C1829" s="3">
        <v>2022</v>
      </c>
      <c r="D1829" s="4">
        <v>4</v>
      </c>
      <c r="E1829" s="5">
        <v>80</v>
      </c>
      <c r="F1829" s="5">
        <v>43.45</v>
      </c>
      <c r="G1829" s="3" t="str">
        <f>VLOOKUP(Registros[[#This Row],[Cliente]],Cliente_Region[],2,FALSE)</f>
        <v>Chile</v>
      </c>
      <c r="H1829" s="3" t="str">
        <f>VLOOKUP(Registros[[#This Row],[Producto]],Producto[],2,FALSE)</f>
        <v>CHOTUS</v>
      </c>
    </row>
    <row r="1830" spans="1:8" ht="20.100000000000001" customHeight="1" x14ac:dyDescent="0.25">
      <c r="A1830" s="3" t="s">
        <v>302</v>
      </c>
      <c r="B1830" s="3" t="s">
        <v>345</v>
      </c>
      <c r="C1830" s="3">
        <v>2022</v>
      </c>
      <c r="D1830" s="4">
        <v>5</v>
      </c>
      <c r="E1830" s="5">
        <v>40</v>
      </c>
      <c r="F1830" s="5">
        <v>21.72</v>
      </c>
      <c r="G1830" s="3" t="str">
        <f>VLOOKUP(Registros[[#This Row],[Cliente]],Cliente_Region[],2,FALSE)</f>
        <v>Chile</v>
      </c>
      <c r="H1830" s="3" t="str">
        <f>VLOOKUP(Registros[[#This Row],[Producto]],Producto[],2,FALSE)</f>
        <v>CHOTUS</v>
      </c>
    </row>
    <row r="1831" spans="1:8" ht="20.100000000000001" customHeight="1" x14ac:dyDescent="0.25">
      <c r="A1831" s="3" t="s">
        <v>302</v>
      </c>
      <c r="B1831" s="3" t="s">
        <v>345</v>
      </c>
      <c r="C1831" s="3">
        <v>2022</v>
      </c>
      <c r="D1831" s="4">
        <v>6</v>
      </c>
      <c r="E1831" s="5">
        <v>60</v>
      </c>
      <c r="F1831" s="5">
        <v>32.58</v>
      </c>
      <c r="G1831" s="3" t="str">
        <f>VLOOKUP(Registros[[#This Row],[Cliente]],Cliente_Region[],2,FALSE)</f>
        <v>Chile</v>
      </c>
      <c r="H1831" s="3" t="str">
        <f>VLOOKUP(Registros[[#This Row],[Producto]],Producto[],2,FALSE)</f>
        <v>CHOTUS</v>
      </c>
    </row>
    <row r="1832" spans="1:8" ht="20.100000000000001" customHeight="1" x14ac:dyDescent="0.25">
      <c r="A1832" s="3" t="s">
        <v>280</v>
      </c>
      <c r="B1832" s="3" t="s">
        <v>345</v>
      </c>
      <c r="C1832" s="3">
        <v>2022</v>
      </c>
      <c r="D1832" s="4">
        <v>1</v>
      </c>
      <c r="E1832" s="5">
        <v>40</v>
      </c>
      <c r="F1832" s="5">
        <v>21.28</v>
      </c>
      <c r="G1832" s="3" t="str">
        <f>VLOOKUP(Registros[[#This Row],[Cliente]],Cliente_Region[],2,FALSE)</f>
        <v>Chile</v>
      </c>
      <c r="H1832" s="3" t="str">
        <f>VLOOKUP(Registros[[#This Row],[Producto]],Producto[],2,FALSE)</f>
        <v>CHOTUS</v>
      </c>
    </row>
    <row r="1833" spans="1:8" ht="20.100000000000001" customHeight="1" x14ac:dyDescent="0.25">
      <c r="A1833" s="3" t="s">
        <v>281</v>
      </c>
      <c r="B1833" s="3" t="s">
        <v>345</v>
      </c>
      <c r="C1833" s="3">
        <v>2022</v>
      </c>
      <c r="D1833" s="4">
        <v>2</v>
      </c>
      <c r="E1833" s="5">
        <v>80.349999999999994</v>
      </c>
      <c r="F1833" s="5">
        <v>42.9</v>
      </c>
      <c r="G1833" s="3" t="str">
        <f>VLOOKUP(Registros[[#This Row],[Cliente]],Cliente_Region[],2,FALSE)</f>
        <v>Chile</v>
      </c>
      <c r="H1833" s="3" t="str">
        <f>VLOOKUP(Registros[[#This Row],[Producto]],Producto[],2,FALSE)</f>
        <v>SALF</v>
      </c>
    </row>
    <row r="1834" spans="1:8" ht="20.100000000000001" customHeight="1" x14ac:dyDescent="0.25">
      <c r="A1834" s="3" t="s">
        <v>281</v>
      </c>
      <c r="B1834" s="3" t="s">
        <v>345</v>
      </c>
      <c r="C1834" s="3">
        <v>2022</v>
      </c>
      <c r="D1834" s="4">
        <v>3</v>
      </c>
      <c r="E1834" s="5">
        <v>80.5</v>
      </c>
      <c r="F1834" s="5">
        <v>43.06</v>
      </c>
      <c r="G1834" s="3" t="str">
        <f>VLOOKUP(Registros[[#This Row],[Cliente]],Cliente_Region[],2,FALSE)</f>
        <v>Chile</v>
      </c>
      <c r="H1834" s="3" t="str">
        <f>VLOOKUP(Registros[[#This Row],[Producto]],Producto[],2,FALSE)</f>
        <v>SALF</v>
      </c>
    </row>
    <row r="1835" spans="1:8" ht="20.100000000000001" customHeight="1" x14ac:dyDescent="0.25">
      <c r="A1835" s="3" t="s">
        <v>281</v>
      </c>
      <c r="B1835" s="3" t="s">
        <v>345</v>
      </c>
      <c r="C1835" s="3">
        <v>2022</v>
      </c>
      <c r="D1835" s="4">
        <v>4</v>
      </c>
      <c r="E1835" s="5">
        <v>41</v>
      </c>
      <c r="F1835" s="5">
        <v>22.28</v>
      </c>
      <c r="G1835" s="3" t="str">
        <f>VLOOKUP(Registros[[#This Row],[Cliente]],Cliente_Region[],2,FALSE)</f>
        <v>Chile</v>
      </c>
      <c r="H1835" s="3" t="str">
        <f>VLOOKUP(Registros[[#This Row],[Producto]],Producto[],2,FALSE)</f>
        <v>SALF</v>
      </c>
    </row>
    <row r="1836" spans="1:8" ht="20.100000000000001" customHeight="1" x14ac:dyDescent="0.25">
      <c r="A1836" s="3" t="s">
        <v>281</v>
      </c>
      <c r="B1836" s="3" t="s">
        <v>345</v>
      </c>
      <c r="C1836" s="3">
        <v>2022</v>
      </c>
      <c r="D1836" s="4">
        <v>5</v>
      </c>
      <c r="E1836" s="5">
        <v>82</v>
      </c>
      <c r="F1836" s="5">
        <v>44.55</v>
      </c>
      <c r="G1836" s="3" t="str">
        <f>VLOOKUP(Registros[[#This Row],[Cliente]],Cliente_Region[],2,FALSE)</f>
        <v>Chile</v>
      </c>
      <c r="H1836" s="3" t="str">
        <f>VLOOKUP(Registros[[#This Row],[Producto]],Producto[],2,FALSE)</f>
        <v>SALF</v>
      </c>
    </row>
    <row r="1837" spans="1:8" ht="20.100000000000001" customHeight="1" x14ac:dyDescent="0.25">
      <c r="A1837" s="3" t="s">
        <v>281</v>
      </c>
      <c r="B1837" s="3" t="s">
        <v>345</v>
      </c>
      <c r="C1837" s="3">
        <v>2022</v>
      </c>
      <c r="D1837" s="4">
        <v>6</v>
      </c>
      <c r="E1837" s="5">
        <v>82</v>
      </c>
      <c r="F1837" s="5">
        <v>44.55</v>
      </c>
      <c r="G1837" s="3" t="str">
        <f>VLOOKUP(Registros[[#This Row],[Cliente]],Cliente_Region[],2,FALSE)</f>
        <v>Chile</v>
      </c>
      <c r="H1837" s="3" t="str">
        <f>VLOOKUP(Registros[[#This Row],[Producto]],Producto[],2,FALSE)</f>
        <v>SALF</v>
      </c>
    </row>
    <row r="1838" spans="1:8" ht="20.100000000000001" customHeight="1" x14ac:dyDescent="0.25">
      <c r="A1838" s="3" t="s">
        <v>40</v>
      </c>
      <c r="B1838" s="3" t="s">
        <v>345</v>
      </c>
      <c r="C1838" s="3">
        <v>2022</v>
      </c>
      <c r="D1838" s="4">
        <v>1</v>
      </c>
      <c r="E1838" s="5">
        <v>25.5</v>
      </c>
      <c r="F1838" s="5">
        <v>15.58</v>
      </c>
      <c r="G1838" s="3" t="str">
        <f>VLOOKUP(Registros[[#This Row],[Cliente]],Cliente_Region[],2,FALSE)</f>
        <v>Chile</v>
      </c>
      <c r="H1838" s="3" t="str">
        <f>VLOOKUP(Registros[[#This Row],[Producto]],Producto[],2,FALSE)</f>
        <v>DAWNE</v>
      </c>
    </row>
    <row r="1839" spans="1:8" ht="20.100000000000001" customHeight="1" x14ac:dyDescent="0.25">
      <c r="A1839" s="3" t="s">
        <v>282</v>
      </c>
      <c r="B1839" s="3" t="s">
        <v>345</v>
      </c>
      <c r="C1839" s="3">
        <v>2022</v>
      </c>
      <c r="D1839" s="4">
        <v>1</v>
      </c>
      <c r="E1839" s="5">
        <v>49.5</v>
      </c>
      <c r="F1839" s="5">
        <v>28.47</v>
      </c>
      <c r="G1839" s="3" t="str">
        <f>VLOOKUP(Registros[[#This Row],[Cliente]],Cliente_Region[],2,FALSE)</f>
        <v>Chile</v>
      </c>
      <c r="H1839" s="3" t="str">
        <f>VLOOKUP(Registros[[#This Row],[Producto]],Producto[],2,FALSE)</f>
        <v>DAWNE</v>
      </c>
    </row>
    <row r="1840" spans="1:8" ht="20.100000000000001" customHeight="1" x14ac:dyDescent="0.25">
      <c r="A1840" s="3" t="s">
        <v>114</v>
      </c>
      <c r="B1840" s="3" t="s">
        <v>345</v>
      </c>
      <c r="C1840" s="3">
        <v>2022</v>
      </c>
      <c r="D1840" s="4">
        <v>2</v>
      </c>
      <c r="E1840" s="5">
        <v>49.5</v>
      </c>
      <c r="F1840" s="5">
        <v>28.47</v>
      </c>
      <c r="G1840" s="3" t="str">
        <f>VLOOKUP(Registros[[#This Row],[Cliente]],Cliente_Region[],2,FALSE)</f>
        <v>Chile</v>
      </c>
      <c r="H1840" s="3" t="str">
        <f>VLOOKUP(Registros[[#This Row],[Producto]],Producto[],2,FALSE)</f>
        <v>DAWNE</v>
      </c>
    </row>
    <row r="1841" spans="1:8" ht="20.100000000000001" customHeight="1" x14ac:dyDescent="0.25">
      <c r="A1841" s="3" t="s">
        <v>114</v>
      </c>
      <c r="B1841" s="3" t="s">
        <v>345</v>
      </c>
      <c r="C1841" s="3">
        <v>2022</v>
      </c>
      <c r="D1841" s="4">
        <v>3</v>
      </c>
      <c r="E1841" s="5">
        <v>49.5</v>
      </c>
      <c r="F1841" s="5">
        <v>28.47</v>
      </c>
      <c r="G1841" s="3" t="str">
        <f>VLOOKUP(Registros[[#This Row],[Cliente]],Cliente_Region[],2,FALSE)</f>
        <v>Chile</v>
      </c>
      <c r="H1841" s="3" t="str">
        <f>VLOOKUP(Registros[[#This Row],[Producto]],Producto[],2,FALSE)</f>
        <v>DAWNE</v>
      </c>
    </row>
    <row r="1842" spans="1:8" ht="20.100000000000001" customHeight="1" x14ac:dyDescent="0.25">
      <c r="A1842" s="3" t="s">
        <v>114</v>
      </c>
      <c r="B1842" s="3" t="s">
        <v>345</v>
      </c>
      <c r="C1842" s="3">
        <v>2022</v>
      </c>
      <c r="D1842" s="4">
        <v>4</v>
      </c>
      <c r="E1842" s="5">
        <v>49.5</v>
      </c>
      <c r="F1842" s="5">
        <v>28.47</v>
      </c>
      <c r="G1842" s="3" t="str">
        <f>VLOOKUP(Registros[[#This Row],[Cliente]],Cliente_Region[],2,FALSE)</f>
        <v>Chile</v>
      </c>
      <c r="H1842" s="3" t="str">
        <f>VLOOKUP(Registros[[#This Row],[Producto]],Producto[],2,FALSE)</f>
        <v>DAWNE</v>
      </c>
    </row>
    <row r="1843" spans="1:8" ht="20.100000000000001" customHeight="1" x14ac:dyDescent="0.25">
      <c r="A1843" s="3" t="s">
        <v>114</v>
      </c>
      <c r="B1843" s="3" t="s">
        <v>345</v>
      </c>
      <c r="C1843" s="3">
        <v>2022</v>
      </c>
      <c r="D1843" s="4">
        <v>5</v>
      </c>
      <c r="E1843" s="5">
        <v>16.5</v>
      </c>
      <c r="F1843" s="5">
        <v>9.49</v>
      </c>
      <c r="G1843" s="3" t="str">
        <f>VLOOKUP(Registros[[#This Row],[Cliente]],Cliente_Region[],2,FALSE)</f>
        <v>Chile</v>
      </c>
      <c r="H1843" s="3" t="str">
        <f>VLOOKUP(Registros[[#This Row],[Producto]],Producto[],2,FALSE)</f>
        <v>DAWNE</v>
      </c>
    </row>
    <row r="1844" spans="1:8" ht="20.100000000000001" customHeight="1" x14ac:dyDescent="0.25">
      <c r="A1844" s="3" t="s">
        <v>114</v>
      </c>
      <c r="B1844" s="3" t="s">
        <v>345</v>
      </c>
      <c r="C1844" s="3">
        <v>2022</v>
      </c>
      <c r="D1844" s="4">
        <v>6</v>
      </c>
      <c r="E1844" s="5">
        <v>33</v>
      </c>
      <c r="F1844" s="5">
        <v>18.98</v>
      </c>
      <c r="G1844" s="3" t="str">
        <f>VLOOKUP(Registros[[#This Row],[Cliente]],Cliente_Region[],2,FALSE)</f>
        <v>Chile</v>
      </c>
      <c r="H1844" s="3" t="str">
        <f>VLOOKUP(Registros[[#This Row],[Producto]],Producto[],2,FALSE)</f>
        <v>DAWNE</v>
      </c>
    </row>
    <row r="1845" spans="1:8" ht="20.100000000000001" customHeight="1" x14ac:dyDescent="0.25">
      <c r="A1845" s="3" t="s">
        <v>338</v>
      </c>
      <c r="B1845" s="3" t="s">
        <v>345</v>
      </c>
      <c r="C1845" s="3">
        <v>2022</v>
      </c>
      <c r="D1845" s="4">
        <v>1</v>
      </c>
      <c r="E1845" s="5">
        <v>47</v>
      </c>
      <c r="F1845" s="5">
        <v>30.44</v>
      </c>
      <c r="G1845" s="3" t="str">
        <f>VLOOKUP(Registros[[#This Row],[Cliente]],Cliente_Region[],2,FALSE)</f>
        <v>Chile</v>
      </c>
      <c r="H1845" s="3" t="str">
        <f>VLOOKUP(Registros[[#This Row],[Producto]],Producto[],2,FALSE)</f>
        <v>DAWNE</v>
      </c>
    </row>
    <row r="1846" spans="1:8" ht="20.100000000000001" customHeight="1" x14ac:dyDescent="0.25">
      <c r="A1846" s="3" t="s">
        <v>339</v>
      </c>
      <c r="B1846" s="3" t="s">
        <v>345</v>
      </c>
      <c r="C1846" s="3">
        <v>2022</v>
      </c>
      <c r="D1846" s="4">
        <v>2</v>
      </c>
      <c r="E1846" s="5">
        <v>62.5</v>
      </c>
      <c r="F1846" s="5">
        <v>40.42</v>
      </c>
      <c r="G1846" s="3" t="str">
        <f>VLOOKUP(Registros[[#This Row],[Cliente]],Cliente_Region[],2,FALSE)</f>
        <v>Chile</v>
      </c>
      <c r="H1846" s="3" t="str">
        <f>VLOOKUP(Registros[[#This Row],[Producto]],Producto[],2,FALSE)</f>
        <v>LAX</v>
      </c>
    </row>
    <row r="1847" spans="1:8" ht="20.100000000000001" customHeight="1" x14ac:dyDescent="0.25">
      <c r="A1847" s="3" t="s">
        <v>339</v>
      </c>
      <c r="B1847" s="3" t="s">
        <v>345</v>
      </c>
      <c r="C1847" s="3">
        <v>2022</v>
      </c>
      <c r="D1847" s="4">
        <v>3</v>
      </c>
      <c r="E1847" s="5">
        <v>77.5</v>
      </c>
      <c r="F1847" s="5">
        <v>40.93</v>
      </c>
      <c r="G1847" s="3" t="str">
        <f>VLOOKUP(Registros[[#This Row],[Cliente]],Cliente_Region[],2,FALSE)</f>
        <v>Chile</v>
      </c>
      <c r="H1847" s="3" t="str">
        <f>VLOOKUP(Registros[[#This Row],[Producto]],Producto[],2,FALSE)</f>
        <v>LAX</v>
      </c>
    </row>
    <row r="1848" spans="1:8" ht="20.100000000000001" customHeight="1" x14ac:dyDescent="0.25">
      <c r="A1848" s="3" t="s">
        <v>339</v>
      </c>
      <c r="B1848" s="3" t="s">
        <v>345</v>
      </c>
      <c r="C1848" s="3">
        <v>2022</v>
      </c>
      <c r="D1848" s="4">
        <v>4</v>
      </c>
      <c r="E1848" s="5">
        <v>62.5</v>
      </c>
      <c r="F1848" s="5">
        <v>40.42</v>
      </c>
      <c r="G1848" s="3" t="str">
        <f>VLOOKUP(Registros[[#This Row],[Cliente]],Cliente_Region[],2,FALSE)</f>
        <v>Chile</v>
      </c>
      <c r="H1848" s="3" t="str">
        <f>VLOOKUP(Registros[[#This Row],[Producto]],Producto[],2,FALSE)</f>
        <v>LAX</v>
      </c>
    </row>
    <row r="1849" spans="1:8" ht="20.100000000000001" customHeight="1" x14ac:dyDescent="0.25">
      <c r="A1849" s="3" t="s">
        <v>339</v>
      </c>
      <c r="B1849" s="3" t="s">
        <v>345</v>
      </c>
      <c r="C1849" s="3">
        <v>2022</v>
      </c>
      <c r="D1849" s="4">
        <v>5</v>
      </c>
      <c r="E1849" s="5">
        <v>87.5</v>
      </c>
      <c r="F1849" s="5">
        <v>59.92</v>
      </c>
      <c r="G1849" s="3" t="str">
        <f>VLOOKUP(Registros[[#This Row],[Cliente]],Cliente_Region[],2,FALSE)</f>
        <v>Chile</v>
      </c>
      <c r="H1849" s="3" t="str">
        <f>VLOOKUP(Registros[[#This Row],[Producto]],Producto[],2,FALSE)</f>
        <v>LAX</v>
      </c>
    </row>
    <row r="1850" spans="1:8" ht="20.100000000000001" customHeight="1" x14ac:dyDescent="0.25">
      <c r="A1850" s="3" t="s">
        <v>339</v>
      </c>
      <c r="B1850" s="3" t="s">
        <v>345</v>
      </c>
      <c r="C1850" s="3">
        <v>2022</v>
      </c>
      <c r="D1850" s="4">
        <v>6</v>
      </c>
      <c r="E1850" s="5">
        <v>35</v>
      </c>
      <c r="F1850" s="5">
        <v>23.96</v>
      </c>
      <c r="G1850" s="3" t="str">
        <f>VLOOKUP(Registros[[#This Row],[Cliente]],Cliente_Region[],2,FALSE)</f>
        <v>Chile</v>
      </c>
      <c r="H1850" s="3" t="str">
        <f>VLOOKUP(Registros[[#This Row],[Producto]],Producto[],2,FALSE)</f>
        <v>LAX</v>
      </c>
    </row>
    <row r="1851" spans="1:8" ht="20.100000000000001" customHeight="1" x14ac:dyDescent="0.25">
      <c r="A1851" s="3" t="s">
        <v>140</v>
      </c>
      <c r="B1851" s="3" t="s">
        <v>346</v>
      </c>
      <c r="C1851" s="3">
        <v>2022</v>
      </c>
      <c r="D1851" s="4">
        <v>4</v>
      </c>
      <c r="E1851" s="5">
        <v>1650</v>
      </c>
      <c r="F1851" s="5">
        <v>411.4</v>
      </c>
      <c r="G1851" s="3" t="str">
        <f>VLOOKUP(Registros[[#This Row],[Cliente]],Cliente_Region[],2,FALSE)</f>
        <v>Chile</v>
      </c>
      <c r="H1851" s="3" t="str">
        <f>VLOOKUP(Registros[[#This Row],[Producto]],Producto[],2,FALSE)</f>
        <v>DAWNE</v>
      </c>
    </row>
    <row r="1852" spans="1:8" ht="20.100000000000001" customHeight="1" x14ac:dyDescent="0.25">
      <c r="A1852" s="3" t="s">
        <v>347</v>
      </c>
      <c r="B1852" s="3" t="s">
        <v>346</v>
      </c>
      <c r="C1852" s="3">
        <v>2022</v>
      </c>
      <c r="D1852" s="4">
        <v>1</v>
      </c>
      <c r="E1852" s="5">
        <v>2750</v>
      </c>
      <c r="F1852" s="5">
        <v>1079.8399999999999</v>
      </c>
      <c r="G1852" s="3" t="str">
        <f>VLOOKUP(Registros[[#This Row],[Cliente]],Cliente_Region[],2,FALSE)</f>
        <v>Chile</v>
      </c>
      <c r="H1852" s="3" t="str">
        <f>VLOOKUP(Registros[[#This Row],[Producto]],Producto[],2,FALSE)</f>
        <v>MOC</v>
      </c>
    </row>
    <row r="1853" spans="1:8" ht="20.100000000000001" customHeight="1" x14ac:dyDescent="0.25">
      <c r="A1853" s="3" t="s">
        <v>327</v>
      </c>
      <c r="B1853" s="3" t="s">
        <v>348</v>
      </c>
      <c r="C1853" s="3">
        <v>2022</v>
      </c>
      <c r="D1853" s="4">
        <v>1</v>
      </c>
      <c r="E1853" s="5">
        <v>158</v>
      </c>
      <c r="F1853" s="5">
        <v>41.52</v>
      </c>
      <c r="G1853" s="3" t="str">
        <f>VLOOKUP(Registros[[#This Row],[Cliente]],Cliente_Region[],2,FALSE)</f>
        <v>Argentina</v>
      </c>
      <c r="H1853" s="3" t="str">
        <f>VLOOKUP(Registros[[#This Row],[Producto]],Producto[],2,FALSE)</f>
        <v>CHOTUS</v>
      </c>
    </row>
    <row r="1854" spans="1:8" ht="20.100000000000001" customHeight="1" x14ac:dyDescent="0.25">
      <c r="A1854" s="3" t="s">
        <v>328</v>
      </c>
      <c r="B1854" s="3" t="s">
        <v>348</v>
      </c>
      <c r="C1854" s="3">
        <v>2022</v>
      </c>
      <c r="D1854" s="4">
        <v>2</v>
      </c>
      <c r="E1854" s="5">
        <v>186</v>
      </c>
      <c r="F1854" s="5">
        <v>45.15</v>
      </c>
      <c r="G1854" s="3" t="str">
        <f>VLOOKUP(Registros[[#This Row],[Cliente]],Cliente_Region[],2,FALSE)</f>
        <v>Argentina</v>
      </c>
      <c r="H1854" s="3" t="str">
        <f>VLOOKUP(Registros[[#This Row],[Producto]],Producto[],2,FALSE)</f>
        <v>CHOTUS</v>
      </c>
    </row>
    <row r="1855" spans="1:8" ht="20.100000000000001" customHeight="1" x14ac:dyDescent="0.25">
      <c r="A1855" s="3" t="s">
        <v>328</v>
      </c>
      <c r="B1855" s="3" t="s">
        <v>348</v>
      </c>
      <c r="C1855" s="3">
        <v>2022</v>
      </c>
      <c r="D1855" s="4">
        <v>3</v>
      </c>
      <c r="E1855" s="5">
        <v>229</v>
      </c>
      <c r="F1855" s="5">
        <v>64.59</v>
      </c>
      <c r="G1855" s="3" t="str">
        <f>VLOOKUP(Registros[[#This Row],[Cliente]],Cliente_Region[],2,FALSE)</f>
        <v>Argentina</v>
      </c>
      <c r="H1855" s="3" t="str">
        <f>VLOOKUP(Registros[[#This Row],[Producto]],Producto[],2,FALSE)</f>
        <v>CHOTUS</v>
      </c>
    </row>
    <row r="1856" spans="1:8" ht="20.100000000000001" customHeight="1" x14ac:dyDescent="0.25">
      <c r="A1856" s="3" t="s">
        <v>328</v>
      </c>
      <c r="B1856" s="3" t="s">
        <v>348</v>
      </c>
      <c r="C1856" s="3">
        <v>2022</v>
      </c>
      <c r="D1856" s="4">
        <v>4</v>
      </c>
      <c r="E1856" s="5">
        <v>204</v>
      </c>
      <c r="F1856" s="5">
        <v>63.04</v>
      </c>
      <c r="G1856" s="3" t="str">
        <f>VLOOKUP(Registros[[#This Row],[Cliente]],Cliente_Region[],2,FALSE)</f>
        <v>Argentina</v>
      </c>
      <c r="H1856" s="3" t="str">
        <f>VLOOKUP(Registros[[#This Row],[Producto]],Producto[],2,FALSE)</f>
        <v>CHOTUS</v>
      </c>
    </row>
    <row r="1857" spans="1:8" ht="20.100000000000001" customHeight="1" x14ac:dyDescent="0.25">
      <c r="A1857" s="3" t="s">
        <v>328</v>
      </c>
      <c r="B1857" s="3" t="s">
        <v>348</v>
      </c>
      <c r="C1857" s="3">
        <v>2022</v>
      </c>
      <c r="D1857" s="4">
        <v>5</v>
      </c>
      <c r="E1857" s="5">
        <v>221</v>
      </c>
      <c r="F1857" s="5">
        <v>68.28</v>
      </c>
      <c r="G1857" s="3" t="str">
        <f>VLOOKUP(Registros[[#This Row],[Cliente]],Cliente_Region[],2,FALSE)</f>
        <v>Argentina</v>
      </c>
      <c r="H1857" s="3" t="str">
        <f>VLOOKUP(Registros[[#This Row],[Producto]],Producto[],2,FALSE)</f>
        <v>CHOTUS</v>
      </c>
    </row>
    <row r="1858" spans="1:8" ht="20.100000000000001" customHeight="1" x14ac:dyDescent="0.25">
      <c r="A1858" s="3" t="s">
        <v>328</v>
      </c>
      <c r="B1858" s="3" t="s">
        <v>348</v>
      </c>
      <c r="C1858" s="3">
        <v>2022</v>
      </c>
      <c r="D1858" s="4">
        <v>6</v>
      </c>
      <c r="E1858" s="5">
        <v>170</v>
      </c>
      <c r="F1858" s="5">
        <v>52.52</v>
      </c>
      <c r="G1858" s="3" t="str">
        <f>VLOOKUP(Registros[[#This Row],[Cliente]],Cliente_Region[],2,FALSE)</f>
        <v>Argentina</v>
      </c>
      <c r="H1858" s="3" t="str">
        <f>VLOOKUP(Registros[[#This Row],[Producto]],Producto[],2,FALSE)</f>
        <v>CHOTUS</v>
      </c>
    </row>
    <row r="1859" spans="1:8" ht="20.100000000000001" customHeight="1" x14ac:dyDescent="0.25">
      <c r="A1859" s="3" t="s">
        <v>323</v>
      </c>
      <c r="B1859" s="3" t="s">
        <v>348</v>
      </c>
      <c r="C1859" s="3">
        <v>2022</v>
      </c>
      <c r="D1859" s="4">
        <v>1</v>
      </c>
      <c r="E1859" s="5">
        <v>399</v>
      </c>
      <c r="F1859" s="5">
        <v>91.34</v>
      </c>
      <c r="G1859" s="3" t="str">
        <f>VLOOKUP(Registros[[#This Row],[Cliente]],Cliente_Region[],2,FALSE)</f>
        <v>Argentina</v>
      </c>
      <c r="H1859" s="3" t="str">
        <f>VLOOKUP(Registros[[#This Row],[Producto]],Producto[],2,FALSE)</f>
        <v>GAMBO</v>
      </c>
    </row>
    <row r="1860" spans="1:8" ht="20.100000000000001" customHeight="1" x14ac:dyDescent="0.25">
      <c r="A1860" s="3" t="s">
        <v>324</v>
      </c>
      <c r="B1860" s="3" t="s">
        <v>348</v>
      </c>
      <c r="C1860" s="3">
        <v>2022</v>
      </c>
      <c r="D1860" s="4">
        <v>2</v>
      </c>
      <c r="E1860" s="5">
        <v>539</v>
      </c>
      <c r="F1860" s="5">
        <v>159.44999999999999</v>
      </c>
      <c r="G1860" s="3" t="str">
        <f>VLOOKUP(Registros[[#This Row],[Cliente]],Cliente_Region[],2,FALSE)</f>
        <v>Argentina</v>
      </c>
      <c r="H1860" s="3" t="str">
        <f>VLOOKUP(Registros[[#This Row],[Producto]],Producto[],2,FALSE)</f>
        <v>DONANY</v>
      </c>
    </row>
    <row r="1861" spans="1:8" ht="20.100000000000001" customHeight="1" x14ac:dyDescent="0.25">
      <c r="A1861" s="3" t="s">
        <v>324</v>
      </c>
      <c r="B1861" s="3" t="s">
        <v>348</v>
      </c>
      <c r="C1861" s="3">
        <v>2022</v>
      </c>
      <c r="D1861" s="4">
        <v>3</v>
      </c>
      <c r="E1861" s="5">
        <v>514.25</v>
      </c>
      <c r="F1861" s="5">
        <v>137.57</v>
      </c>
      <c r="G1861" s="3" t="str">
        <f>VLOOKUP(Registros[[#This Row],[Cliente]],Cliente_Region[],2,FALSE)</f>
        <v>Argentina</v>
      </c>
      <c r="H1861" s="3" t="str">
        <f>VLOOKUP(Registros[[#This Row],[Producto]],Producto[],2,FALSE)</f>
        <v>DONANY</v>
      </c>
    </row>
    <row r="1862" spans="1:8" ht="20.100000000000001" customHeight="1" x14ac:dyDescent="0.25">
      <c r="A1862" s="3" t="s">
        <v>324</v>
      </c>
      <c r="B1862" s="3" t="s">
        <v>348</v>
      </c>
      <c r="C1862" s="3">
        <v>2022</v>
      </c>
      <c r="D1862" s="4">
        <v>4</v>
      </c>
      <c r="E1862" s="5">
        <v>371.25</v>
      </c>
      <c r="F1862" s="5">
        <v>121.34</v>
      </c>
      <c r="G1862" s="3" t="str">
        <f>VLOOKUP(Registros[[#This Row],[Cliente]],Cliente_Region[],2,FALSE)</f>
        <v>Argentina</v>
      </c>
      <c r="H1862" s="3" t="str">
        <f>VLOOKUP(Registros[[#This Row],[Producto]],Producto[],2,FALSE)</f>
        <v>DONANY</v>
      </c>
    </row>
    <row r="1863" spans="1:8" ht="20.100000000000001" customHeight="1" x14ac:dyDescent="0.25">
      <c r="A1863" s="3" t="s">
        <v>324</v>
      </c>
      <c r="B1863" s="3" t="s">
        <v>348</v>
      </c>
      <c r="C1863" s="3">
        <v>2022</v>
      </c>
      <c r="D1863" s="4">
        <v>5</v>
      </c>
      <c r="E1863" s="5">
        <v>539</v>
      </c>
      <c r="F1863" s="5">
        <v>133.29</v>
      </c>
      <c r="G1863" s="3" t="str">
        <f>VLOOKUP(Registros[[#This Row],[Cliente]],Cliente_Region[],2,FALSE)</f>
        <v>Argentina</v>
      </c>
      <c r="H1863" s="3" t="str">
        <f>VLOOKUP(Registros[[#This Row],[Producto]],Producto[],2,FALSE)</f>
        <v>DONANY</v>
      </c>
    </row>
    <row r="1864" spans="1:8" ht="20.100000000000001" customHeight="1" x14ac:dyDescent="0.25">
      <c r="A1864" s="3" t="s">
        <v>324</v>
      </c>
      <c r="B1864" s="3" t="s">
        <v>348</v>
      </c>
      <c r="C1864" s="3">
        <v>2022</v>
      </c>
      <c r="D1864" s="4">
        <v>6</v>
      </c>
      <c r="E1864" s="5">
        <v>385</v>
      </c>
      <c r="F1864" s="5">
        <v>136.1</v>
      </c>
      <c r="G1864" s="3" t="str">
        <f>VLOOKUP(Registros[[#This Row],[Cliente]],Cliente_Region[],2,FALSE)</f>
        <v>Argentina</v>
      </c>
      <c r="H1864" s="3" t="str">
        <f>VLOOKUP(Registros[[#This Row],[Producto]],Producto[],2,FALSE)</f>
        <v>DONANY</v>
      </c>
    </row>
    <row r="1865" spans="1:8" ht="20.100000000000001" customHeight="1" x14ac:dyDescent="0.25">
      <c r="A1865" s="3" t="s">
        <v>349</v>
      </c>
      <c r="B1865" s="3" t="s">
        <v>348</v>
      </c>
      <c r="C1865" s="3">
        <v>2022</v>
      </c>
      <c r="D1865" s="4">
        <v>1</v>
      </c>
      <c r="E1865" s="5">
        <v>70.25</v>
      </c>
      <c r="F1865" s="5">
        <v>26.75</v>
      </c>
      <c r="G1865" s="3" t="str">
        <f>VLOOKUP(Registros[[#This Row],[Cliente]],Cliente_Region[],2,FALSE)</f>
        <v>Argentina</v>
      </c>
      <c r="H1865" s="3" t="str">
        <f>VLOOKUP(Registros[[#This Row],[Producto]],Producto[],2,FALSE)</f>
        <v>GAMBO</v>
      </c>
    </row>
    <row r="1866" spans="1:8" ht="20.100000000000001" customHeight="1" x14ac:dyDescent="0.25">
      <c r="A1866" s="3" t="s">
        <v>350</v>
      </c>
      <c r="B1866" s="3" t="s">
        <v>348</v>
      </c>
      <c r="C1866" s="3">
        <v>2022</v>
      </c>
      <c r="D1866" s="4">
        <v>2</v>
      </c>
      <c r="E1866" s="5">
        <v>103.36</v>
      </c>
      <c r="F1866" s="5">
        <v>45.36</v>
      </c>
      <c r="G1866" s="3" t="str">
        <f>VLOOKUP(Registros[[#This Row],[Cliente]],Cliente_Region[],2,FALSE)</f>
        <v>Argentina</v>
      </c>
      <c r="H1866" s="3" t="str">
        <f>VLOOKUP(Registros[[#This Row],[Producto]],Producto[],2,FALSE)</f>
        <v>CHOTUS</v>
      </c>
    </row>
    <row r="1867" spans="1:8" ht="20.100000000000001" customHeight="1" x14ac:dyDescent="0.25">
      <c r="A1867" s="3" t="s">
        <v>350</v>
      </c>
      <c r="B1867" s="3" t="s">
        <v>348</v>
      </c>
      <c r="C1867" s="3">
        <v>2022</v>
      </c>
      <c r="D1867" s="4">
        <v>3</v>
      </c>
      <c r="E1867" s="5">
        <v>126.68</v>
      </c>
      <c r="F1867" s="5">
        <v>54.18</v>
      </c>
      <c r="G1867" s="3" t="str">
        <f>VLOOKUP(Registros[[#This Row],[Cliente]],Cliente_Region[],2,FALSE)</f>
        <v>Argentina</v>
      </c>
      <c r="H1867" s="3" t="str">
        <f>VLOOKUP(Registros[[#This Row],[Producto]],Producto[],2,FALSE)</f>
        <v>CHOTUS</v>
      </c>
    </row>
    <row r="1868" spans="1:8" ht="20.100000000000001" customHeight="1" x14ac:dyDescent="0.25">
      <c r="A1868" s="3" t="s">
        <v>350</v>
      </c>
      <c r="B1868" s="3" t="s">
        <v>348</v>
      </c>
      <c r="C1868" s="3">
        <v>2022</v>
      </c>
      <c r="D1868" s="4">
        <v>4</v>
      </c>
      <c r="E1868" s="5">
        <v>105.25</v>
      </c>
      <c r="F1868" s="5">
        <v>47.25</v>
      </c>
      <c r="G1868" s="3" t="str">
        <f>VLOOKUP(Registros[[#This Row],[Cliente]],Cliente_Region[],2,FALSE)</f>
        <v>Argentina</v>
      </c>
      <c r="H1868" s="3" t="str">
        <f>VLOOKUP(Registros[[#This Row],[Producto]],Producto[],2,FALSE)</f>
        <v>CHOTUS</v>
      </c>
    </row>
    <row r="1869" spans="1:8" ht="20.100000000000001" customHeight="1" x14ac:dyDescent="0.25">
      <c r="A1869" s="3" t="s">
        <v>350</v>
      </c>
      <c r="B1869" s="3" t="s">
        <v>348</v>
      </c>
      <c r="C1869" s="3">
        <v>2022</v>
      </c>
      <c r="D1869" s="4">
        <v>5</v>
      </c>
      <c r="E1869" s="5">
        <v>133.75</v>
      </c>
      <c r="F1869" s="5">
        <v>61.25</v>
      </c>
      <c r="G1869" s="3" t="str">
        <f>VLOOKUP(Registros[[#This Row],[Cliente]],Cliente_Region[],2,FALSE)</f>
        <v>Argentina</v>
      </c>
      <c r="H1869" s="3" t="str">
        <f>VLOOKUP(Registros[[#This Row],[Producto]],Producto[],2,FALSE)</f>
        <v>CHOTUS</v>
      </c>
    </row>
    <row r="1870" spans="1:8" ht="20.100000000000001" customHeight="1" x14ac:dyDescent="0.25">
      <c r="A1870" s="3" t="s">
        <v>350</v>
      </c>
      <c r="B1870" s="3" t="s">
        <v>348</v>
      </c>
      <c r="C1870" s="3">
        <v>2022</v>
      </c>
      <c r="D1870" s="4">
        <v>6</v>
      </c>
      <c r="E1870" s="5">
        <v>53.5</v>
      </c>
      <c r="F1870" s="5">
        <v>24.5</v>
      </c>
      <c r="G1870" s="3" t="str">
        <f>VLOOKUP(Registros[[#This Row],[Cliente]],Cliente_Region[],2,FALSE)</f>
        <v>Argentina</v>
      </c>
      <c r="H1870" s="3" t="str">
        <f>VLOOKUP(Registros[[#This Row],[Producto]],Producto[],2,FALSE)</f>
        <v>CHOTUS</v>
      </c>
    </row>
    <row r="1871" spans="1:8" ht="20.100000000000001" customHeight="1" x14ac:dyDescent="0.25">
      <c r="A1871" s="3" t="s">
        <v>351</v>
      </c>
      <c r="B1871" s="3" t="s">
        <v>348</v>
      </c>
      <c r="C1871" s="3">
        <v>2022</v>
      </c>
      <c r="D1871" s="4">
        <v>1</v>
      </c>
      <c r="E1871" s="5">
        <v>27</v>
      </c>
      <c r="F1871" s="5">
        <v>10.73</v>
      </c>
      <c r="G1871" s="3" t="str">
        <f>VLOOKUP(Registros[[#This Row],[Cliente]],Cliente_Region[],2,FALSE)</f>
        <v>Argentina</v>
      </c>
      <c r="H1871" s="3" t="str">
        <f>VLOOKUP(Registros[[#This Row],[Producto]],Producto[],2,FALSE)</f>
        <v>GAMBO</v>
      </c>
    </row>
    <row r="1872" spans="1:8" ht="20.100000000000001" customHeight="1" x14ac:dyDescent="0.25">
      <c r="A1872" s="3" t="s">
        <v>353</v>
      </c>
      <c r="B1872" s="3" t="s">
        <v>348</v>
      </c>
      <c r="C1872" s="3">
        <v>2022</v>
      </c>
      <c r="D1872" s="4">
        <v>1</v>
      </c>
      <c r="E1872" s="5">
        <v>172.1</v>
      </c>
      <c r="F1872" s="5">
        <v>68.87</v>
      </c>
      <c r="G1872" s="3" t="str">
        <f>VLOOKUP(Registros[[#This Row],[Cliente]],Cliente_Region[],2,FALSE)</f>
        <v>Argentina</v>
      </c>
      <c r="H1872" s="3" t="str">
        <f>VLOOKUP(Registros[[#This Row],[Producto]],Producto[],2,FALSE)</f>
        <v>QUOKAR</v>
      </c>
    </row>
    <row r="1873" spans="1:8" ht="20.100000000000001" customHeight="1" x14ac:dyDescent="0.25">
      <c r="A1873" s="3" t="s">
        <v>354</v>
      </c>
      <c r="B1873" s="3" t="s">
        <v>348</v>
      </c>
      <c r="C1873" s="3">
        <v>2022</v>
      </c>
      <c r="D1873" s="4">
        <v>2</v>
      </c>
      <c r="E1873" s="5">
        <v>228.8</v>
      </c>
      <c r="F1873" s="5">
        <v>90.48</v>
      </c>
      <c r="G1873" s="3" t="str">
        <f>VLOOKUP(Registros[[#This Row],[Cliente]],Cliente_Region[],2,FALSE)</f>
        <v>Argentina</v>
      </c>
      <c r="H1873" s="3" t="str">
        <f>VLOOKUP(Registros[[#This Row],[Producto]],Producto[],2,FALSE)</f>
        <v>SALF</v>
      </c>
    </row>
    <row r="1874" spans="1:8" ht="20.100000000000001" customHeight="1" x14ac:dyDescent="0.25">
      <c r="A1874" s="3" t="s">
        <v>354</v>
      </c>
      <c r="B1874" s="3" t="s">
        <v>348</v>
      </c>
      <c r="C1874" s="3">
        <v>2022</v>
      </c>
      <c r="D1874" s="4">
        <v>3</v>
      </c>
      <c r="E1874" s="5">
        <v>171.6</v>
      </c>
      <c r="F1874" s="5">
        <v>67.34</v>
      </c>
      <c r="G1874" s="3" t="str">
        <f>VLOOKUP(Registros[[#This Row],[Cliente]],Cliente_Region[],2,FALSE)</f>
        <v>Argentina</v>
      </c>
      <c r="H1874" s="3" t="str">
        <f>VLOOKUP(Registros[[#This Row],[Producto]],Producto[],2,FALSE)</f>
        <v>SALF</v>
      </c>
    </row>
    <row r="1875" spans="1:8" ht="20.100000000000001" customHeight="1" x14ac:dyDescent="0.25">
      <c r="A1875" s="3" t="s">
        <v>354</v>
      </c>
      <c r="B1875" s="3" t="s">
        <v>348</v>
      </c>
      <c r="C1875" s="3">
        <v>2022</v>
      </c>
      <c r="D1875" s="4">
        <v>4</v>
      </c>
      <c r="E1875" s="5">
        <v>171.6</v>
      </c>
      <c r="F1875" s="5">
        <v>62.81</v>
      </c>
      <c r="G1875" s="3" t="str">
        <f>VLOOKUP(Registros[[#This Row],[Cliente]],Cliente_Region[],2,FALSE)</f>
        <v>Argentina</v>
      </c>
      <c r="H1875" s="3" t="str">
        <f>VLOOKUP(Registros[[#This Row],[Producto]],Producto[],2,FALSE)</f>
        <v>SALF</v>
      </c>
    </row>
    <row r="1876" spans="1:8" ht="20.100000000000001" customHeight="1" x14ac:dyDescent="0.25">
      <c r="A1876" s="3" t="s">
        <v>354</v>
      </c>
      <c r="B1876" s="3" t="s">
        <v>348</v>
      </c>
      <c r="C1876" s="3">
        <v>2022</v>
      </c>
      <c r="D1876" s="4">
        <v>5</v>
      </c>
      <c r="E1876" s="5">
        <v>171.6</v>
      </c>
      <c r="F1876" s="5">
        <v>60.45</v>
      </c>
      <c r="G1876" s="3" t="str">
        <f>VLOOKUP(Registros[[#This Row],[Cliente]],Cliente_Region[],2,FALSE)</f>
        <v>Argentina</v>
      </c>
      <c r="H1876" s="3" t="str">
        <f>VLOOKUP(Registros[[#This Row],[Producto]],Producto[],2,FALSE)</f>
        <v>SALF</v>
      </c>
    </row>
    <row r="1877" spans="1:8" ht="20.100000000000001" customHeight="1" x14ac:dyDescent="0.25">
      <c r="A1877" s="3" t="s">
        <v>354</v>
      </c>
      <c r="B1877" s="3" t="s">
        <v>348</v>
      </c>
      <c r="C1877" s="3">
        <v>2022</v>
      </c>
      <c r="D1877" s="4">
        <v>6</v>
      </c>
      <c r="E1877" s="5">
        <v>171.6</v>
      </c>
      <c r="F1877" s="5">
        <v>58.78</v>
      </c>
      <c r="G1877" s="3" t="str">
        <f>VLOOKUP(Registros[[#This Row],[Cliente]],Cliente_Region[],2,FALSE)</f>
        <v>Argentina</v>
      </c>
      <c r="H1877" s="3" t="str">
        <f>VLOOKUP(Registros[[#This Row],[Producto]],Producto[],2,FALSE)</f>
        <v>SALF</v>
      </c>
    </row>
    <row r="1878" spans="1:8" ht="20.100000000000001" customHeight="1" x14ac:dyDescent="0.25">
      <c r="A1878" s="3" t="s">
        <v>44</v>
      </c>
      <c r="B1878" s="3" t="s">
        <v>348</v>
      </c>
      <c r="C1878" s="3">
        <v>2022</v>
      </c>
      <c r="D1878" s="4">
        <v>5</v>
      </c>
      <c r="E1878" s="5">
        <v>75</v>
      </c>
      <c r="F1878" s="5">
        <v>35.299999999999997</v>
      </c>
      <c r="G1878" s="3" t="str">
        <f>VLOOKUP(Registros[[#This Row],[Cliente]],Cliente_Region[],2,FALSE)</f>
        <v>Argentina</v>
      </c>
      <c r="H1878" s="3" t="str">
        <f>VLOOKUP(Registros[[#This Row],[Producto]],Producto[],2,FALSE)</f>
        <v>DAWNE</v>
      </c>
    </row>
    <row r="1879" spans="1:8" ht="20.100000000000001" customHeight="1" x14ac:dyDescent="0.25">
      <c r="A1879" s="3" t="s">
        <v>45</v>
      </c>
      <c r="B1879" s="3" t="s">
        <v>348</v>
      </c>
      <c r="C1879" s="3">
        <v>2022</v>
      </c>
      <c r="D1879" s="4">
        <v>6</v>
      </c>
      <c r="E1879" s="5">
        <v>147</v>
      </c>
      <c r="F1879" s="5">
        <v>-11.81</v>
      </c>
      <c r="G1879" s="3" t="str">
        <f>VLOOKUP(Registros[[#This Row],[Cliente]],Cliente_Region[],2,FALSE)</f>
        <v>Argentina</v>
      </c>
      <c r="H1879" s="3" t="str">
        <f>VLOOKUP(Registros[[#This Row],[Producto]],Producto[],2,FALSE)</f>
        <v>DONANY</v>
      </c>
    </row>
    <row r="1880" spans="1:8" ht="20.100000000000001" customHeight="1" x14ac:dyDescent="0.25">
      <c r="A1880" s="3" t="s">
        <v>282</v>
      </c>
      <c r="B1880" s="3" t="s">
        <v>348</v>
      </c>
      <c r="C1880" s="3">
        <v>2022</v>
      </c>
      <c r="D1880" s="4">
        <v>1</v>
      </c>
      <c r="E1880" s="5">
        <v>66</v>
      </c>
      <c r="F1880" s="5">
        <v>37.96</v>
      </c>
      <c r="G1880" s="3" t="str">
        <f>VLOOKUP(Registros[[#This Row],[Cliente]],Cliente_Region[],2,FALSE)</f>
        <v>Argentina</v>
      </c>
      <c r="H1880" s="3" t="str">
        <f>VLOOKUP(Registros[[#This Row],[Producto]],Producto[],2,FALSE)</f>
        <v>DAWNE</v>
      </c>
    </row>
    <row r="1881" spans="1:8" ht="20.100000000000001" customHeight="1" x14ac:dyDescent="0.25">
      <c r="A1881" s="3" t="s">
        <v>114</v>
      </c>
      <c r="B1881" s="3" t="s">
        <v>348</v>
      </c>
      <c r="C1881" s="3">
        <v>2022</v>
      </c>
      <c r="D1881" s="4">
        <v>2</v>
      </c>
      <c r="E1881" s="5">
        <v>66</v>
      </c>
      <c r="F1881" s="5">
        <v>37.96</v>
      </c>
      <c r="G1881" s="3" t="str">
        <f>VLOOKUP(Registros[[#This Row],[Cliente]],Cliente_Region[],2,FALSE)</f>
        <v>Argentina</v>
      </c>
      <c r="H1881" s="3" t="str">
        <f>VLOOKUP(Registros[[#This Row],[Producto]],Producto[],2,FALSE)</f>
        <v>DAWNE</v>
      </c>
    </row>
    <row r="1882" spans="1:8" ht="20.100000000000001" customHeight="1" x14ac:dyDescent="0.25">
      <c r="A1882" s="3" t="s">
        <v>114</v>
      </c>
      <c r="B1882" s="3" t="s">
        <v>348</v>
      </c>
      <c r="C1882" s="3">
        <v>2022</v>
      </c>
      <c r="D1882" s="4">
        <v>3</v>
      </c>
      <c r="E1882" s="5">
        <v>82.5</v>
      </c>
      <c r="F1882" s="5">
        <v>47.45</v>
      </c>
      <c r="G1882" s="3" t="str">
        <f>VLOOKUP(Registros[[#This Row],[Cliente]],Cliente_Region[],2,FALSE)</f>
        <v>Argentina</v>
      </c>
      <c r="H1882" s="3" t="str">
        <f>VLOOKUP(Registros[[#This Row],[Producto]],Producto[],2,FALSE)</f>
        <v>DAWNE</v>
      </c>
    </row>
    <row r="1883" spans="1:8" ht="20.100000000000001" customHeight="1" x14ac:dyDescent="0.25">
      <c r="A1883" s="3" t="s">
        <v>114</v>
      </c>
      <c r="B1883" s="3" t="s">
        <v>348</v>
      </c>
      <c r="C1883" s="3">
        <v>2022</v>
      </c>
      <c r="D1883" s="4">
        <v>4</v>
      </c>
      <c r="E1883" s="5">
        <v>66</v>
      </c>
      <c r="F1883" s="5">
        <v>37.950000000000003</v>
      </c>
      <c r="G1883" s="3" t="str">
        <f>VLOOKUP(Registros[[#This Row],[Cliente]],Cliente_Region[],2,FALSE)</f>
        <v>Argentina</v>
      </c>
      <c r="H1883" s="3" t="str">
        <f>VLOOKUP(Registros[[#This Row],[Producto]],Producto[],2,FALSE)</f>
        <v>DAWNE</v>
      </c>
    </row>
    <row r="1884" spans="1:8" ht="20.100000000000001" customHeight="1" x14ac:dyDescent="0.25">
      <c r="A1884" s="3" t="s">
        <v>114</v>
      </c>
      <c r="B1884" s="3" t="s">
        <v>348</v>
      </c>
      <c r="C1884" s="3">
        <v>2022</v>
      </c>
      <c r="D1884" s="4">
        <v>5</v>
      </c>
      <c r="E1884" s="5">
        <v>82.5</v>
      </c>
      <c r="F1884" s="5">
        <v>47.45</v>
      </c>
      <c r="G1884" s="3" t="str">
        <f>VLOOKUP(Registros[[#This Row],[Cliente]],Cliente_Region[],2,FALSE)</f>
        <v>Argentina</v>
      </c>
      <c r="H1884" s="3" t="str">
        <f>VLOOKUP(Registros[[#This Row],[Producto]],Producto[],2,FALSE)</f>
        <v>DAWNE</v>
      </c>
    </row>
    <row r="1885" spans="1:8" ht="20.100000000000001" customHeight="1" x14ac:dyDescent="0.25">
      <c r="A1885" s="3" t="s">
        <v>114</v>
      </c>
      <c r="B1885" s="3" t="s">
        <v>348</v>
      </c>
      <c r="C1885" s="3">
        <v>2022</v>
      </c>
      <c r="D1885" s="4">
        <v>6</v>
      </c>
      <c r="E1885" s="5">
        <v>66</v>
      </c>
      <c r="F1885" s="5">
        <v>37.96</v>
      </c>
      <c r="G1885" s="3" t="str">
        <f>VLOOKUP(Registros[[#This Row],[Cliente]],Cliente_Region[],2,FALSE)</f>
        <v>Argentina</v>
      </c>
      <c r="H1885" s="3" t="str">
        <f>VLOOKUP(Registros[[#This Row],[Producto]],Producto[],2,FALSE)</f>
        <v>DAWNE</v>
      </c>
    </row>
    <row r="1886" spans="1:8" ht="20.100000000000001" customHeight="1" x14ac:dyDescent="0.25">
      <c r="A1886" s="3" t="s">
        <v>135</v>
      </c>
      <c r="B1886" s="3" t="s">
        <v>348</v>
      </c>
      <c r="C1886" s="3">
        <v>2022</v>
      </c>
      <c r="D1886" s="4">
        <v>5</v>
      </c>
      <c r="E1886" s="5">
        <v>45</v>
      </c>
      <c r="F1886" s="5">
        <v>31.52</v>
      </c>
      <c r="G1886" s="3" t="str">
        <f>VLOOKUP(Registros[[#This Row],[Cliente]],Cliente_Region[],2,FALSE)</f>
        <v>Argentina</v>
      </c>
      <c r="H1886" s="3" t="str">
        <f>VLOOKUP(Registros[[#This Row],[Producto]],Producto[],2,FALSE)</f>
        <v>GAMBO</v>
      </c>
    </row>
    <row r="1887" spans="1:8" ht="20.100000000000001" customHeight="1" x14ac:dyDescent="0.25">
      <c r="A1887" s="3" t="s">
        <v>93</v>
      </c>
      <c r="B1887" s="3" t="s">
        <v>348</v>
      </c>
      <c r="C1887" s="3">
        <v>2022</v>
      </c>
      <c r="D1887" s="4">
        <v>6</v>
      </c>
      <c r="E1887" s="5">
        <v>67.5</v>
      </c>
      <c r="F1887" s="5">
        <v>47.28</v>
      </c>
      <c r="G1887" s="3" t="str">
        <f>VLOOKUP(Registros[[#This Row],[Cliente]],Cliente_Region[],2,FALSE)</f>
        <v>Argentina</v>
      </c>
      <c r="H1887" s="3" t="str">
        <f>VLOOKUP(Registros[[#This Row],[Producto]],Producto[],2,FALSE)</f>
        <v>GAMBO</v>
      </c>
    </row>
    <row r="1888" spans="1:8" ht="20.100000000000001" customHeight="1" x14ac:dyDescent="0.25">
      <c r="A1888" s="3" t="s">
        <v>90</v>
      </c>
      <c r="B1888" s="3" t="s">
        <v>348</v>
      </c>
      <c r="C1888" s="3">
        <v>2022</v>
      </c>
      <c r="D1888" s="4">
        <v>1</v>
      </c>
      <c r="E1888" s="5">
        <v>30</v>
      </c>
      <c r="F1888" s="5">
        <v>26.88</v>
      </c>
      <c r="G1888" s="3" t="str">
        <f>VLOOKUP(Registros[[#This Row],[Cliente]],Cliente_Region[],2,FALSE)</f>
        <v>Argentina</v>
      </c>
      <c r="H1888" s="3" t="str">
        <f>VLOOKUP(Registros[[#This Row],[Producto]],Producto[],2,FALSE)</f>
        <v>CHOTUS</v>
      </c>
    </row>
    <row r="1889" spans="1:8" ht="20.100000000000001" customHeight="1" x14ac:dyDescent="0.25">
      <c r="A1889" s="3" t="s">
        <v>297</v>
      </c>
      <c r="B1889" s="3" t="s">
        <v>348</v>
      </c>
      <c r="C1889" s="3">
        <v>2022</v>
      </c>
      <c r="D1889" s="4">
        <v>1</v>
      </c>
      <c r="E1889" s="5">
        <v>37</v>
      </c>
      <c r="F1889" s="5">
        <v>18.73</v>
      </c>
      <c r="G1889" s="3" t="str">
        <f>VLOOKUP(Registros[[#This Row],[Cliente]],Cliente_Region[],2,FALSE)</f>
        <v>Argentina</v>
      </c>
      <c r="H1889" s="3" t="str">
        <f>VLOOKUP(Registros[[#This Row],[Producto]],Producto[],2,FALSE)</f>
        <v>LAX</v>
      </c>
    </row>
    <row r="1890" spans="1:8" ht="20.100000000000001" customHeight="1" x14ac:dyDescent="0.25">
      <c r="A1890" s="3" t="s">
        <v>77</v>
      </c>
      <c r="B1890" s="3" t="s">
        <v>348</v>
      </c>
      <c r="C1890" s="3">
        <v>2022</v>
      </c>
      <c r="D1890" s="4">
        <v>1</v>
      </c>
      <c r="E1890" s="5">
        <v>29.5</v>
      </c>
      <c r="F1890" s="5">
        <v>19.54</v>
      </c>
      <c r="G1890" s="3" t="str">
        <f>VLOOKUP(Registros[[#This Row],[Cliente]],Cliente_Region[],2,FALSE)</f>
        <v>Argentina</v>
      </c>
      <c r="H1890" s="3" t="str">
        <f>VLOOKUP(Registros[[#This Row],[Producto]],Producto[],2,FALSE)</f>
        <v>LAX</v>
      </c>
    </row>
    <row r="1891" spans="1:8" ht="20.100000000000001" customHeight="1" x14ac:dyDescent="0.25">
      <c r="A1891" s="3" t="s">
        <v>92</v>
      </c>
      <c r="B1891" s="3" t="s">
        <v>348</v>
      </c>
      <c r="C1891" s="3">
        <v>2022</v>
      </c>
      <c r="D1891" s="4">
        <v>1</v>
      </c>
      <c r="E1891" s="5">
        <v>44.8</v>
      </c>
      <c r="F1891" s="5">
        <v>27.16</v>
      </c>
      <c r="G1891" s="3" t="str">
        <f>VLOOKUP(Registros[[#This Row],[Cliente]],Cliente_Region[],2,FALSE)</f>
        <v>Argentina</v>
      </c>
      <c r="H1891" s="3" t="str">
        <f>VLOOKUP(Registros[[#This Row],[Producto]],Producto[],2,FALSE)</f>
        <v>MOC</v>
      </c>
    </row>
    <row r="1892" spans="1:8" ht="20.100000000000001" customHeight="1" x14ac:dyDescent="0.25">
      <c r="A1892" s="3" t="s">
        <v>81</v>
      </c>
      <c r="B1892" s="3" t="s">
        <v>348</v>
      </c>
      <c r="C1892" s="3">
        <v>2022</v>
      </c>
      <c r="D1892" s="4">
        <v>1</v>
      </c>
      <c r="E1892" s="5">
        <v>25</v>
      </c>
      <c r="F1892" s="5">
        <v>11.02</v>
      </c>
      <c r="G1892" s="3" t="str">
        <f>VLOOKUP(Registros[[#This Row],[Cliente]],Cliente_Region[],2,FALSE)</f>
        <v>Argentina</v>
      </c>
      <c r="H1892" s="3" t="str">
        <f>VLOOKUP(Registros[[#This Row],[Producto]],Producto[],2,FALSE)</f>
        <v>QUOKAR</v>
      </c>
    </row>
    <row r="1893" spans="1:8" ht="20.100000000000001" customHeight="1" x14ac:dyDescent="0.25">
      <c r="A1893" s="3" t="s">
        <v>62</v>
      </c>
      <c r="B1893" s="3" t="s">
        <v>348</v>
      </c>
      <c r="C1893" s="3">
        <v>2022</v>
      </c>
      <c r="D1893" s="4">
        <v>1</v>
      </c>
      <c r="E1893" s="5">
        <v>21</v>
      </c>
      <c r="F1893" s="5">
        <v>7.75</v>
      </c>
      <c r="G1893" s="3" t="str">
        <f>VLOOKUP(Registros[[#This Row],[Cliente]],Cliente_Region[],2,FALSE)</f>
        <v>Argentina</v>
      </c>
      <c r="H1893" s="3" t="str">
        <f>VLOOKUP(Registros[[#This Row],[Producto]],Producto[],2,FALSE)</f>
        <v>MOC</v>
      </c>
    </row>
    <row r="1894" spans="1:8" ht="20.100000000000001" customHeight="1" x14ac:dyDescent="0.25">
      <c r="A1894" s="3" t="s">
        <v>63</v>
      </c>
      <c r="B1894" s="3" t="s">
        <v>348</v>
      </c>
      <c r="C1894" s="3">
        <v>2022</v>
      </c>
      <c r="D1894" s="4">
        <v>3</v>
      </c>
      <c r="E1894" s="5">
        <v>21</v>
      </c>
      <c r="F1894" s="5">
        <v>7.49</v>
      </c>
      <c r="G1894" s="3" t="str">
        <f>VLOOKUP(Registros[[#This Row],[Cliente]],Cliente_Region[],2,FALSE)</f>
        <v>Argentina</v>
      </c>
      <c r="H1894" s="3" t="str">
        <f>VLOOKUP(Registros[[#This Row],[Producto]],Producto[],2,FALSE)</f>
        <v>SALF</v>
      </c>
    </row>
    <row r="1895" spans="1:8" ht="20.100000000000001" customHeight="1" x14ac:dyDescent="0.25">
      <c r="A1895" s="3" t="s">
        <v>334</v>
      </c>
      <c r="B1895" s="3" t="s">
        <v>355</v>
      </c>
      <c r="C1895" s="3">
        <v>2022</v>
      </c>
      <c r="D1895" s="4">
        <v>1</v>
      </c>
      <c r="E1895" s="5">
        <v>14</v>
      </c>
      <c r="F1895" s="5">
        <v>8.57</v>
      </c>
      <c r="G1895" s="3" t="str">
        <f>VLOOKUP(Registros[[#This Row],[Cliente]],Cliente_Region[],2,FALSE)</f>
        <v>Peru</v>
      </c>
      <c r="H1895" s="3" t="str">
        <f>VLOOKUP(Registros[[#This Row],[Producto]],Producto[],2,FALSE)</f>
        <v>MOC</v>
      </c>
    </row>
    <row r="1896" spans="1:8" ht="20.100000000000001" customHeight="1" x14ac:dyDescent="0.25">
      <c r="A1896" s="3" t="s">
        <v>133</v>
      </c>
      <c r="B1896" s="3" t="s">
        <v>355</v>
      </c>
      <c r="C1896" s="3">
        <v>2022</v>
      </c>
      <c r="D1896" s="4">
        <v>1</v>
      </c>
      <c r="E1896" s="5">
        <v>105.75</v>
      </c>
      <c r="F1896" s="5">
        <v>53.93</v>
      </c>
      <c r="G1896" s="3" t="str">
        <f>VLOOKUP(Registros[[#This Row],[Cliente]],Cliente_Region[],2,FALSE)</f>
        <v>Peru</v>
      </c>
      <c r="H1896" s="3" t="str">
        <f>VLOOKUP(Registros[[#This Row],[Producto]],Producto[],2,FALSE)</f>
        <v>QUOKAR</v>
      </c>
    </row>
    <row r="1897" spans="1:8" ht="20.100000000000001" customHeight="1" x14ac:dyDescent="0.25">
      <c r="A1897" s="3" t="s">
        <v>356</v>
      </c>
      <c r="B1897" s="3" t="s">
        <v>355</v>
      </c>
      <c r="C1897" s="3">
        <v>2022</v>
      </c>
      <c r="D1897" s="4">
        <v>1</v>
      </c>
      <c r="E1897" s="5">
        <v>78</v>
      </c>
      <c r="F1897" s="5">
        <v>11.86</v>
      </c>
      <c r="G1897" s="3" t="str">
        <f>VLOOKUP(Registros[[#This Row],[Cliente]],Cliente_Region[],2,FALSE)</f>
        <v>Peru</v>
      </c>
      <c r="H1897" s="3" t="str">
        <f>VLOOKUP(Registros[[#This Row],[Producto]],Producto[],2,FALSE)</f>
        <v>MOC</v>
      </c>
    </row>
    <row r="1898" spans="1:8" ht="20.100000000000001" customHeight="1" x14ac:dyDescent="0.25">
      <c r="A1898" s="3" t="s">
        <v>26</v>
      </c>
      <c r="B1898" s="3" t="s">
        <v>355</v>
      </c>
      <c r="C1898" s="3">
        <v>2022</v>
      </c>
      <c r="D1898" s="4">
        <v>1</v>
      </c>
      <c r="E1898" s="5">
        <v>125.4</v>
      </c>
      <c r="F1898" s="5">
        <v>65.62</v>
      </c>
      <c r="G1898" s="3" t="str">
        <f>VLOOKUP(Registros[[#This Row],[Cliente]],Cliente_Region[],2,FALSE)</f>
        <v>Peru</v>
      </c>
      <c r="H1898" s="3" t="str">
        <f>VLOOKUP(Registros[[#This Row],[Producto]],Producto[],2,FALSE)</f>
        <v>CHOTUS</v>
      </c>
    </row>
    <row r="1899" spans="1:8" ht="20.100000000000001" customHeight="1" x14ac:dyDescent="0.25">
      <c r="A1899" s="3" t="s">
        <v>27</v>
      </c>
      <c r="B1899" s="3" t="s">
        <v>355</v>
      </c>
      <c r="C1899" s="3">
        <v>2022</v>
      </c>
      <c r="D1899" s="4">
        <v>2</v>
      </c>
      <c r="E1899" s="5">
        <v>105.6</v>
      </c>
      <c r="F1899" s="5">
        <v>45.83</v>
      </c>
      <c r="G1899" s="3" t="str">
        <f>VLOOKUP(Registros[[#This Row],[Cliente]],Cliente_Region[],2,FALSE)</f>
        <v>Peru</v>
      </c>
      <c r="H1899" s="3" t="str">
        <f>VLOOKUP(Registros[[#This Row],[Producto]],Producto[],2,FALSE)</f>
        <v>MOC</v>
      </c>
    </row>
    <row r="1900" spans="1:8" ht="20.100000000000001" customHeight="1" x14ac:dyDescent="0.25">
      <c r="A1900" s="3" t="s">
        <v>27</v>
      </c>
      <c r="B1900" s="3" t="s">
        <v>355</v>
      </c>
      <c r="C1900" s="3">
        <v>2022</v>
      </c>
      <c r="D1900" s="4">
        <v>3</v>
      </c>
      <c r="E1900" s="5">
        <v>188</v>
      </c>
      <c r="F1900" s="5">
        <v>83.4</v>
      </c>
      <c r="G1900" s="3" t="str">
        <f>VLOOKUP(Registros[[#This Row],[Cliente]],Cliente_Region[],2,FALSE)</f>
        <v>Peru</v>
      </c>
      <c r="H1900" s="3" t="str">
        <f>VLOOKUP(Registros[[#This Row],[Producto]],Producto[],2,FALSE)</f>
        <v>MOC</v>
      </c>
    </row>
    <row r="1901" spans="1:8" ht="20.100000000000001" customHeight="1" x14ac:dyDescent="0.25">
      <c r="A1901" s="3" t="s">
        <v>27</v>
      </c>
      <c r="B1901" s="3" t="s">
        <v>355</v>
      </c>
      <c r="C1901" s="3">
        <v>2022</v>
      </c>
      <c r="D1901" s="4">
        <v>4</v>
      </c>
      <c r="E1901" s="5">
        <v>88.05</v>
      </c>
      <c r="F1901" s="5">
        <v>43.22</v>
      </c>
      <c r="G1901" s="3" t="str">
        <f>VLOOKUP(Registros[[#This Row],[Cliente]],Cliente_Region[],2,FALSE)</f>
        <v>Peru</v>
      </c>
      <c r="H1901" s="3" t="str">
        <f>VLOOKUP(Registros[[#This Row],[Producto]],Producto[],2,FALSE)</f>
        <v>MOC</v>
      </c>
    </row>
    <row r="1902" spans="1:8" ht="20.100000000000001" customHeight="1" x14ac:dyDescent="0.25">
      <c r="A1902" s="3" t="s">
        <v>27</v>
      </c>
      <c r="B1902" s="3" t="s">
        <v>355</v>
      </c>
      <c r="C1902" s="3">
        <v>2022</v>
      </c>
      <c r="D1902" s="4">
        <v>5</v>
      </c>
      <c r="E1902" s="5">
        <v>264</v>
      </c>
      <c r="F1902" s="5">
        <v>114.56</v>
      </c>
      <c r="G1902" s="3" t="str">
        <f>VLOOKUP(Registros[[#This Row],[Cliente]],Cliente_Region[],2,FALSE)</f>
        <v>Peru</v>
      </c>
      <c r="H1902" s="3" t="str">
        <f>VLOOKUP(Registros[[#This Row],[Producto]],Producto[],2,FALSE)</f>
        <v>MOC</v>
      </c>
    </row>
    <row r="1903" spans="1:8" ht="20.100000000000001" customHeight="1" x14ac:dyDescent="0.25">
      <c r="A1903" s="3" t="s">
        <v>27</v>
      </c>
      <c r="B1903" s="3" t="s">
        <v>355</v>
      </c>
      <c r="C1903" s="3">
        <v>2022</v>
      </c>
      <c r="D1903" s="4">
        <v>6</v>
      </c>
      <c r="E1903" s="5">
        <v>211.2</v>
      </c>
      <c r="F1903" s="5">
        <v>91.66</v>
      </c>
      <c r="G1903" s="3" t="str">
        <f>VLOOKUP(Registros[[#This Row],[Cliente]],Cliente_Region[],2,FALSE)</f>
        <v>Peru</v>
      </c>
      <c r="H1903" s="3" t="str">
        <f>VLOOKUP(Registros[[#This Row],[Producto]],Producto[],2,FALSE)</f>
        <v>MOC</v>
      </c>
    </row>
    <row r="1904" spans="1:8" ht="20.100000000000001" customHeight="1" x14ac:dyDescent="0.25">
      <c r="A1904" s="3" t="s">
        <v>220</v>
      </c>
      <c r="B1904" s="3" t="s">
        <v>355</v>
      </c>
      <c r="C1904" s="3">
        <v>2022</v>
      </c>
      <c r="D1904" s="4">
        <v>1</v>
      </c>
      <c r="E1904" s="5">
        <v>203.28</v>
      </c>
      <c r="F1904" s="5">
        <v>118.28</v>
      </c>
      <c r="G1904" s="3" t="str">
        <f>VLOOKUP(Registros[[#This Row],[Cliente]],Cliente_Region[],2,FALSE)</f>
        <v>Peru</v>
      </c>
      <c r="H1904" s="3" t="str">
        <f>VLOOKUP(Registros[[#This Row],[Producto]],Producto[],2,FALSE)</f>
        <v>GAMBO</v>
      </c>
    </row>
    <row r="1905" spans="1:8" ht="20.100000000000001" customHeight="1" x14ac:dyDescent="0.25">
      <c r="A1905" s="3" t="s">
        <v>221</v>
      </c>
      <c r="B1905" s="3" t="s">
        <v>355</v>
      </c>
      <c r="C1905" s="3">
        <v>2022</v>
      </c>
      <c r="D1905" s="4">
        <v>2</v>
      </c>
      <c r="E1905" s="5">
        <v>135.52000000000001</v>
      </c>
      <c r="F1905" s="5">
        <v>70.510000000000005</v>
      </c>
      <c r="G1905" s="3" t="str">
        <f>VLOOKUP(Registros[[#This Row],[Cliente]],Cliente_Region[],2,FALSE)</f>
        <v>Peru</v>
      </c>
      <c r="H1905" s="3" t="str">
        <f>VLOOKUP(Registros[[#This Row],[Producto]],Producto[],2,FALSE)</f>
        <v>DONANY</v>
      </c>
    </row>
    <row r="1906" spans="1:8" ht="20.100000000000001" customHeight="1" x14ac:dyDescent="0.25">
      <c r="A1906" s="3" t="s">
        <v>221</v>
      </c>
      <c r="B1906" s="3" t="s">
        <v>355</v>
      </c>
      <c r="C1906" s="3">
        <v>2022</v>
      </c>
      <c r="D1906" s="4">
        <v>4</v>
      </c>
      <c r="E1906" s="5">
        <v>135.52000000000001</v>
      </c>
      <c r="F1906" s="5">
        <v>69.88</v>
      </c>
      <c r="G1906" s="3" t="str">
        <f>VLOOKUP(Registros[[#This Row],[Cliente]],Cliente_Region[],2,FALSE)</f>
        <v>Peru</v>
      </c>
      <c r="H1906" s="3" t="str">
        <f>VLOOKUP(Registros[[#This Row],[Producto]],Producto[],2,FALSE)</f>
        <v>DONANY</v>
      </c>
    </row>
    <row r="1907" spans="1:8" ht="20.100000000000001" customHeight="1" x14ac:dyDescent="0.25">
      <c r="A1907" s="3" t="s">
        <v>28</v>
      </c>
      <c r="B1907" s="3" t="s">
        <v>355</v>
      </c>
      <c r="C1907" s="3">
        <v>2022</v>
      </c>
      <c r="D1907" s="4">
        <v>1</v>
      </c>
      <c r="E1907" s="5">
        <v>89</v>
      </c>
      <c r="F1907" s="5">
        <v>-20.96</v>
      </c>
      <c r="G1907" s="3" t="str">
        <f>VLOOKUP(Registros[[#This Row],[Cliente]],Cliente_Region[],2,FALSE)</f>
        <v>Peru</v>
      </c>
      <c r="H1907" s="3" t="str">
        <f>VLOOKUP(Registros[[#This Row],[Producto]],Producto[],2,FALSE)</f>
        <v>SALF</v>
      </c>
    </row>
    <row r="1908" spans="1:8" ht="20.100000000000001" customHeight="1" x14ac:dyDescent="0.25">
      <c r="A1908" s="3" t="s">
        <v>29</v>
      </c>
      <c r="B1908" s="3" t="s">
        <v>355</v>
      </c>
      <c r="C1908" s="3">
        <v>2022</v>
      </c>
      <c r="D1908" s="4">
        <v>2</v>
      </c>
      <c r="E1908" s="5">
        <v>66.75</v>
      </c>
      <c r="F1908" s="5">
        <v>-13.52</v>
      </c>
      <c r="G1908" s="3" t="str">
        <f>VLOOKUP(Registros[[#This Row],[Cliente]],Cliente_Region[],2,FALSE)</f>
        <v>Peru</v>
      </c>
      <c r="H1908" s="3" t="str">
        <f>VLOOKUP(Registros[[#This Row],[Producto]],Producto[],2,FALSE)</f>
        <v>LAX</v>
      </c>
    </row>
    <row r="1909" spans="1:8" ht="20.100000000000001" customHeight="1" x14ac:dyDescent="0.25">
      <c r="A1909" s="3" t="s">
        <v>29</v>
      </c>
      <c r="B1909" s="3" t="s">
        <v>355</v>
      </c>
      <c r="C1909" s="3">
        <v>2022</v>
      </c>
      <c r="D1909" s="4">
        <v>3</v>
      </c>
      <c r="E1909" s="5">
        <v>93</v>
      </c>
      <c r="F1909" s="5">
        <v>33.340000000000003</v>
      </c>
      <c r="G1909" s="3" t="str">
        <f>VLOOKUP(Registros[[#This Row],[Cliente]],Cliente_Region[],2,FALSE)</f>
        <v>Peru</v>
      </c>
      <c r="H1909" s="3" t="str">
        <f>VLOOKUP(Registros[[#This Row],[Producto]],Producto[],2,FALSE)</f>
        <v>LAX</v>
      </c>
    </row>
    <row r="1910" spans="1:8" ht="20.100000000000001" customHeight="1" x14ac:dyDescent="0.25">
      <c r="A1910" s="3" t="s">
        <v>29</v>
      </c>
      <c r="B1910" s="3" t="s">
        <v>355</v>
      </c>
      <c r="C1910" s="3">
        <v>2022</v>
      </c>
      <c r="D1910" s="4">
        <v>4</v>
      </c>
      <c r="E1910" s="5">
        <v>112.25</v>
      </c>
      <c r="F1910" s="5">
        <v>21.27</v>
      </c>
      <c r="G1910" s="3" t="str">
        <f>VLOOKUP(Registros[[#This Row],[Cliente]],Cliente_Region[],2,FALSE)</f>
        <v>Peru</v>
      </c>
      <c r="H1910" s="3" t="str">
        <f>VLOOKUP(Registros[[#This Row],[Producto]],Producto[],2,FALSE)</f>
        <v>LAX</v>
      </c>
    </row>
    <row r="1911" spans="1:8" ht="20.100000000000001" customHeight="1" x14ac:dyDescent="0.25">
      <c r="A1911" s="3" t="s">
        <v>29</v>
      </c>
      <c r="B1911" s="3" t="s">
        <v>355</v>
      </c>
      <c r="C1911" s="3">
        <v>2022</v>
      </c>
      <c r="D1911" s="4">
        <v>5</v>
      </c>
      <c r="E1911" s="5">
        <v>45</v>
      </c>
      <c r="F1911" s="5">
        <v>14.64</v>
      </c>
      <c r="G1911" s="3" t="str">
        <f>VLOOKUP(Registros[[#This Row],[Cliente]],Cliente_Region[],2,FALSE)</f>
        <v>Peru</v>
      </c>
      <c r="H1911" s="3" t="str">
        <f>VLOOKUP(Registros[[#This Row],[Producto]],Producto[],2,FALSE)</f>
        <v>LAX</v>
      </c>
    </row>
    <row r="1912" spans="1:8" ht="20.100000000000001" customHeight="1" x14ac:dyDescent="0.25">
      <c r="A1912" s="3" t="s">
        <v>29</v>
      </c>
      <c r="B1912" s="3" t="s">
        <v>355</v>
      </c>
      <c r="C1912" s="3">
        <v>2022</v>
      </c>
      <c r="D1912" s="4">
        <v>6</v>
      </c>
      <c r="E1912" s="5">
        <v>22.25</v>
      </c>
      <c r="F1912" s="5">
        <v>-7.68</v>
      </c>
      <c r="G1912" s="3" t="str">
        <f>VLOOKUP(Registros[[#This Row],[Cliente]],Cliente_Region[],2,FALSE)</f>
        <v>Peru</v>
      </c>
      <c r="H1912" s="3" t="str">
        <f>VLOOKUP(Registros[[#This Row],[Producto]],Producto[],2,FALSE)</f>
        <v>LAX</v>
      </c>
    </row>
    <row r="1913" spans="1:8" ht="20.100000000000001" customHeight="1" x14ac:dyDescent="0.25">
      <c r="A1913" s="3" t="s">
        <v>30</v>
      </c>
      <c r="B1913" s="3" t="s">
        <v>355</v>
      </c>
      <c r="C1913" s="3">
        <v>2022</v>
      </c>
      <c r="D1913" s="4">
        <v>3</v>
      </c>
      <c r="E1913" s="5">
        <v>26.4</v>
      </c>
      <c r="F1913" s="5">
        <v>22.39</v>
      </c>
      <c r="G1913" s="3" t="str">
        <f>VLOOKUP(Registros[[#This Row],[Cliente]],Cliente_Region[],2,FALSE)</f>
        <v>Peru</v>
      </c>
      <c r="H1913" s="3" t="str">
        <f>VLOOKUP(Registros[[#This Row],[Producto]],Producto[],2,FALSE)</f>
        <v>CHOTUS</v>
      </c>
    </row>
    <row r="1914" spans="1:8" ht="20.100000000000001" customHeight="1" x14ac:dyDescent="0.25">
      <c r="A1914" s="3" t="s">
        <v>31</v>
      </c>
      <c r="B1914" s="3" t="s">
        <v>355</v>
      </c>
      <c r="C1914" s="3">
        <v>2022</v>
      </c>
      <c r="D1914" s="4">
        <v>5</v>
      </c>
      <c r="E1914" s="5">
        <v>26.4</v>
      </c>
      <c r="F1914" s="5">
        <v>22.39</v>
      </c>
      <c r="G1914" s="3" t="str">
        <f>VLOOKUP(Registros[[#This Row],[Cliente]],Cliente_Region[],2,FALSE)</f>
        <v>Peru</v>
      </c>
      <c r="H1914" s="3" t="str">
        <f>VLOOKUP(Registros[[#This Row],[Producto]],Producto[],2,FALSE)</f>
        <v>CHOTUS</v>
      </c>
    </row>
    <row r="1915" spans="1:8" ht="20.100000000000001" customHeight="1" x14ac:dyDescent="0.25">
      <c r="A1915" s="3" t="s">
        <v>31</v>
      </c>
      <c r="B1915" s="3" t="s">
        <v>355</v>
      </c>
      <c r="C1915" s="3">
        <v>2022</v>
      </c>
      <c r="D1915" s="4">
        <v>6</v>
      </c>
      <c r="E1915" s="5">
        <v>26.4</v>
      </c>
      <c r="F1915" s="5">
        <v>22.39</v>
      </c>
      <c r="G1915" s="3" t="str">
        <f>VLOOKUP(Registros[[#This Row],[Cliente]],Cliente_Region[],2,FALSE)</f>
        <v>Peru</v>
      </c>
      <c r="H1915" s="3" t="str">
        <f>VLOOKUP(Registros[[#This Row],[Producto]],Producto[],2,FALSE)</f>
        <v>CHOTUS</v>
      </c>
    </row>
    <row r="1916" spans="1:8" ht="20.100000000000001" customHeight="1" x14ac:dyDescent="0.25">
      <c r="A1916" s="3" t="s">
        <v>32</v>
      </c>
      <c r="B1916" s="3" t="s">
        <v>355</v>
      </c>
      <c r="C1916" s="3">
        <v>2022</v>
      </c>
      <c r="D1916" s="4">
        <v>1</v>
      </c>
      <c r="E1916" s="5">
        <v>0</v>
      </c>
      <c r="F1916" s="5">
        <v>0</v>
      </c>
      <c r="G1916" s="3" t="str">
        <f>VLOOKUP(Registros[[#This Row],[Cliente]],Cliente_Region[],2,FALSE)</f>
        <v>Peru</v>
      </c>
      <c r="H1916" s="3" t="str">
        <f>VLOOKUP(Registros[[#This Row],[Producto]],Producto[],2,FALSE)</f>
        <v>GAMBO</v>
      </c>
    </row>
    <row r="1917" spans="1:8" ht="20.100000000000001" customHeight="1" x14ac:dyDescent="0.25">
      <c r="A1917" s="3" t="s">
        <v>33</v>
      </c>
      <c r="B1917" s="3" t="s">
        <v>355</v>
      </c>
      <c r="C1917" s="3">
        <v>2022</v>
      </c>
      <c r="D1917" s="4">
        <v>2</v>
      </c>
      <c r="E1917" s="5">
        <v>96</v>
      </c>
      <c r="F1917" s="5">
        <v>8.69</v>
      </c>
      <c r="G1917" s="3" t="str">
        <f>VLOOKUP(Registros[[#This Row],[Cliente]],Cliente_Region[],2,FALSE)</f>
        <v>Peru</v>
      </c>
      <c r="H1917" s="3" t="str">
        <f>VLOOKUP(Registros[[#This Row],[Producto]],Producto[],2,FALSE)</f>
        <v>GAMBO</v>
      </c>
    </row>
    <row r="1918" spans="1:8" ht="20.100000000000001" customHeight="1" x14ac:dyDescent="0.25">
      <c r="A1918" s="3" t="s">
        <v>33</v>
      </c>
      <c r="B1918" s="3" t="s">
        <v>355</v>
      </c>
      <c r="C1918" s="3">
        <v>2022</v>
      </c>
      <c r="D1918" s="4">
        <v>4</v>
      </c>
      <c r="E1918" s="5">
        <v>64</v>
      </c>
      <c r="F1918" s="5">
        <v>4.0199999999999996</v>
      </c>
      <c r="G1918" s="3" t="str">
        <f>VLOOKUP(Registros[[#This Row],[Cliente]],Cliente_Region[],2,FALSE)</f>
        <v>Peru</v>
      </c>
      <c r="H1918" s="3" t="str">
        <f>VLOOKUP(Registros[[#This Row],[Producto]],Producto[],2,FALSE)</f>
        <v>GAMBO</v>
      </c>
    </row>
    <row r="1919" spans="1:8" ht="20.100000000000001" customHeight="1" x14ac:dyDescent="0.25">
      <c r="A1919" s="3" t="s">
        <v>33</v>
      </c>
      <c r="B1919" s="3" t="s">
        <v>355</v>
      </c>
      <c r="C1919" s="3">
        <v>2022</v>
      </c>
      <c r="D1919" s="4">
        <v>6</v>
      </c>
      <c r="E1919" s="5">
        <v>32</v>
      </c>
      <c r="F1919" s="5">
        <v>1.71</v>
      </c>
      <c r="G1919" s="3" t="str">
        <f>VLOOKUP(Registros[[#This Row],[Cliente]],Cliente_Region[],2,FALSE)</f>
        <v>Peru</v>
      </c>
      <c r="H1919" s="3" t="str">
        <f>VLOOKUP(Registros[[#This Row],[Producto]],Producto[],2,FALSE)</f>
        <v>GAMBO</v>
      </c>
    </row>
    <row r="1920" spans="1:8" ht="20.100000000000001" customHeight="1" x14ac:dyDescent="0.25">
      <c r="A1920" s="3" t="s">
        <v>34</v>
      </c>
      <c r="B1920" s="3" t="s">
        <v>355</v>
      </c>
      <c r="C1920" s="3">
        <v>2022</v>
      </c>
      <c r="D1920" s="4">
        <v>3</v>
      </c>
      <c r="E1920" s="5">
        <v>25.85</v>
      </c>
      <c r="F1920" s="5">
        <v>21.97</v>
      </c>
      <c r="G1920" s="3" t="str">
        <f>VLOOKUP(Registros[[#This Row],[Cliente]],Cliente_Region[],2,FALSE)</f>
        <v>Peru</v>
      </c>
      <c r="H1920" s="3" t="str">
        <f>VLOOKUP(Registros[[#This Row],[Producto]],Producto[],2,FALSE)</f>
        <v>DONANY</v>
      </c>
    </row>
    <row r="1921" spans="1:8" ht="20.100000000000001" customHeight="1" x14ac:dyDescent="0.25">
      <c r="A1921" s="3" t="s">
        <v>35</v>
      </c>
      <c r="B1921" s="3" t="s">
        <v>355</v>
      </c>
      <c r="C1921" s="3">
        <v>2022</v>
      </c>
      <c r="D1921" s="4">
        <v>5</v>
      </c>
      <c r="E1921" s="5">
        <v>25.85</v>
      </c>
      <c r="F1921" s="5">
        <v>21.97</v>
      </c>
      <c r="G1921" s="3" t="str">
        <f>VLOOKUP(Registros[[#This Row],[Cliente]],Cliente_Region[],2,FALSE)</f>
        <v>Peru</v>
      </c>
      <c r="H1921" s="3" t="str">
        <f>VLOOKUP(Registros[[#This Row],[Producto]],Producto[],2,FALSE)</f>
        <v>MOC</v>
      </c>
    </row>
    <row r="1922" spans="1:8" ht="20.100000000000001" customHeight="1" x14ac:dyDescent="0.25">
      <c r="A1922" s="3" t="s">
        <v>290</v>
      </c>
      <c r="B1922" s="3" t="s">
        <v>355</v>
      </c>
      <c r="C1922" s="3">
        <v>2022</v>
      </c>
      <c r="D1922" s="4">
        <v>1</v>
      </c>
      <c r="E1922" s="5">
        <v>83.5</v>
      </c>
      <c r="F1922" s="5">
        <v>48.94</v>
      </c>
      <c r="G1922" s="3" t="str">
        <f>VLOOKUP(Registros[[#This Row],[Cliente]],Cliente_Region[],2,FALSE)</f>
        <v>Peru</v>
      </c>
      <c r="H1922" s="3" t="str">
        <f>VLOOKUP(Registros[[#This Row],[Producto]],Producto[],2,FALSE)</f>
        <v>QUOKAR</v>
      </c>
    </row>
    <row r="1923" spans="1:8" ht="20.100000000000001" customHeight="1" x14ac:dyDescent="0.25">
      <c r="A1923" s="3" t="s">
        <v>291</v>
      </c>
      <c r="B1923" s="3" t="s">
        <v>355</v>
      </c>
      <c r="C1923" s="3">
        <v>2022</v>
      </c>
      <c r="D1923" s="4">
        <v>2</v>
      </c>
      <c r="E1923" s="5">
        <v>27.5</v>
      </c>
      <c r="F1923" s="5">
        <v>15.98</v>
      </c>
      <c r="G1923" s="3" t="str">
        <f>VLOOKUP(Registros[[#This Row],[Cliente]],Cliente_Region[],2,FALSE)</f>
        <v>Peru</v>
      </c>
      <c r="H1923" s="3" t="str">
        <f>VLOOKUP(Registros[[#This Row],[Producto]],Producto[],2,FALSE)</f>
        <v>GAMBO</v>
      </c>
    </row>
    <row r="1924" spans="1:8" ht="20.100000000000001" customHeight="1" x14ac:dyDescent="0.25">
      <c r="A1924" s="3" t="s">
        <v>291</v>
      </c>
      <c r="B1924" s="3" t="s">
        <v>355</v>
      </c>
      <c r="C1924" s="3">
        <v>2022</v>
      </c>
      <c r="D1924" s="4">
        <v>3</v>
      </c>
      <c r="E1924" s="5">
        <v>56</v>
      </c>
      <c r="F1924" s="5">
        <v>32.96</v>
      </c>
      <c r="G1924" s="3" t="str">
        <f>VLOOKUP(Registros[[#This Row],[Cliente]],Cliente_Region[],2,FALSE)</f>
        <v>Peru</v>
      </c>
      <c r="H1924" s="3" t="str">
        <f>VLOOKUP(Registros[[#This Row],[Producto]],Producto[],2,FALSE)</f>
        <v>GAMBO</v>
      </c>
    </row>
    <row r="1925" spans="1:8" ht="20.100000000000001" customHeight="1" x14ac:dyDescent="0.25">
      <c r="A1925" s="3" t="s">
        <v>291</v>
      </c>
      <c r="B1925" s="3" t="s">
        <v>355</v>
      </c>
      <c r="C1925" s="3">
        <v>2022</v>
      </c>
      <c r="D1925" s="4">
        <v>4</v>
      </c>
      <c r="E1925" s="5">
        <v>56</v>
      </c>
      <c r="F1925" s="5">
        <v>32.96</v>
      </c>
      <c r="G1925" s="3" t="str">
        <f>VLOOKUP(Registros[[#This Row],[Cliente]],Cliente_Region[],2,FALSE)</f>
        <v>Peru</v>
      </c>
      <c r="H1925" s="3" t="str">
        <f>VLOOKUP(Registros[[#This Row],[Producto]],Producto[],2,FALSE)</f>
        <v>GAMBO</v>
      </c>
    </row>
    <row r="1926" spans="1:8" ht="20.100000000000001" customHeight="1" x14ac:dyDescent="0.25">
      <c r="A1926" s="3" t="s">
        <v>291</v>
      </c>
      <c r="B1926" s="3" t="s">
        <v>355</v>
      </c>
      <c r="C1926" s="3">
        <v>2022</v>
      </c>
      <c r="D1926" s="4">
        <v>5</v>
      </c>
      <c r="E1926" s="5">
        <v>70</v>
      </c>
      <c r="F1926" s="5">
        <v>41.2</v>
      </c>
      <c r="G1926" s="3" t="str">
        <f>VLOOKUP(Registros[[#This Row],[Cliente]],Cliente_Region[],2,FALSE)</f>
        <v>Peru</v>
      </c>
      <c r="H1926" s="3" t="str">
        <f>VLOOKUP(Registros[[#This Row],[Producto]],Producto[],2,FALSE)</f>
        <v>GAMBO</v>
      </c>
    </row>
    <row r="1927" spans="1:8" ht="20.100000000000001" customHeight="1" x14ac:dyDescent="0.25">
      <c r="A1927" s="3" t="s">
        <v>291</v>
      </c>
      <c r="B1927" s="3" t="s">
        <v>355</v>
      </c>
      <c r="C1927" s="3">
        <v>2022</v>
      </c>
      <c r="D1927" s="4">
        <v>6</v>
      </c>
      <c r="E1927" s="5">
        <v>56</v>
      </c>
      <c r="F1927" s="5">
        <v>32.96</v>
      </c>
      <c r="G1927" s="3" t="str">
        <f>VLOOKUP(Registros[[#This Row],[Cliente]],Cliente_Region[],2,FALSE)</f>
        <v>Peru</v>
      </c>
      <c r="H1927" s="3" t="str">
        <f>VLOOKUP(Registros[[#This Row],[Producto]],Producto[],2,FALSE)</f>
        <v>GAMBO</v>
      </c>
    </row>
    <row r="1928" spans="1:8" ht="20.100000000000001" customHeight="1" x14ac:dyDescent="0.25">
      <c r="A1928" s="3" t="s">
        <v>11</v>
      </c>
      <c r="B1928" s="3" t="s">
        <v>355</v>
      </c>
      <c r="C1928" s="3">
        <v>2022</v>
      </c>
      <c r="D1928" s="4">
        <v>1</v>
      </c>
      <c r="E1928" s="5">
        <v>60</v>
      </c>
      <c r="F1928" s="5">
        <v>30.1</v>
      </c>
      <c r="G1928" s="3" t="str">
        <f>VLOOKUP(Registros[[#This Row],[Cliente]],Cliente_Region[],2,FALSE)</f>
        <v>Peru</v>
      </c>
      <c r="H1928" s="3" t="str">
        <f>VLOOKUP(Registros[[#This Row],[Producto]],Producto[],2,FALSE)</f>
        <v>DONANY</v>
      </c>
    </row>
    <row r="1929" spans="1:8" ht="20.100000000000001" customHeight="1" x14ac:dyDescent="0.25">
      <c r="A1929" s="3" t="s">
        <v>292</v>
      </c>
      <c r="B1929" s="3" t="s">
        <v>355</v>
      </c>
      <c r="C1929" s="3">
        <v>2022</v>
      </c>
      <c r="D1929" s="4">
        <v>2</v>
      </c>
      <c r="E1929" s="5">
        <v>37.14</v>
      </c>
      <c r="F1929" s="5">
        <v>19.2</v>
      </c>
      <c r="G1929" s="3" t="str">
        <f>VLOOKUP(Registros[[#This Row],[Cliente]],Cliente_Region[],2,FALSE)</f>
        <v>Peru</v>
      </c>
      <c r="H1929" s="3" t="str">
        <f>VLOOKUP(Registros[[#This Row],[Producto]],Producto[],2,FALSE)</f>
        <v>QUOKAR</v>
      </c>
    </row>
    <row r="1930" spans="1:8" ht="20.100000000000001" customHeight="1" x14ac:dyDescent="0.25">
      <c r="A1930" s="3" t="s">
        <v>292</v>
      </c>
      <c r="B1930" s="3" t="s">
        <v>355</v>
      </c>
      <c r="C1930" s="3">
        <v>2022</v>
      </c>
      <c r="D1930" s="4">
        <v>3</v>
      </c>
      <c r="E1930" s="5">
        <v>48</v>
      </c>
      <c r="F1930" s="5">
        <v>24.08</v>
      </c>
      <c r="G1930" s="3" t="str">
        <f>VLOOKUP(Registros[[#This Row],[Cliente]],Cliente_Region[],2,FALSE)</f>
        <v>Peru</v>
      </c>
      <c r="H1930" s="3" t="str">
        <f>VLOOKUP(Registros[[#This Row],[Producto]],Producto[],2,FALSE)</f>
        <v>QUOKAR</v>
      </c>
    </row>
    <row r="1931" spans="1:8" ht="20.100000000000001" customHeight="1" x14ac:dyDescent="0.25">
      <c r="A1931" s="3" t="s">
        <v>292</v>
      </c>
      <c r="B1931" s="3" t="s">
        <v>355</v>
      </c>
      <c r="C1931" s="3">
        <v>2022</v>
      </c>
      <c r="D1931" s="4">
        <v>4</v>
      </c>
      <c r="E1931" s="5">
        <v>37.380000000000003</v>
      </c>
      <c r="F1931" s="5">
        <v>19.45</v>
      </c>
      <c r="G1931" s="3" t="str">
        <f>VLOOKUP(Registros[[#This Row],[Cliente]],Cliente_Region[],2,FALSE)</f>
        <v>Peru</v>
      </c>
      <c r="H1931" s="3" t="str">
        <f>VLOOKUP(Registros[[#This Row],[Producto]],Producto[],2,FALSE)</f>
        <v>QUOKAR</v>
      </c>
    </row>
    <row r="1932" spans="1:8" ht="20.100000000000001" customHeight="1" x14ac:dyDescent="0.25">
      <c r="A1932" s="3" t="s">
        <v>293</v>
      </c>
      <c r="B1932" s="3" t="s">
        <v>355</v>
      </c>
      <c r="C1932" s="3">
        <v>2022</v>
      </c>
      <c r="D1932" s="4">
        <v>1</v>
      </c>
      <c r="E1932" s="5">
        <v>76</v>
      </c>
      <c r="F1932" s="5">
        <v>17.27</v>
      </c>
      <c r="G1932" s="3" t="str">
        <f>VLOOKUP(Registros[[#This Row],[Cliente]],Cliente_Region[],2,FALSE)</f>
        <v>Peru</v>
      </c>
      <c r="H1932" s="3" t="str">
        <f>VLOOKUP(Registros[[#This Row],[Producto]],Producto[],2,FALSE)</f>
        <v>QUOKAR</v>
      </c>
    </row>
    <row r="1933" spans="1:8" ht="20.100000000000001" customHeight="1" x14ac:dyDescent="0.25">
      <c r="A1933" s="3" t="s">
        <v>294</v>
      </c>
      <c r="B1933" s="3" t="s">
        <v>355</v>
      </c>
      <c r="C1933" s="3">
        <v>2022</v>
      </c>
      <c r="D1933" s="4">
        <v>2</v>
      </c>
      <c r="E1933" s="5">
        <v>61.27</v>
      </c>
      <c r="F1933" s="5">
        <v>12.33</v>
      </c>
      <c r="G1933" s="3" t="str">
        <f>VLOOKUP(Registros[[#This Row],[Cliente]],Cliente_Region[],2,FALSE)</f>
        <v>Peru</v>
      </c>
      <c r="H1933" s="3" t="str">
        <f>VLOOKUP(Registros[[#This Row],[Producto]],Producto[],2,FALSE)</f>
        <v>CHOTUS</v>
      </c>
    </row>
    <row r="1934" spans="1:8" ht="20.100000000000001" customHeight="1" x14ac:dyDescent="0.25">
      <c r="A1934" s="3" t="s">
        <v>294</v>
      </c>
      <c r="B1934" s="3" t="s">
        <v>355</v>
      </c>
      <c r="C1934" s="3">
        <v>2022</v>
      </c>
      <c r="D1934" s="4">
        <v>3</v>
      </c>
      <c r="E1934" s="5">
        <v>52</v>
      </c>
      <c r="F1934" s="5">
        <v>12.99</v>
      </c>
      <c r="G1934" s="3" t="str">
        <f>VLOOKUP(Registros[[#This Row],[Cliente]],Cliente_Region[],2,FALSE)</f>
        <v>Peru</v>
      </c>
      <c r="H1934" s="3" t="str">
        <f>VLOOKUP(Registros[[#This Row],[Producto]],Producto[],2,FALSE)</f>
        <v>CHOTUS</v>
      </c>
    </row>
    <row r="1935" spans="1:8" ht="20.100000000000001" customHeight="1" x14ac:dyDescent="0.25">
      <c r="A1935" s="3" t="s">
        <v>294</v>
      </c>
      <c r="B1935" s="3" t="s">
        <v>355</v>
      </c>
      <c r="C1935" s="3">
        <v>2022</v>
      </c>
      <c r="D1935" s="4">
        <v>4</v>
      </c>
      <c r="E1935" s="5">
        <v>50.76</v>
      </c>
      <c r="F1935" s="5">
        <v>12.44</v>
      </c>
      <c r="G1935" s="3" t="str">
        <f>VLOOKUP(Registros[[#This Row],[Cliente]],Cliente_Region[],2,FALSE)</f>
        <v>Peru</v>
      </c>
      <c r="H1935" s="3" t="str">
        <f>VLOOKUP(Registros[[#This Row],[Producto]],Producto[],2,FALSE)</f>
        <v>CHOTUS</v>
      </c>
    </row>
    <row r="1936" spans="1:8" ht="20.100000000000001" customHeight="1" x14ac:dyDescent="0.25">
      <c r="A1936" s="3" t="s">
        <v>294</v>
      </c>
      <c r="B1936" s="3" t="s">
        <v>355</v>
      </c>
      <c r="C1936" s="3">
        <v>2022</v>
      </c>
      <c r="D1936" s="4">
        <v>5</v>
      </c>
      <c r="E1936" s="5">
        <v>104</v>
      </c>
      <c r="F1936" s="5">
        <v>25.99</v>
      </c>
      <c r="G1936" s="3" t="str">
        <f>VLOOKUP(Registros[[#This Row],[Cliente]],Cliente_Region[],2,FALSE)</f>
        <v>Peru</v>
      </c>
      <c r="H1936" s="3" t="str">
        <f>VLOOKUP(Registros[[#This Row],[Producto]],Producto[],2,FALSE)</f>
        <v>CHOTUS</v>
      </c>
    </row>
    <row r="1937" spans="1:8" ht="20.100000000000001" customHeight="1" x14ac:dyDescent="0.25">
      <c r="A1937" s="3" t="s">
        <v>294</v>
      </c>
      <c r="B1937" s="3" t="s">
        <v>355</v>
      </c>
      <c r="C1937" s="3">
        <v>2022</v>
      </c>
      <c r="D1937" s="4">
        <v>6</v>
      </c>
      <c r="E1937" s="5">
        <v>65</v>
      </c>
      <c r="F1937" s="5">
        <v>16</v>
      </c>
      <c r="G1937" s="3" t="str">
        <f>VLOOKUP(Registros[[#This Row],[Cliente]],Cliente_Region[],2,FALSE)</f>
        <v>Peru</v>
      </c>
      <c r="H1937" s="3" t="str">
        <f>VLOOKUP(Registros[[#This Row],[Producto]],Producto[],2,FALSE)</f>
        <v>CHOTUS</v>
      </c>
    </row>
    <row r="1938" spans="1:8" ht="20.100000000000001" customHeight="1" x14ac:dyDescent="0.25">
      <c r="A1938" s="3" t="s">
        <v>310</v>
      </c>
      <c r="B1938" s="3" t="s">
        <v>355</v>
      </c>
      <c r="C1938" s="3">
        <v>2022</v>
      </c>
      <c r="D1938" s="4">
        <v>1</v>
      </c>
      <c r="E1938" s="5">
        <v>66</v>
      </c>
      <c r="F1938" s="5">
        <v>43.92</v>
      </c>
      <c r="G1938" s="3" t="str">
        <f>VLOOKUP(Registros[[#This Row],[Cliente]],Cliente_Region[],2,FALSE)</f>
        <v>Peru</v>
      </c>
      <c r="H1938" s="3" t="str">
        <f>VLOOKUP(Registros[[#This Row],[Producto]],Producto[],2,FALSE)</f>
        <v>DONANY</v>
      </c>
    </row>
    <row r="1939" spans="1:8" ht="20.100000000000001" customHeight="1" x14ac:dyDescent="0.25">
      <c r="A1939" s="3" t="s">
        <v>311</v>
      </c>
      <c r="B1939" s="3" t="s">
        <v>355</v>
      </c>
      <c r="C1939" s="3">
        <v>2022</v>
      </c>
      <c r="D1939" s="4">
        <v>2</v>
      </c>
      <c r="E1939" s="5">
        <v>63.44</v>
      </c>
      <c r="F1939" s="5">
        <v>41.36</v>
      </c>
      <c r="G1939" s="3" t="str">
        <f>VLOOKUP(Registros[[#This Row],[Cliente]],Cliente_Region[],2,FALSE)</f>
        <v>Peru</v>
      </c>
      <c r="H1939" s="3" t="str">
        <f>VLOOKUP(Registros[[#This Row],[Producto]],Producto[],2,FALSE)</f>
        <v>CHOTUS</v>
      </c>
    </row>
    <row r="1940" spans="1:8" ht="20.100000000000001" customHeight="1" x14ac:dyDescent="0.25">
      <c r="A1940" s="3" t="s">
        <v>311</v>
      </c>
      <c r="B1940" s="3" t="s">
        <v>355</v>
      </c>
      <c r="C1940" s="3">
        <v>2022</v>
      </c>
      <c r="D1940" s="4">
        <v>3</v>
      </c>
      <c r="E1940" s="5">
        <v>49.5</v>
      </c>
      <c r="F1940" s="5">
        <v>32.94</v>
      </c>
      <c r="G1940" s="3" t="str">
        <f>VLOOKUP(Registros[[#This Row],[Cliente]],Cliente_Region[],2,FALSE)</f>
        <v>Peru</v>
      </c>
      <c r="H1940" s="3" t="str">
        <f>VLOOKUP(Registros[[#This Row],[Producto]],Producto[],2,FALSE)</f>
        <v>CHOTUS</v>
      </c>
    </row>
    <row r="1941" spans="1:8" ht="20.100000000000001" customHeight="1" x14ac:dyDescent="0.25">
      <c r="A1941" s="3" t="s">
        <v>311</v>
      </c>
      <c r="B1941" s="3" t="s">
        <v>355</v>
      </c>
      <c r="C1941" s="3">
        <v>2022</v>
      </c>
      <c r="D1941" s="4">
        <v>4</v>
      </c>
      <c r="E1941" s="5">
        <v>66</v>
      </c>
      <c r="F1941" s="5">
        <v>43.92</v>
      </c>
      <c r="G1941" s="3" t="str">
        <f>VLOOKUP(Registros[[#This Row],[Cliente]],Cliente_Region[],2,FALSE)</f>
        <v>Peru</v>
      </c>
      <c r="H1941" s="3" t="str">
        <f>VLOOKUP(Registros[[#This Row],[Producto]],Producto[],2,FALSE)</f>
        <v>CHOTUS</v>
      </c>
    </row>
    <row r="1942" spans="1:8" ht="20.100000000000001" customHeight="1" x14ac:dyDescent="0.25">
      <c r="A1942" s="3" t="s">
        <v>311</v>
      </c>
      <c r="B1942" s="3" t="s">
        <v>355</v>
      </c>
      <c r="C1942" s="3">
        <v>2022</v>
      </c>
      <c r="D1942" s="4">
        <v>5</v>
      </c>
      <c r="E1942" s="5">
        <v>82.5</v>
      </c>
      <c r="F1942" s="5">
        <v>54.9</v>
      </c>
      <c r="G1942" s="3" t="str">
        <f>VLOOKUP(Registros[[#This Row],[Cliente]],Cliente_Region[],2,FALSE)</f>
        <v>Peru</v>
      </c>
      <c r="H1942" s="3" t="str">
        <f>VLOOKUP(Registros[[#This Row],[Producto]],Producto[],2,FALSE)</f>
        <v>CHOTUS</v>
      </c>
    </row>
    <row r="1943" spans="1:8" ht="20.100000000000001" customHeight="1" x14ac:dyDescent="0.25">
      <c r="A1943" s="3" t="s">
        <v>311</v>
      </c>
      <c r="B1943" s="3" t="s">
        <v>355</v>
      </c>
      <c r="C1943" s="3">
        <v>2022</v>
      </c>
      <c r="D1943" s="4">
        <v>6</v>
      </c>
      <c r="E1943" s="5">
        <v>49.5</v>
      </c>
      <c r="F1943" s="5">
        <v>32.94</v>
      </c>
      <c r="G1943" s="3" t="str">
        <f>VLOOKUP(Registros[[#This Row],[Cliente]],Cliente_Region[],2,FALSE)</f>
        <v>Peru</v>
      </c>
      <c r="H1943" s="3" t="str">
        <f>VLOOKUP(Registros[[#This Row],[Producto]],Producto[],2,FALSE)</f>
        <v>CHOTUS</v>
      </c>
    </row>
    <row r="1944" spans="1:8" ht="20.100000000000001" customHeight="1" x14ac:dyDescent="0.25">
      <c r="A1944" s="3" t="s">
        <v>301</v>
      </c>
      <c r="B1944" s="3" t="s">
        <v>355</v>
      </c>
      <c r="C1944" s="3">
        <v>2022</v>
      </c>
      <c r="D1944" s="4">
        <v>1</v>
      </c>
      <c r="E1944" s="5">
        <v>100</v>
      </c>
      <c r="F1944" s="5">
        <v>54.31</v>
      </c>
      <c r="G1944" s="3" t="str">
        <f>VLOOKUP(Registros[[#This Row],[Cliente]],Cliente_Region[],2,FALSE)</f>
        <v>Peru</v>
      </c>
      <c r="H1944" s="3" t="str">
        <f>VLOOKUP(Registros[[#This Row],[Producto]],Producto[],2,FALSE)</f>
        <v>CHOTUS</v>
      </c>
    </row>
    <row r="1945" spans="1:8" ht="20.100000000000001" customHeight="1" x14ac:dyDescent="0.25">
      <c r="A1945" s="3" t="s">
        <v>302</v>
      </c>
      <c r="B1945" s="3" t="s">
        <v>355</v>
      </c>
      <c r="C1945" s="3">
        <v>2022</v>
      </c>
      <c r="D1945" s="4">
        <v>2</v>
      </c>
      <c r="E1945" s="5">
        <v>60</v>
      </c>
      <c r="F1945" s="5">
        <v>32.58</v>
      </c>
      <c r="G1945" s="3" t="str">
        <f>VLOOKUP(Registros[[#This Row],[Cliente]],Cliente_Region[],2,FALSE)</f>
        <v>Peru</v>
      </c>
      <c r="H1945" s="3" t="str">
        <f>VLOOKUP(Registros[[#This Row],[Producto]],Producto[],2,FALSE)</f>
        <v>CHOTUS</v>
      </c>
    </row>
    <row r="1946" spans="1:8" ht="20.100000000000001" customHeight="1" x14ac:dyDescent="0.25">
      <c r="A1946" s="3" t="s">
        <v>302</v>
      </c>
      <c r="B1946" s="3" t="s">
        <v>355</v>
      </c>
      <c r="C1946" s="3">
        <v>2022</v>
      </c>
      <c r="D1946" s="4">
        <v>3</v>
      </c>
      <c r="E1946" s="5">
        <v>80</v>
      </c>
      <c r="F1946" s="5">
        <v>43.44</v>
      </c>
      <c r="G1946" s="3" t="str">
        <f>VLOOKUP(Registros[[#This Row],[Cliente]],Cliente_Region[],2,FALSE)</f>
        <v>Peru</v>
      </c>
      <c r="H1946" s="3" t="str">
        <f>VLOOKUP(Registros[[#This Row],[Producto]],Producto[],2,FALSE)</f>
        <v>CHOTUS</v>
      </c>
    </row>
    <row r="1947" spans="1:8" ht="20.100000000000001" customHeight="1" x14ac:dyDescent="0.25">
      <c r="A1947" s="3" t="s">
        <v>302</v>
      </c>
      <c r="B1947" s="3" t="s">
        <v>355</v>
      </c>
      <c r="C1947" s="3">
        <v>2022</v>
      </c>
      <c r="D1947" s="4">
        <v>4</v>
      </c>
      <c r="E1947" s="5">
        <v>55.5</v>
      </c>
      <c r="F1947" s="5">
        <v>28.08</v>
      </c>
      <c r="G1947" s="3" t="str">
        <f>VLOOKUP(Registros[[#This Row],[Cliente]],Cliente_Region[],2,FALSE)</f>
        <v>Peru</v>
      </c>
      <c r="H1947" s="3" t="str">
        <f>VLOOKUP(Registros[[#This Row],[Producto]],Producto[],2,FALSE)</f>
        <v>CHOTUS</v>
      </c>
    </row>
    <row r="1948" spans="1:8" ht="20.100000000000001" customHeight="1" x14ac:dyDescent="0.25">
      <c r="A1948" s="3" t="s">
        <v>302</v>
      </c>
      <c r="B1948" s="3" t="s">
        <v>355</v>
      </c>
      <c r="C1948" s="3">
        <v>2022</v>
      </c>
      <c r="D1948" s="4">
        <v>5</v>
      </c>
      <c r="E1948" s="5">
        <v>91</v>
      </c>
      <c r="F1948" s="5">
        <v>45.3</v>
      </c>
      <c r="G1948" s="3" t="str">
        <f>VLOOKUP(Registros[[#This Row],[Cliente]],Cliente_Region[],2,FALSE)</f>
        <v>Peru</v>
      </c>
      <c r="H1948" s="3" t="str">
        <f>VLOOKUP(Registros[[#This Row],[Producto]],Producto[],2,FALSE)</f>
        <v>CHOTUS</v>
      </c>
    </row>
    <row r="1949" spans="1:8" ht="20.100000000000001" customHeight="1" x14ac:dyDescent="0.25">
      <c r="A1949" s="3" t="s">
        <v>302</v>
      </c>
      <c r="B1949" s="3" t="s">
        <v>355</v>
      </c>
      <c r="C1949" s="3">
        <v>2022</v>
      </c>
      <c r="D1949" s="4">
        <v>6</v>
      </c>
      <c r="E1949" s="5">
        <v>80</v>
      </c>
      <c r="F1949" s="5">
        <v>43.44</v>
      </c>
      <c r="G1949" s="3" t="str">
        <f>VLOOKUP(Registros[[#This Row],[Cliente]],Cliente_Region[],2,FALSE)</f>
        <v>Peru</v>
      </c>
      <c r="H1949" s="3" t="str">
        <f>VLOOKUP(Registros[[#This Row],[Producto]],Producto[],2,FALSE)</f>
        <v>CHOTUS</v>
      </c>
    </row>
    <row r="1950" spans="1:8" ht="20.100000000000001" customHeight="1" x14ac:dyDescent="0.25">
      <c r="A1950" s="3" t="s">
        <v>295</v>
      </c>
      <c r="B1950" s="3" t="s">
        <v>355</v>
      </c>
      <c r="C1950" s="3">
        <v>2022</v>
      </c>
      <c r="D1950" s="4">
        <v>1</v>
      </c>
      <c r="E1950" s="5">
        <v>52</v>
      </c>
      <c r="F1950" s="5">
        <v>29.92</v>
      </c>
      <c r="G1950" s="3" t="str">
        <f>VLOOKUP(Registros[[#This Row],[Cliente]],Cliente_Region[],2,FALSE)</f>
        <v>Peru</v>
      </c>
      <c r="H1950" s="3" t="str">
        <f>VLOOKUP(Registros[[#This Row],[Producto]],Producto[],2,FALSE)</f>
        <v>QUOKAR</v>
      </c>
    </row>
    <row r="1951" spans="1:8" ht="20.100000000000001" customHeight="1" x14ac:dyDescent="0.25">
      <c r="A1951" s="3" t="s">
        <v>296</v>
      </c>
      <c r="B1951" s="3" t="s">
        <v>355</v>
      </c>
      <c r="C1951" s="3">
        <v>2022</v>
      </c>
      <c r="D1951" s="4">
        <v>2</v>
      </c>
      <c r="E1951" s="5">
        <v>37.9</v>
      </c>
      <c r="F1951" s="5">
        <v>21.34</v>
      </c>
      <c r="G1951" s="3" t="str">
        <f>VLOOKUP(Registros[[#This Row],[Cliente]],Cliente_Region[],2,FALSE)</f>
        <v>Peru</v>
      </c>
      <c r="H1951" s="3" t="str">
        <f>VLOOKUP(Registros[[#This Row],[Producto]],Producto[],2,FALSE)</f>
        <v>SALF</v>
      </c>
    </row>
    <row r="1952" spans="1:8" ht="20.100000000000001" customHeight="1" x14ac:dyDescent="0.25">
      <c r="A1952" s="3" t="s">
        <v>296</v>
      </c>
      <c r="B1952" s="3" t="s">
        <v>355</v>
      </c>
      <c r="C1952" s="3">
        <v>2022</v>
      </c>
      <c r="D1952" s="4">
        <v>3</v>
      </c>
      <c r="E1952" s="5">
        <v>39</v>
      </c>
      <c r="F1952" s="5">
        <v>22.44</v>
      </c>
      <c r="G1952" s="3" t="str">
        <f>VLOOKUP(Registros[[#This Row],[Cliente]],Cliente_Region[],2,FALSE)</f>
        <v>Peru</v>
      </c>
      <c r="H1952" s="3" t="str">
        <f>VLOOKUP(Registros[[#This Row],[Producto]],Producto[],2,FALSE)</f>
        <v>SALF</v>
      </c>
    </row>
    <row r="1953" spans="1:8" ht="20.100000000000001" customHeight="1" x14ac:dyDescent="0.25">
      <c r="A1953" s="3" t="s">
        <v>296</v>
      </c>
      <c r="B1953" s="3" t="s">
        <v>355</v>
      </c>
      <c r="C1953" s="3">
        <v>2022</v>
      </c>
      <c r="D1953" s="4">
        <v>4</v>
      </c>
      <c r="E1953" s="5">
        <v>54.25</v>
      </c>
      <c r="F1953" s="5">
        <v>32.17</v>
      </c>
      <c r="G1953" s="3" t="str">
        <f>VLOOKUP(Registros[[#This Row],[Cliente]],Cliente_Region[],2,FALSE)</f>
        <v>Peru</v>
      </c>
      <c r="H1953" s="3" t="str">
        <f>VLOOKUP(Registros[[#This Row],[Producto]],Producto[],2,FALSE)</f>
        <v>SALF</v>
      </c>
    </row>
    <row r="1954" spans="1:8" ht="20.100000000000001" customHeight="1" x14ac:dyDescent="0.25">
      <c r="A1954" s="3" t="s">
        <v>296</v>
      </c>
      <c r="B1954" s="3" t="s">
        <v>355</v>
      </c>
      <c r="C1954" s="3">
        <v>2022</v>
      </c>
      <c r="D1954" s="4">
        <v>5</v>
      </c>
      <c r="E1954" s="5">
        <v>55</v>
      </c>
      <c r="F1954" s="5">
        <v>32.93</v>
      </c>
      <c r="G1954" s="3" t="str">
        <f>VLOOKUP(Registros[[#This Row],[Cliente]],Cliente_Region[],2,FALSE)</f>
        <v>Peru</v>
      </c>
      <c r="H1954" s="3" t="str">
        <f>VLOOKUP(Registros[[#This Row],[Producto]],Producto[],2,FALSE)</f>
        <v>SALF</v>
      </c>
    </row>
    <row r="1955" spans="1:8" ht="20.100000000000001" customHeight="1" x14ac:dyDescent="0.25">
      <c r="A1955" s="3" t="s">
        <v>296</v>
      </c>
      <c r="B1955" s="3" t="s">
        <v>355</v>
      </c>
      <c r="C1955" s="3">
        <v>2022</v>
      </c>
      <c r="D1955" s="4">
        <v>6</v>
      </c>
      <c r="E1955" s="5">
        <v>26</v>
      </c>
      <c r="F1955" s="5">
        <v>14.96</v>
      </c>
      <c r="G1955" s="3" t="str">
        <f>VLOOKUP(Registros[[#This Row],[Cliente]],Cliente_Region[],2,FALSE)</f>
        <v>Peru</v>
      </c>
      <c r="H1955" s="3" t="str">
        <f>VLOOKUP(Registros[[#This Row],[Producto]],Producto[],2,FALSE)</f>
        <v>SALF</v>
      </c>
    </row>
    <row r="1956" spans="1:8" ht="20.100000000000001" customHeight="1" x14ac:dyDescent="0.25">
      <c r="A1956" s="3" t="s">
        <v>353</v>
      </c>
      <c r="B1956" s="3" t="s">
        <v>355</v>
      </c>
      <c r="C1956" s="3">
        <v>2022</v>
      </c>
      <c r="D1956" s="4">
        <v>4</v>
      </c>
      <c r="E1956" s="5">
        <v>114.4</v>
      </c>
      <c r="F1956" s="5">
        <v>41.19</v>
      </c>
      <c r="G1956" s="3" t="str">
        <f>VLOOKUP(Registros[[#This Row],[Cliente]],Cliente_Region[],2,FALSE)</f>
        <v>Peru</v>
      </c>
      <c r="H1956" s="3" t="str">
        <f>VLOOKUP(Registros[[#This Row],[Producto]],Producto[],2,FALSE)</f>
        <v>QUOKAR</v>
      </c>
    </row>
    <row r="1957" spans="1:8" ht="20.100000000000001" customHeight="1" x14ac:dyDescent="0.25">
      <c r="A1957" s="3" t="s">
        <v>280</v>
      </c>
      <c r="B1957" s="3" t="s">
        <v>355</v>
      </c>
      <c r="C1957" s="3">
        <v>2022</v>
      </c>
      <c r="D1957" s="4">
        <v>1</v>
      </c>
      <c r="E1957" s="5">
        <v>100.35</v>
      </c>
      <c r="F1957" s="5">
        <v>53.54</v>
      </c>
      <c r="G1957" s="3" t="str">
        <f>VLOOKUP(Registros[[#This Row],[Cliente]],Cliente_Region[],2,FALSE)</f>
        <v>Peru</v>
      </c>
      <c r="H1957" s="3" t="str">
        <f>VLOOKUP(Registros[[#This Row],[Producto]],Producto[],2,FALSE)</f>
        <v>CHOTUS</v>
      </c>
    </row>
    <row r="1958" spans="1:8" ht="20.100000000000001" customHeight="1" x14ac:dyDescent="0.25">
      <c r="A1958" s="3" t="s">
        <v>281</v>
      </c>
      <c r="B1958" s="3" t="s">
        <v>355</v>
      </c>
      <c r="C1958" s="3">
        <v>2022</v>
      </c>
      <c r="D1958" s="4">
        <v>2</v>
      </c>
      <c r="E1958" s="5">
        <v>116.8</v>
      </c>
      <c r="F1958" s="5">
        <v>60.62</v>
      </c>
      <c r="G1958" s="3" t="str">
        <f>VLOOKUP(Registros[[#This Row],[Cliente]],Cliente_Region[],2,FALSE)</f>
        <v>Peru</v>
      </c>
      <c r="H1958" s="3" t="str">
        <f>VLOOKUP(Registros[[#This Row],[Producto]],Producto[],2,FALSE)</f>
        <v>SALF</v>
      </c>
    </row>
    <row r="1959" spans="1:8" ht="20.100000000000001" customHeight="1" x14ac:dyDescent="0.25">
      <c r="A1959" s="3" t="s">
        <v>281</v>
      </c>
      <c r="B1959" s="3" t="s">
        <v>355</v>
      </c>
      <c r="C1959" s="3">
        <v>2022</v>
      </c>
      <c r="D1959" s="4">
        <v>3</v>
      </c>
      <c r="E1959" s="5">
        <v>100</v>
      </c>
      <c r="F1959" s="5">
        <v>53.18</v>
      </c>
      <c r="G1959" s="3" t="str">
        <f>VLOOKUP(Registros[[#This Row],[Cliente]],Cliente_Region[],2,FALSE)</f>
        <v>Peru</v>
      </c>
      <c r="H1959" s="3" t="str">
        <f>VLOOKUP(Registros[[#This Row],[Producto]],Producto[],2,FALSE)</f>
        <v>SALF</v>
      </c>
    </row>
    <row r="1960" spans="1:8" ht="20.100000000000001" customHeight="1" x14ac:dyDescent="0.25">
      <c r="A1960" s="3" t="s">
        <v>281</v>
      </c>
      <c r="B1960" s="3" t="s">
        <v>355</v>
      </c>
      <c r="C1960" s="3">
        <v>2022</v>
      </c>
      <c r="D1960" s="4">
        <v>4</v>
      </c>
      <c r="E1960" s="5">
        <v>102</v>
      </c>
      <c r="F1960" s="5">
        <v>55.19</v>
      </c>
      <c r="G1960" s="3" t="str">
        <f>VLOOKUP(Registros[[#This Row],[Cliente]],Cliente_Region[],2,FALSE)</f>
        <v>Peru</v>
      </c>
      <c r="H1960" s="3" t="str">
        <f>VLOOKUP(Registros[[#This Row],[Producto]],Producto[],2,FALSE)</f>
        <v>SALF</v>
      </c>
    </row>
    <row r="1961" spans="1:8" ht="20.100000000000001" customHeight="1" x14ac:dyDescent="0.25">
      <c r="A1961" s="3" t="s">
        <v>281</v>
      </c>
      <c r="B1961" s="3" t="s">
        <v>355</v>
      </c>
      <c r="C1961" s="3">
        <v>2022</v>
      </c>
      <c r="D1961" s="4">
        <v>5</v>
      </c>
      <c r="E1961" s="5">
        <v>122</v>
      </c>
      <c r="F1961" s="5">
        <v>65.819999999999993</v>
      </c>
      <c r="G1961" s="3" t="str">
        <f>VLOOKUP(Registros[[#This Row],[Cliente]],Cliente_Region[],2,FALSE)</f>
        <v>Peru</v>
      </c>
      <c r="H1961" s="3" t="str">
        <f>VLOOKUP(Registros[[#This Row],[Producto]],Producto[],2,FALSE)</f>
        <v>SALF</v>
      </c>
    </row>
    <row r="1962" spans="1:8" ht="20.100000000000001" customHeight="1" x14ac:dyDescent="0.25">
      <c r="A1962" s="3" t="s">
        <v>281</v>
      </c>
      <c r="B1962" s="3" t="s">
        <v>355</v>
      </c>
      <c r="C1962" s="3">
        <v>2022</v>
      </c>
      <c r="D1962" s="4">
        <v>6</v>
      </c>
      <c r="E1962" s="5">
        <v>60</v>
      </c>
      <c r="F1962" s="5">
        <v>31.91</v>
      </c>
      <c r="G1962" s="3" t="str">
        <f>VLOOKUP(Registros[[#This Row],[Cliente]],Cliente_Region[],2,FALSE)</f>
        <v>Peru</v>
      </c>
      <c r="H1962" s="3" t="str">
        <f>VLOOKUP(Registros[[#This Row],[Producto]],Producto[],2,FALSE)</f>
        <v>SALF</v>
      </c>
    </row>
    <row r="1963" spans="1:8" ht="20.100000000000001" customHeight="1" x14ac:dyDescent="0.25">
      <c r="A1963" s="3" t="s">
        <v>282</v>
      </c>
      <c r="B1963" s="3" t="s">
        <v>355</v>
      </c>
      <c r="C1963" s="3">
        <v>2022</v>
      </c>
      <c r="D1963" s="4">
        <v>1</v>
      </c>
      <c r="E1963" s="5">
        <v>82.5</v>
      </c>
      <c r="F1963" s="5">
        <v>47.45</v>
      </c>
      <c r="G1963" s="3" t="str">
        <f>VLOOKUP(Registros[[#This Row],[Cliente]],Cliente_Region[],2,FALSE)</f>
        <v>Peru</v>
      </c>
      <c r="H1963" s="3" t="str">
        <f>VLOOKUP(Registros[[#This Row],[Producto]],Producto[],2,FALSE)</f>
        <v>DAWNE</v>
      </c>
    </row>
    <row r="1964" spans="1:8" ht="20.100000000000001" customHeight="1" x14ac:dyDescent="0.25">
      <c r="A1964" s="3" t="s">
        <v>114</v>
      </c>
      <c r="B1964" s="3" t="s">
        <v>355</v>
      </c>
      <c r="C1964" s="3">
        <v>2022</v>
      </c>
      <c r="D1964" s="4">
        <v>2</v>
      </c>
      <c r="E1964" s="5">
        <v>64.25</v>
      </c>
      <c r="F1964" s="5">
        <v>36.21</v>
      </c>
      <c r="G1964" s="3" t="str">
        <f>VLOOKUP(Registros[[#This Row],[Cliente]],Cliente_Region[],2,FALSE)</f>
        <v>Peru</v>
      </c>
      <c r="H1964" s="3" t="str">
        <f>VLOOKUP(Registros[[#This Row],[Producto]],Producto[],2,FALSE)</f>
        <v>DAWNE</v>
      </c>
    </row>
    <row r="1965" spans="1:8" ht="20.100000000000001" customHeight="1" x14ac:dyDescent="0.25">
      <c r="A1965" s="3" t="s">
        <v>114</v>
      </c>
      <c r="B1965" s="3" t="s">
        <v>355</v>
      </c>
      <c r="C1965" s="3">
        <v>2022</v>
      </c>
      <c r="D1965" s="4">
        <v>3</v>
      </c>
      <c r="E1965" s="5">
        <v>49.5</v>
      </c>
      <c r="F1965" s="5">
        <v>28.47</v>
      </c>
      <c r="G1965" s="3" t="str">
        <f>VLOOKUP(Registros[[#This Row],[Cliente]],Cliente_Region[],2,FALSE)</f>
        <v>Peru</v>
      </c>
      <c r="H1965" s="3" t="str">
        <f>VLOOKUP(Registros[[#This Row],[Producto]],Producto[],2,FALSE)</f>
        <v>DAWNE</v>
      </c>
    </row>
    <row r="1966" spans="1:8" ht="20.100000000000001" customHeight="1" x14ac:dyDescent="0.25">
      <c r="A1966" s="3" t="s">
        <v>114</v>
      </c>
      <c r="B1966" s="3" t="s">
        <v>355</v>
      </c>
      <c r="C1966" s="3">
        <v>2022</v>
      </c>
      <c r="D1966" s="4">
        <v>4</v>
      </c>
      <c r="E1966" s="5">
        <v>33</v>
      </c>
      <c r="F1966" s="5">
        <v>18.98</v>
      </c>
      <c r="G1966" s="3" t="str">
        <f>VLOOKUP(Registros[[#This Row],[Cliente]],Cliente_Region[],2,FALSE)</f>
        <v>Peru</v>
      </c>
      <c r="H1966" s="3" t="str">
        <f>VLOOKUP(Registros[[#This Row],[Producto]],Producto[],2,FALSE)</f>
        <v>DAWNE</v>
      </c>
    </row>
    <row r="1967" spans="1:8" ht="20.100000000000001" customHeight="1" x14ac:dyDescent="0.25">
      <c r="A1967" s="3" t="s">
        <v>114</v>
      </c>
      <c r="B1967" s="3" t="s">
        <v>355</v>
      </c>
      <c r="C1967" s="3">
        <v>2022</v>
      </c>
      <c r="D1967" s="4">
        <v>5</v>
      </c>
      <c r="E1967" s="5">
        <v>49.5</v>
      </c>
      <c r="F1967" s="5">
        <v>28.47</v>
      </c>
      <c r="G1967" s="3" t="str">
        <f>VLOOKUP(Registros[[#This Row],[Cliente]],Cliente_Region[],2,FALSE)</f>
        <v>Peru</v>
      </c>
      <c r="H1967" s="3" t="str">
        <f>VLOOKUP(Registros[[#This Row],[Producto]],Producto[],2,FALSE)</f>
        <v>DAWNE</v>
      </c>
    </row>
    <row r="1968" spans="1:8" ht="20.100000000000001" customHeight="1" x14ac:dyDescent="0.25">
      <c r="A1968" s="3" t="s">
        <v>114</v>
      </c>
      <c r="B1968" s="3" t="s">
        <v>355</v>
      </c>
      <c r="C1968" s="3">
        <v>2022</v>
      </c>
      <c r="D1968" s="4">
        <v>6</v>
      </c>
      <c r="E1968" s="5">
        <v>49.5</v>
      </c>
      <c r="F1968" s="5">
        <v>28.47</v>
      </c>
      <c r="G1968" s="3" t="str">
        <f>VLOOKUP(Registros[[#This Row],[Cliente]],Cliente_Region[],2,FALSE)</f>
        <v>Peru</v>
      </c>
      <c r="H1968" s="3" t="str">
        <f>VLOOKUP(Registros[[#This Row],[Producto]],Producto[],2,FALSE)</f>
        <v>DAWNE</v>
      </c>
    </row>
    <row r="1969" spans="1:8" ht="20.100000000000001" customHeight="1" x14ac:dyDescent="0.25">
      <c r="A1969" s="3" t="s">
        <v>135</v>
      </c>
      <c r="B1969" s="3" t="s">
        <v>355</v>
      </c>
      <c r="C1969" s="3">
        <v>2022</v>
      </c>
      <c r="D1969" s="4">
        <v>1</v>
      </c>
      <c r="E1969" s="5">
        <v>140.47999999999999</v>
      </c>
      <c r="F1969" s="5">
        <v>98.76</v>
      </c>
      <c r="G1969" s="3" t="str">
        <f>VLOOKUP(Registros[[#This Row],[Cliente]],Cliente_Region[],2,FALSE)</f>
        <v>Peru</v>
      </c>
      <c r="H1969" s="3" t="str">
        <f>VLOOKUP(Registros[[#This Row],[Producto]],Producto[],2,FALSE)</f>
        <v>GAMBO</v>
      </c>
    </row>
    <row r="1970" spans="1:8" ht="20.100000000000001" customHeight="1" x14ac:dyDescent="0.25">
      <c r="A1970" s="3" t="s">
        <v>93</v>
      </c>
      <c r="B1970" s="3" t="s">
        <v>355</v>
      </c>
      <c r="C1970" s="3">
        <v>2022</v>
      </c>
      <c r="D1970" s="4">
        <v>2</v>
      </c>
      <c r="E1970" s="5">
        <v>128.41999999999999</v>
      </c>
      <c r="F1970" s="5">
        <v>94.72</v>
      </c>
      <c r="G1970" s="3" t="str">
        <f>VLOOKUP(Registros[[#This Row],[Cliente]],Cliente_Region[],2,FALSE)</f>
        <v>Peru</v>
      </c>
      <c r="H1970" s="3" t="str">
        <f>VLOOKUP(Registros[[#This Row],[Producto]],Producto[],2,FALSE)</f>
        <v>GAMBO</v>
      </c>
    </row>
    <row r="1971" spans="1:8" ht="20.100000000000001" customHeight="1" x14ac:dyDescent="0.25">
      <c r="A1971" s="3" t="s">
        <v>93</v>
      </c>
      <c r="B1971" s="3" t="s">
        <v>355</v>
      </c>
      <c r="C1971" s="3">
        <v>2022</v>
      </c>
      <c r="D1971" s="4">
        <v>3</v>
      </c>
      <c r="E1971" s="5">
        <v>97.5</v>
      </c>
      <c r="F1971" s="5">
        <v>63.8</v>
      </c>
      <c r="G1971" s="3" t="str">
        <f>VLOOKUP(Registros[[#This Row],[Cliente]],Cliente_Region[],2,FALSE)</f>
        <v>Peru</v>
      </c>
      <c r="H1971" s="3" t="str">
        <f>VLOOKUP(Registros[[#This Row],[Producto]],Producto[],2,FALSE)</f>
        <v>GAMBO</v>
      </c>
    </row>
    <row r="1972" spans="1:8" ht="20.100000000000001" customHeight="1" x14ac:dyDescent="0.25">
      <c r="A1972" s="3" t="s">
        <v>93</v>
      </c>
      <c r="B1972" s="3" t="s">
        <v>355</v>
      </c>
      <c r="C1972" s="3">
        <v>2022</v>
      </c>
      <c r="D1972" s="4">
        <v>4</v>
      </c>
      <c r="E1972" s="5">
        <v>67.5</v>
      </c>
      <c r="F1972" s="5">
        <v>47.28</v>
      </c>
      <c r="G1972" s="3" t="str">
        <f>VLOOKUP(Registros[[#This Row],[Cliente]],Cliente_Region[],2,FALSE)</f>
        <v>Peru</v>
      </c>
      <c r="H1972" s="3" t="str">
        <f>VLOOKUP(Registros[[#This Row],[Producto]],Producto[],2,FALSE)</f>
        <v>GAMBO</v>
      </c>
    </row>
    <row r="1973" spans="1:8" ht="20.100000000000001" customHeight="1" x14ac:dyDescent="0.25">
      <c r="A1973" s="3" t="s">
        <v>93</v>
      </c>
      <c r="B1973" s="3" t="s">
        <v>355</v>
      </c>
      <c r="C1973" s="3">
        <v>2022</v>
      </c>
      <c r="D1973" s="4">
        <v>5</v>
      </c>
      <c r="E1973" s="5">
        <v>132</v>
      </c>
      <c r="F1973" s="5">
        <v>91.56</v>
      </c>
      <c r="G1973" s="3" t="str">
        <f>VLOOKUP(Registros[[#This Row],[Cliente]],Cliente_Region[],2,FALSE)</f>
        <v>Peru</v>
      </c>
      <c r="H1973" s="3" t="str">
        <f>VLOOKUP(Registros[[#This Row],[Producto]],Producto[],2,FALSE)</f>
        <v>GAMBO</v>
      </c>
    </row>
    <row r="1974" spans="1:8" ht="20.100000000000001" customHeight="1" x14ac:dyDescent="0.25">
      <c r="A1974" s="3" t="s">
        <v>93</v>
      </c>
      <c r="B1974" s="3" t="s">
        <v>355</v>
      </c>
      <c r="C1974" s="3">
        <v>2022</v>
      </c>
      <c r="D1974" s="4">
        <v>6</v>
      </c>
      <c r="E1974" s="5">
        <v>78</v>
      </c>
      <c r="F1974" s="5">
        <v>51.04</v>
      </c>
      <c r="G1974" s="3" t="str">
        <f>VLOOKUP(Registros[[#This Row],[Cliente]],Cliente_Region[],2,FALSE)</f>
        <v>Peru</v>
      </c>
      <c r="H1974" s="3" t="str">
        <f>VLOOKUP(Registros[[#This Row],[Producto]],Producto[],2,FALSE)</f>
        <v>GAMBO</v>
      </c>
    </row>
    <row r="1975" spans="1:8" ht="20.100000000000001" customHeight="1" x14ac:dyDescent="0.25">
      <c r="A1975" s="3" t="s">
        <v>136</v>
      </c>
      <c r="B1975" s="3" t="s">
        <v>355</v>
      </c>
      <c r="C1975" s="3">
        <v>2022</v>
      </c>
      <c r="D1975" s="4">
        <v>1</v>
      </c>
      <c r="E1975" s="5">
        <v>130.15</v>
      </c>
      <c r="F1975" s="5">
        <v>67.88</v>
      </c>
      <c r="G1975" s="3" t="str">
        <f>VLOOKUP(Registros[[#This Row],[Cliente]],Cliente_Region[],2,FALSE)</f>
        <v>Peru</v>
      </c>
      <c r="H1975" s="3" t="str">
        <f>VLOOKUP(Registros[[#This Row],[Producto]],Producto[],2,FALSE)</f>
        <v>CHOTUS</v>
      </c>
    </row>
    <row r="1976" spans="1:8" ht="20.100000000000001" customHeight="1" x14ac:dyDescent="0.25">
      <c r="A1976" s="3" t="s">
        <v>137</v>
      </c>
      <c r="B1976" s="3" t="s">
        <v>355</v>
      </c>
      <c r="C1976" s="3">
        <v>2022</v>
      </c>
      <c r="D1976" s="4">
        <v>2</v>
      </c>
      <c r="E1976" s="5">
        <v>156.85</v>
      </c>
      <c r="F1976" s="5">
        <v>94.54</v>
      </c>
      <c r="G1976" s="3" t="str">
        <f>VLOOKUP(Registros[[#This Row],[Cliente]],Cliente_Region[],2,FALSE)</f>
        <v>Peru</v>
      </c>
      <c r="H1976" s="3" t="str">
        <f>VLOOKUP(Registros[[#This Row],[Producto]],Producto[],2,FALSE)</f>
        <v>QUOKAR</v>
      </c>
    </row>
    <row r="1977" spans="1:8" ht="20.100000000000001" customHeight="1" x14ac:dyDescent="0.25">
      <c r="A1977" s="3" t="s">
        <v>137</v>
      </c>
      <c r="B1977" s="3" t="s">
        <v>355</v>
      </c>
      <c r="C1977" s="3">
        <v>2022</v>
      </c>
      <c r="D1977" s="4">
        <v>3</v>
      </c>
      <c r="E1977" s="5">
        <v>88</v>
      </c>
      <c r="F1977" s="5">
        <v>38.15</v>
      </c>
      <c r="G1977" s="3" t="str">
        <f>VLOOKUP(Registros[[#This Row],[Cliente]],Cliente_Region[],2,FALSE)</f>
        <v>Peru</v>
      </c>
      <c r="H1977" s="3" t="str">
        <f>VLOOKUP(Registros[[#This Row],[Producto]],Producto[],2,FALSE)</f>
        <v>QUOKAR</v>
      </c>
    </row>
    <row r="1978" spans="1:8" ht="20.100000000000001" customHeight="1" x14ac:dyDescent="0.25">
      <c r="A1978" s="3" t="s">
        <v>137</v>
      </c>
      <c r="B1978" s="3" t="s">
        <v>355</v>
      </c>
      <c r="C1978" s="3">
        <v>2022</v>
      </c>
      <c r="D1978" s="4">
        <v>4</v>
      </c>
      <c r="E1978" s="5">
        <v>106</v>
      </c>
      <c r="F1978" s="5">
        <v>43.69</v>
      </c>
      <c r="G1978" s="3" t="str">
        <f>VLOOKUP(Registros[[#This Row],[Cliente]],Cliente_Region[],2,FALSE)</f>
        <v>Peru</v>
      </c>
      <c r="H1978" s="3" t="str">
        <f>VLOOKUP(Registros[[#This Row],[Producto]],Producto[],2,FALSE)</f>
        <v>QUOKAR</v>
      </c>
    </row>
    <row r="1979" spans="1:8" ht="20.100000000000001" customHeight="1" x14ac:dyDescent="0.25">
      <c r="A1979" s="3" t="s">
        <v>137</v>
      </c>
      <c r="B1979" s="3" t="s">
        <v>355</v>
      </c>
      <c r="C1979" s="3">
        <v>2022</v>
      </c>
      <c r="D1979" s="4">
        <v>5</v>
      </c>
      <c r="E1979" s="5">
        <v>105</v>
      </c>
      <c r="F1979" s="5">
        <v>42.69</v>
      </c>
      <c r="G1979" s="3" t="str">
        <f>VLOOKUP(Registros[[#This Row],[Cliente]],Cliente_Region[],2,FALSE)</f>
        <v>Peru</v>
      </c>
      <c r="H1979" s="3" t="str">
        <f>VLOOKUP(Registros[[#This Row],[Producto]],Producto[],2,FALSE)</f>
        <v>QUOKAR</v>
      </c>
    </row>
    <row r="1980" spans="1:8" ht="20.100000000000001" customHeight="1" x14ac:dyDescent="0.25">
      <c r="A1980" s="3" t="s">
        <v>137</v>
      </c>
      <c r="B1980" s="3" t="s">
        <v>355</v>
      </c>
      <c r="C1980" s="3">
        <v>2022</v>
      </c>
      <c r="D1980" s="4">
        <v>6</v>
      </c>
      <c r="E1980" s="5">
        <v>88</v>
      </c>
      <c r="F1980" s="5">
        <v>38.159999999999997</v>
      </c>
      <c r="G1980" s="3" t="str">
        <f>VLOOKUP(Registros[[#This Row],[Cliente]],Cliente_Region[],2,FALSE)</f>
        <v>Peru</v>
      </c>
      <c r="H1980" s="3" t="str">
        <f>VLOOKUP(Registros[[#This Row],[Producto]],Producto[],2,FALSE)</f>
        <v>QUOKAR</v>
      </c>
    </row>
    <row r="1981" spans="1:8" ht="20.100000000000001" customHeight="1" x14ac:dyDescent="0.25">
      <c r="A1981" s="3" t="s">
        <v>51</v>
      </c>
      <c r="B1981" s="3" t="s">
        <v>355</v>
      </c>
      <c r="C1981" s="3">
        <v>2022</v>
      </c>
      <c r="D1981" s="4">
        <v>1</v>
      </c>
      <c r="E1981" s="5">
        <v>147</v>
      </c>
      <c r="F1981" s="5">
        <v>99.59</v>
      </c>
      <c r="G1981" s="3" t="str">
        <f>VLOOKUP(Registros[[#This Row],[Cliente]],Cliente_Region[],2,FALSE)</f>
        <v>Peru</v>
      </c>
      <c r="H1981" s="3" t="str">
        <f>VLOOKUP(Registros[[#This Row],[Producto]],Producto[],2,FALSE)</f>
        <v>LAX</v>
      </c>
    </row>
    <row r="1982" spans="1:8" ht="20.100000000000001" customHeight="1" x14ac:dyDescent="0.25">
      <c r="A1982" s="3" t="s">
        <v>77</v>
      </c>
      <c r="B1982" s="3" t="s">
        <v>355</v>
      </c>
      <c r="C1982" s="3">
        <v>2022</v>
      </c>
      <c r="D1982" s="4">
        <v>1</v>
      </c>
      <c r="E1982" s="5">
        <v>25.85</v>
      </c>
      <c r="F1982" s="5">
        <v>15.97</v>
      </c>
      <c r="G1982" s="3" t="str">
        <f>VLOOKUP(Registros[[#This Row],[Cliente]],Cliente_Region[],2,FALSE)</f>
        <v>Peru</v>
      </c>
      <c r="H1982" s="3" t="str">
        <f>VLOOKUP(Registros[[#This Row],[Producto]],Producto[],2,FALSE)</f>
        <v>LAX</v>
      </c>
    </row>
    <row r="1983" spans="1:8" ht="20.100000000000001" customHeight="1" x14ac:dyDescent="0.25">
      <c r="A1983" s="3" t="s">
        <v>78</v>
      </c>
      <c r="B1983" s="3" t="s">
        <v>355</v>
      </c>
      <c r="C1983" s="3">
        <v>2022</v>
      </c>
      <c r="D1983" s="4">
        <v>2</v>
      </c>
      <c r="E1983" s="5">
        <v>34.1</v>
      </c>
      <c r="F1983" s="5">
        <v>24.22</v>
      </c>
      <c r="G1983" s="3" t="str">
        <f>VLOOKUP(Registros[[#This Row],[Cliente]],Cliente_Region[],2,FALSE)</f>
        <v>Peru</v>
      </c>
      <c r="H1983" s="3" t="str">
        <f>VLOOKUP(Registros[[#This Row],[Producto]],Producto[],2,FALSE)</f>
        <v>MOC</v>
      </c>
    </row>
    <row r="1984" spans="1:8" ht="20.100000000000001" customHeight="1" x14ac:dyDescent="0.25">
      <c r="A1984" s="3" t="s">
        <v>78</v>
      </c>
      <c r="B1984" s="3" t="s">
        <v>355</v>
      </c>
      <c r="C1984" s="3">
        <v>2022</v>
      </c>
      <c r="D1984" s="4">
        <v>3</v>
      </c>
      <c r="E1984" s="5">
        <v>34.1</v>
      </c>
      <c r="F1984" s="5">
        <v>24.22</v>
      </c>
      <c r="G1984" s="3" t="str">
        <f>VLOOKUP(Registros[[#This Row],[Cliente]],Cliente_Region[],2,FALSE)</f>
        <v>Peru</v>
      </c>
      <c r="H1984" s="3" t="str">
        <f>VLOOKUP(Registros[[#This Row],[Producto]],Producto[],2,FALSE)</f>
        <v>MOC</v>
      </c>
    </row>
    <row r="1985" spans="1:8" ht="20.100000000000001" customHeight="1" x14ac:dyDescent="0.25">
      <c r="A1985" s="3" t="s">
        <v>78</v>
      </c>
      <c r="B1985" s="3" t="s">
        <v>355</v>
      </c>
      <c r="C1985" s="3">
        <v>2022</v>
      </c>
      <c r="D1985" s="4">
        <v>4</v>
      </c>
      <c r="E1985" s="5">
        <v>34.1</v>
      </c>
      <c r="F1985" s="5">
        <v>24.22</v>
      </c>
      <c r="G1985" s="3" t="str">
        <f>VLOOKUP(Registros[[#This Row],[Cliente]],Cliente_Region[],2,FALSE)</f>
        <v>Peru</v>
      </c>
      <c r="H1985" s="3" t="str">
        <f>VLOOKUP(Registros[[#This Row],[Producto]],Producto[],2,FALSE)</f>
        <v>MOC</v>
      </c>
    </row>
    <row r="1986" spans="1:8" ht="20.100000000000001" customHeight="1" x14ac:dyDescent="0.25">
      <c r="A1986" s="3" t="s">
        <v>78</v>
      </c>
      <c r="B1986" s="3" t="s">
        <v>355</v>
      </c>
      <c r="C1986" s="3">
        <v>2022</v>
      </c>
      <c r="D1986" s="4">
        <v>6</v>
      </c>
      <c r="E1986" s="5">
        <v>34.1</v>
      </c>
      <c r="F1986" s="5">
        <v>24.22</v>
      </c>
      <c r="G1986" s="3" t="str">
        <f>VLOOKUP(Registros[[#This Row],[Cliente]],Cliente_Region[],2,FALSE)</f>
        <v>Peru</v>
      </c>
      <c r="H1986" s="3" t="str">
        <f>VLOOKUP(Registros[[#This Row],[Producto]],Producto[],2,FALSE)</f>
        <v>MOC</v>
      </c>
    </row>
    <row r="1987" spans="1:8" ht="20.100000000000001" customHeight="1" x14ac:dyDescent="0.25">
      <c r="A1987" s="3" t="s">
        <v>92</v>
      </c>
      <c r="B1987" s="3" t="s">
        <v>355</v>
      </c>
      <c r="C1987" s="3">
        <v>2022</v>
      </c>
      <c r="D1987" s="4">
        <v>1</v>
      </c>
      <c r="E1987" s="5">
        <v>39.6</v>
      </c>
      <c r="F1987" s="5">
        <v>20.87</v>
      </c>
      <c r="G1987" s="3" t="str">
        <f>VLOOKUP(Registros[[#This Row],[Cliente]],Cliente_Region[],2,FALSE)</f>
        <v>Peru</v>
      </c>
      <c r="H1987" s="3" t="str">
        <f>VLOOKUP(Registros[[#This Row],[Producto]],Producto[],2,FALSE)</f>
        <v>MOC</v>
      </c>
    </row>
    <row r="1988" spans="1:8" ht="20.100000000000001" customHeight="1" x14ac:dyDescent="0.25">
      <c r="A1988" s="3" t="s">
        <v>299</v>
      </c>
      <c r="B1988" s="3" t="s">
        <v>355</v>
      </c>
      <c r="C1988" s="3">
        <v>2022</v>
      </c>
      <c r="D1988" s="4">
        <v>1</v>
      </c>
      <c r="E1988" s="5">
        <v>95</v>
      </c>
      <c r="F1988" s="5">
        <v>52.9</v>
      </c>
      <c r="G1988" s="3" t="str">
        <f>VLOOKUP(Registros[[#This Row],[Cliente]],Cliente_Region[],2,FALSE)</f>
        <v>Peru</v>
      </c>
      <c r="H1988" s="3" t="str">
        <f>VLOOKUP(Registros[[#This Row],[Producto]],Producto[],2,FALSE)</f>
        <v>SALF</v>
      </c>
    </row>
    <row r="1989" spans="1:8" ht="20.100000000000001" customHeight="1" x14ac:dyDescent="0.25">
      <c r="A1989" s="3" t="s">
        <v>357</v>
      </c>
      <c r="B1989" s="3" t="s">
        <v>355</v>
      </c>
      <c r="C1989" s="3">
        <v>2022</v>
      </c>
      <c r="D1989" s="4">
        <v>1</v>
      </c>
      <c r="E1989" s="5">
        <v>210</v>
      </c>
      <c r="F1989" s="5">
        <v>60.05</v>
      </c>
      <c r="G1989" s="3" t="str">
        <f>VLOOKUP(Registros[[#This Row],[Cliente]],Cliente_Region[],2,FALSE)</f>
        <v>Peru</v>
      </c>
      <c r="H1989" s="3" t="str">
        <f>VLOOKUP(Registros[[#This Row],[Producto]],Producto[],2,FALSE)</f>
        <v>CHOTUS</v>
      </c>
    </row>
    <row r="1990" spans="1:8" ht="20.100000000000001" customHeight="1" x14ac:dyDescent="0.25">
      <c r="A1990" s="3" t="s">
        <v>81</v>
      </c>
      <c r="B1990" s="3" t="s">
        <v>355</v>
      </c>
      <c r="C1990" s="3">
        <v>2022</v>
      </c>
      <c r="D1990" s="4">
        <v>1</v>
      </c>
      <c r="E1990" s="5">
        <v>25</v>
      </c>
      <c r="F1990" s="5">
        <v>11.02</v>
      </c>
      <c r="G1990" s="3" t="str">
        <f>VLOOKUP(Registros[[#This Row],[Cliente]],Cliente_Region[],2,FALSE)</f>
        <v>Peru</v>
      </c>
      <c r="H1990" s="3" t="str">
        <f>VLOOKUP(Registros[[#This Row],[Producto]],Producto[],2,FALSE)</f>
        <v>QUOKAR</v>
      </c>
    </row>
    <row r="1991" spans="1:8" ht="20.100000000000001" customHeight="1" x14ac:dyDescent="0.25">
      <c r="A1991" s="3" t="s">
        <v>82</v>
      </c>
      <c r="B1991" s="3" t="s">
        <v>355</v>
      </c>
      <c r="C1991" s="3">
        <v>2022</v>
      </c>
      <c r="D1991" s="4">
        <v>3</v>
      </c>
      <c r="E1991" s="5">
        <v>23.93</v>
      </c>
      <c r="F1991" s="5">
        <v>9.9499999999999993</v>
      </c>
      <c r="G1991" s="3" t="str">
        <f>VLOOKUP(Registros[[#This Row],[Cliente]],Cliente_Region[],2,FALSE)</f>
        <v>Peru</v>
      </c>
      <c r="H1991" s="3" t="str">
        <f>VLOOKUP(Registros[[#This Row],[Producto]],Producto[],2,FALSE)</f>
        <v>LAX</v>
      </c>
    </row>
    <row r="1992" spans="1:8" ht="20.100000000000001" customHeight="1" x14ac:dyDescent="0.25">
      <c r="A1992" s="3" t="s">
        <v>82</v>
      </c>
      <c r="B1992" s="3" t="s">
        <v>355</v>
      </c>
      <c r="C1992" s="3">
        <v>2022</v>
      </c>
      <c r="D1992" s="4">
        <v>6</v>
      </c>
      <c r="E1992" s="5">
        <v>23.93</v>
      </c>
      <c r="F1992" s="5">
        <v>9.9499999999999993</v>
      </c>
      <c r="G1992" s="3" t="str">
        <f>VLOOKUP(Registros[[#This Row],[Cliente]],Cliente_Region[],2,FALSE)</f>
        <v>Peru</v>
      </c>
      <c r="H1992" s="3" t="str">
        <f>VLOOKUP(Registros[[#This Row],[Producto]],Producto[],2,FALSE)</f>
        <v>LAX</v>
      </c>
    </row>
    <row r="1993" spans="1:8" ht="20.100000000000001" customHeight="1" x14ac:dyDescent="0.25">
      <c r="A1993" s="3" t="s">
        <v>53</v>
      </c>
      <c r="B1993" s="3" t="s">
        <v>355</v>
      </c>
      <c r="C1993" s="3">
        <v>2022</v>
      </c>
      <c r="D1993" s="4">
        <v>1</v>
      </c>
      <c r="E1993" s="5">
        <v>336.25</v>
      </c>
      <c r="F1993" s="5">
        <v>153.22999999999999</v>
      </c>
      <c r="G1993" s="3" t="str">
        <f>VLOOKUP(Registros[[#This Row],[Cliente]],Cliente_Region[],2,FALSE)</f>
        <v>Peru</v>
      </c>
      <c r="H1993" s="3" t="str">
        <f>VLOOKUP(Registros[[#This Row],[Producto]],Producto[],2,FALSE)</f>
        <v>DONANY</v>
      </c>
    </row>
    <row r="1994" spans="1:8" ht="20.100000000000001" customHeight="1" x14ac:dyDescent="0.25">
      <c r="A1994" s="3" t="s">
        <v>54</v>
      </c>
      <c r="B1994" s="3" t="s">
        <v>355</v>
      </c>
      <c r="C1994" s="3">
        <v>2022</v>
      </c>
      <c r="D1994" s="4">
        <v>2</v>
      </c>
      <c r="E1994" s="5">
        <v>368</v>
      </c>
      <c r="F1994" s="5">
        <v>168.14</v>
      </c>
      <c r="G1994" s="3" t="str">
        <f>VLOOKUP(Registros[[#This Row],[Cliente]],Cliente_Region[],2,FALSE)</f>
        <v>Peru</v>
      </c>
      <c r="H1994" s="3" t="str">
        <f>VLOOKUP(Registros[[#This Row],[Producto]],Producto[],2,FALSE)</f>
        <v>GAMBO</v>
      </c>
    </row>
    <row r="1995" spans="1:8" ht="20.100000000000001" customHeight="1" x14ac:dyDescent="0.25">
      <c r="A1995" s="3" t="s">
        <v>54</v>
      </c>
      <c r="B1995" s="3" t="s">
        <v>355</v>
      </c>
      <c r="C1995" s="3">
        <v>2022</v>
      </c>
      <c r="D1995" s="4">
        <v>3</v>
      </c>
      <c r="E1995" s="5">
        <v>77.75</v>
      </c>
      <c r="F1995" s="5">
        <v>35.01</v>
      </c>
      <c r="G1995" s="3" t="str">
        <f>VLOOKUP(Registros[[#This Row],[Cliente]],Cliente_Region[],2,FALSE)</f>
        <v>Peru</v>
      </c>
      <c r="H1995" s="3" t="str">
        <f>VLOOKUP(Registros[[#This Row],[Producto]],Producto[],2,FALSE)</f>
        <v>GAMBO</v>
      </c>
    </row>
    <row r="1996" spans="1:8" ht="20.100000000000001" customHeight="1" x14ac:dyDescent="0.25">
      <c r="A1996" s="3" t="s">
        <v>358</v>
      </c>
      <c r="B1996" s="3" t="s">
        <v>355</v>
      </c>
      <c r="C1996" s="3">
        <v>2022</v>
      </c>
      <c r="D1996" s="4">
        <v>1</v>
      </c>
      <c r="E1996" s="5">
        <v>114</v>
      </c>
      <c r="F1996" s="5">
        <v>33.340000000000003</v>
      </c>
      <c r="G1996" s="3" t="str">
        <f>VLOOKUP(Registros[[#This Row],[Cliente]],Cliente_Region[],2,FALSE)</f>
        <v>Peru</v>
      </c>
      <c r="H1996" s="3" t="str">
        <f>VLOOKUP(Registros[[#This Row],[Producto]],Producto[],2,FALSE)</f>
        <v>QUOKAR</v>
      </c>
    </row>
    <row r="1997" spans="1:8" ht="20.100000000000001" customHeight="1" x14ac:dyDescent="0.25">
      <c r="A1997" s="3" t="s">
        <v>359</v>
      </c>
      <c r="B1997" s="3" t="s">
        <v>355</v>
      </c>
      <c r="C1997" s="3">
        <v>2022</v>
      </c>
      <c r="D1997" s="4">
        <v>4</v>
      </c>
      <c r="E1997" s="5">
        <v>139</v>
      </c>
      <c r="F1997" s="5">
        <v>58.34</v>
      </c>
      <c r="G1997" s="3" t="str">
        <f>VLOOKUP(Registros[[#This Row],[Cliente]],Cliente_Region[],2,FALSE)</f>
        <v>Peru</v>
      </c>
      <c r="H1997" s="3" t="str">
        <f>VLOOKUP(Registros[[#This Row],[Producto]],Producto[],2,FALSE)</f>
        <v>DONANY</v>
      </c>
    </row>
    <row r="1998" spans="1:8" ht="20.100000000000001" customHeight="1" x14ac:dyDescent="0.25">
      <c r="A1998" s="3" t="s">
        <v>359</v>
      </c>
      <c r="B1998" s="3" t="s">
        <v>355</v>
      </c>
      <c r="C1998" s="3">
        <v>2022</v>
      </c>
      <c r="D1998" s="4">
        <v>5</v>
      </c>
      <c r="E1998" s="5">
        <v>417</v>
      </c>
      <c r="F1998" s="5">
        <v>175.02</v>
      </c>
      <c r="G1998" s="3" t="str">
        <f>VLOOKUP(Registros[[#This Row],[Cliente]],Cliente_Region[],2,FALSE)</f>
        <v>Peru</v>
      </c>
      <c r="H1998" s="3" t="str">
        <f>VLOOKUP(Registros[[#This Row],[Producto]],Producto[],2,FALSE)</f>
        <v>DONANY</v>
      </c>
    </row>
    <row r="1999" spans="1:8" ht="20.100000000000001" customHeight="1" x14ac:dyDescent="0.25">
      <c r="A1999" s="3" t="s">
        <v>338</v>
      </c>
      <c r="B1999" s="3" t="s">
        <v>355</v>
      </c>
      <c r="C1999" s="3">
        <v>2022</v>
      </c>
      <c r="D1999" s="4">
        <v>1</v>
      </c>
      <c r="E1999" s="5">
        <v>127</v>
      </c>
      <c r="F1999" s="5">
        <v>82.31</v>
      </c>
      <c r="G1999" s="3" t="str">
        <f>VLOOKUP(Registros[[#This Row],[Cliente]],Cliente_Region[],2,FALSE)</f>
        <v>Peru</v>
      </c>
      <c r="H1999" s="3" t="str">
        <f>VLOOKUP(Registros[[#This Row],[Producto]],Producto[],2,FALSE)</f>
        <v>DAWNE</v>
      </c>
    </row>
    <row r="2000" spans="1:8" ht="20.100000000000001" customHeight="1" x14ac:dyDescent="0.25">
      <c r="A2000" s="3" t="s">
        <v>339</v>
      </c>
      <c r="B2000" s="3" t="s">
        <v>355</v>
      </c>
      <c r="C2000" s="3">
        <v>2022</v>
      </c>
      <c r="D2000" s="4">
        <v>2</v>
      </c>
      <c r="E2000" s="5">
        <v>52.5</v>
      </c>
      <c r="F2000" s="5">
        <v>35.950000000000003</v>
      </c>
      <c r="G2000" s="3" t="str">
        <f>VLOOKUP(Registros[[#This Row],[Cliente]],Cliente_Region[],2,FALSE)</f>
        <v>Peru</v>
      </c>
      <c r="H2000" s="3" t="str">
        <f>VLOOKUP(Registros[[#This Row],[Producto]],Producto[],2,FALSE)</f>
        <v>LAX</v>
      </c>
    </row>
    <row r="2001" spans="1:8" ht="20.100000000000001" customHeight="1" x14ac:dyDescent="0.25">
      <c r="A2001" s="3" t="s">
        <v>339</v>
      </c>
      <c r="B2001" s="3" t="s">
        <v>355</v>
      </c>
      <c r="C2001" s="3">
        <v>2022</v>
      </c>
      <c r="D2001" s="4">
        <v>3</v>
      </c>
      <c r="E2001" s="5">
        <v>124</v>
      </c>
      <c r="F2001" s="5">
        <v>79.87</v>
      </c>
      <c r="G2001" s="3" t="str">
        <f>VLOOKUP(Registros[[#This Row],[Cliente]],Cliente_Region[],2,FALSE)</f>
        <v>Peru</v>
      </c>
      <c r="H2001" s="3" t="str">
        <f>VLOOKUP(Registros[[#This Row],[Producto]],Producto[],2,FALSE)</f>
        <v>LAX</v>
      </c>
    </row>
    <row r="2002" spans="1:8" ht="20.100000000000001" customHeight="1" x14ac:dyDescent="0.25">
      <c r="A2002" s="3" t="s">
        <v>339</v>
      </c>
      <c r="B2002" s="3" t="s">
        <v>355</v>
      </c>
      <c r="C2002" s="3">
        <v>2022</v>
      </c>
      <c r="D2002" s="4">
        <v>4</v>
      </c>
      <c r="E2002" s="5">
        <v>31</v>
      </c>
      <c r="F2002" s="5">
        <v>19.97</v>
      </c>
      <c r="G2002" s="3" t="str">
        <f>VLOOKUP(Registros[[#This Row],[Cliente]],Cliente_Region[],2,FALSE)</f>
        <v>Peru</v>
      </c>
      <c r="H2002" s="3" t="str">
        <f>VLOOKUP(Registros[[#This Row],[Producto]],Producto[],2,FALSE)</f>
        <v>LAX</v>
      </c>
    </row>
    <row r="2003" spans="1:8" ht="20.100000000000001" customHeight="1" x14ac:dyDescent="0.25">
      <c r="A2003" s="3" t="s">
        <v>339</v>
      </c>
      <c r="B2003" s="3" t="s">
        <v>355</v>
      </c>
      <c r="C2003" s="3">
        <v>2022</v>
      </c>
      <c r="D2003" s="4">
        <v>6</v>
      </c>
      <c r="E2003" s="5">
        <v>15.5</v>
      </c>
      <c r="F2003" s="5">
        <v>9.98</v>
      </c>
      <c r="G2003" s="3" t="str">
        <f>VLOOKUP(Registros[[#This Row],[Cliente]],Cliente_Region[],2,FALSE)</f>
        <v>Peru</v>
      </c>
      <c r="H2003" s="3" t="str">
        <f>VLOOKUP(Registros[[#This Row],[Producto]],Producto[],2,FALSE)</f>
        <v>LAX</v>
      </c>
    </row>
    <row r="2004" spans="1:8" ht="20.100000000000001" customHeight="1" x14ac:dyDescent="0.25">
      <c r="A2004" s="3" t="s">
        <v>120</v>
      </c>
      <c r="B2004" s="3" t="s">
        <v>355</v>
      </c>
      <c r="C2004" s="3">
        <v>2022</v>
      </c>
      <c r="D2004" s="4">
        <v>2</v>
      </c>
      <c r="E2004" s="5">
        <v>52.5</v>
      </c>
      <c r="F2004" s="5">
        <v>33.979999999999997</v>
      </c>
      <c r="G2004" s="3" t="str">
        <f>VLOOKUP(Registros[[#This Row],[Cliente]],Cliente_Region[],2,FALSE)</f>
        <v>Peru</v>
      </c>
      <c r="H2004" s="3" t="str">
        <f>VLOOKUP(Registros[[#This Row],[Producto]],Producto[],2,FALSE)</f>
        <v>LAX</v>
      </c>
    </row>
    <row r="2005" spans="1:8" ht="20.100000000000001" customHeight="1" x14ac:dyDescent="0.25">
      <c r="A2005" s="3" t="s">
        <v>58</v>
      </c>
      <c r="B2005" s="3" t="s">
        <v>355</v>
      </c>
      <c r="C2005" s="3">
        <v>2022</v>
      </c>
      <c r="D2005" s="4">
        <v>1</v>
      </c>
      <c r="E2005" s="5">
        <v>18.98</v>
      </c>
      <c r="F2005" s="5">
        <v>12.49</v>
      </c>
      <c r="G2005" s="3" t="str">
        <f>VLOOKUP(Registros[[#This Row],[Cliente]],Cliente_Region[],2,FALSE)</f>
        <v>Peru</v>
      </c>
      <c r="H2005" s="3" t="str">
        <f>VLOOKUP(Registros[[#This Row],[Producto]],Producto[],2,FALSE)</f>
        <v>MOC</v>
      </c>
    </row>
    <row r="2006" spans="1:8" ht="20.100000000000001" customHeight="1" x14ac:dyDescent="0.25">
      <c r="A2006" s="3" t="s">
        <v>59</v>
      </c>
      <c r="B2006" s="3" t="s">
        <v>355</v>
      </c>
      <c r="C2006" s="3">
        <v>2022</v>
      </c>
      <c r="D2006" s="4">
        <v>2</v>
      </c>
      <c r="E2006" s="5">
        <v>37.96</v>
      </c>
      <c r="F2006" s="5">
        <v>24.99</v>
      </c>
      <c r="G2006" s="3" t="str">
        <f>VLOOKUP(Registros[[#This Row],[Cliente]],Cliente_Region[],2,FALSE)</f>
        <v>Peru</v>
      </c>
      <c r="H2006" s="3" t="str">
        <f>VLOOKUP(Registros[[#This Row],[Producto]],Producto[],2,FALSE)</f>
        <v>QUOKAR</v>
      </c>
    </row>
    <row r="2007" spans="1:8" ht="20.100000000000001" customHeight="1" x14ac:dyDescent="0.25">
      <c r="A2007" s="3" t="s">
        <v>59</v>
      </c>
      <c r="B2007" s="3" t="s">
        <v>355</v>
      </c>
      <c r="C2007" s="3">
        <v>2022</v>
      </c>
      <c r="D2007" s="4">
        <v>3</v>
      </c>
      <c r="E2007" s="5">
        <v>38</v>
      </c>
      <c r="F2007" s="5">
        <v>25.03</v>
      </c>
      <c r="G2007" s="3" t="str">
        <f>VLOOKUP(Registros[[#This Row],[Cliente]],Cliente_Region[],2,FALSE)</f>
        <v>Peru</v>
      </c>
      <c r="H2007" s="3" t="str">
        <f>VLOOKUP(Registros[[#This Row],[Producto]],Producto[],2,FALSE)</f>
        <v>QUOKAR</v>
      </c>
    </row>
    <row r="2008" spans="1:8" ht="20.100000000000001" customHeight="1" x14ac:dyDescent="0.25">
      <c r="A2008" s="3" t="s">
        <v>59</v>
      </c>
      <c r="B2008" s="3" t="s">
        <v>355</v>
      </c>
      <c r="C2008" s="3">
        <v>2022</v>
      </c>
      <c r="D2008" s="4">
        <v>4</v>
      </c>
      <c r="E2008" s="5">
        <v>37.96</v>
      </c>
      <c r="F2008" s="5">
        <v>24.98</v>
      </c>
      <c r="G2008" s="3" t="str">
        <f>VLOOKUP(Registros[[#This Row],[Cliente]],Cliente_Region[],2,FALSE)</f>
        <v>Peru</v>
      </c>
      <c r="H2008" s="3" t="str">
        <f>VLOOKUP(Registros[[#This Row],[Producto]],Producto[],2,FALSE)</f>
        <v>QUOKAR</v>
      </c>
    </row>
    <row r="2009" spans="1:8" ht="20.100000000000001" customHeight="1" x14ac:dyDescent="0.25">
      <c r="A2009" s="3" t="s">
        <v>59</v>
      </c>
      <c r="B2009" s="3" t="s">
        <v>355</v>
      </c>
      <c r="C2009" s="3">
        <v>2022</v>
      </c>
      <c r="D2009" s="4">
        <v>5</v>
      </c>
      <c r="E2009" s="5">
        <v>37.96</v>
      </c>
      <c r="F2009" s="5">
        <v>24.98</v>
      </c>
      <c r="G2009" s="3" t="str">
        <f>VLOOKUP(Registros[[#This Row],[Cliente]],Cliente_Region[],2,FALSE)</f>
        <v>Peru</v>
      </c>
      <c r="H2009" s="3" t="str">
        <f>VLOOKUP(Registros[[#This Row],[Producto]],Producto[],2,FALSE)</f>
        <v>QUOKAR</v>
      </c>
    </row>
    <row r="2010" spans="1:8" ht="20.100000000000001" customHeight="1" x14ac:dyDescent="0.25">
      <c r="A2010" s="3" t="s">
        <v>59</v>
      </c>
      <c r="B2010" s="3" t="s">
        <v>355</v>
      </c>
      <c r="C2010" s="3">
        <v>2022</v>
      </c>
      <c r="D2010" s="4">
        <v>6</v>
      </c>
      <c r="E2010" s="5">
        <v>56.94</v>
      </c>
      <c r="F2010" s="5">
        <v>37.47</v>
      </c>
      <c r="G2010" s="3" t="str">
        <f>VLOOKUP(Registros[[#This Row],[Cliente]],Cliente_Region[],2,FALSE)</f>
        <v>Peru</v>
      </c>
      <c r="H2010" s="3" t="str">
        <f>VLOOKUP(Registros[[#This Row],[Producto]],Producto[],2,FALSE)</f>
        <v>QUOKAR</v>
      </c>
    </row>
    <row r="2011" spans="1:8" ht="20.100000000000001" customHeight="1" x14ac:dyDescent="0.25">
      <c r="A2011" s="3" t="s">
        <v>62</v>
      </c>
      <c r="B2011" s="3" t="s">
        <v>355</v>
      </c>
      <c r="C2011" s="3">
        <v>2022</v>
      </c>
      <c r="D2011" s="4">
        <v>1</v>
      </c>
      <c r="E2011" s="5">
        <v>126</v>
      </c>
      <c r="F2011" s="5">
        <v>45.08</v>
      </c>
      <c r="G2011" s="3" t="str">
        <f>VLOOKUP(Registros[[#This Row],[Cliente]],Cliente_Region[],2,FALSE)</f>
        <v>Peru</v>
      </c>
      <c r="H2011" s="3" t="str">
        <f>VLOOKUP(Registros[[#This Row],[Producto]],Producto[],2,FALSE)</f>
        <v>MOC</v>
      </c>
    </row>
    <row r="2012" spans="1:8" ht="20.100000000000001" customHeight="1" x14ac:dyDescent="0.25">
      <c r="A2012" s="3" t="s">
        <v>63</v>
      </c>
      <c r="B2012" s="3" t="s">
        <v>355</v>
      </c>
      <c r="C2012" s="3">
        <v>2022</v>
      </c>
      <c r="D2012" s="4">
        <v>2</v>
      </c>
      <c r="E2012" s="5">
        <v>126.25</v>
      </c>
      <c r="F2012" s="5">
        <v>58.65</v>
      </c>
      <c r="G2012" s="3" t="str">
        <f>VLOOKUP(Registros[[#This Row],[Cliente]],Cliente_Region[],2,FALSE)</f>
        <v>Peru</v>
      </c>
      <c r="H2012" s="3" t="str">
        <f>VLOOKUP(Registros[[#This Row],[Producto]],Producto[],2,FALSE)</f>
        <v>SALF</v>
      </c>
    </row>
    <row r="2013" spans="1:8" ht="20.100000000000001" customHeight="1" x14ac:dyDescent="0.25">
      <c r="A2013" s="3" t="s">
        <v>63</v>
      </c>
      <c r="B2013" s="3" t="s">
        <v>355</v>
      </c>
      <c r="C2013" s="3">
        <v>2022</v>
      </c>
      <c r="D2013" s="4">
        <v>3</v>
      </c>
      <c r="E2013" s="5">
        <v>63</v>
      </c>
      <c r="F2013" s="5">
        <v>22.48</v>
      </c>
      <c r="G2013" s="3" t="str">
        <f>VLOOKUP(Registros[[#This Row],[Cliente]],Cliente_Region[],2,FALSE)</f>
        <v>Peru</v>
      </c>
      <c r="H2013" s="3" t="str">
        <f>VLOOKUP(Registros[[#This Row],[Producto]],Producto[],2,FALSE)</f>
        <v>SALF</v>
      </c>
    </row>
    <row r="2014" spans="1:8" ht="20.100000000000001" customHeight="1" x14ac:dyDescent="0.25">
      <c r="A2014" s="3" t="s">
        <v>63</v>
      </c>
      <c r="B2014" s="3" t="s">
        <v>355</v>
      </c>
      <c r="C2014" s="3">
        <v>2022</v>
      </c>
      <c r="D2014" s="4">
        <v>4</v>
      </c>
      <c r="E2014" s="5">
        <v>71.5</v>
      </c>
      <c r="F2014" s="5">
        <v>31</v>
      </c>
      <c r="G2014" s="3" t="str">
        <f>VLOOKUP(Registros[[#This Row],[Cliente]],Cliente_Region[],2,FALSE)</f>
        <v>Peru</v>
      </c>
      <c r="H2014" s="3" t="str">
        <f>VLOOKUP(Registros[[#This Row],[Producto]],Producto[],2,FALSE)</f>
        <v>SALF</v>
      </c>
    </row>
    <row r="2015" spans="1:8" ht="20.100000000000001" customHeight="1" x14ac:dyDescent="0.25">
      <c r="A2015" s="3" t="s">
        <v>63</v>
      </c>
      <c r="B2015" s="3" t="s">
        <v>355</v>
      </c>
      <c r="C2015" s="3">
        <v>2022</v>
      </c>
      <c r="D2015" s="4">
        <v>5</v>
      </c>
      <c r="E2015" s="5">
        <v>75.75</v>
      </c>
      <c r="F2015" s="5">
        <v>46.04</v>
      </c>
      <c r="G2015" s="3" t="str">
        <f>VLOOKUP(Registros[[#This Row],[Cliente]],Cliente_Region[],2,FALSE)</f>
        <v>Peru</v>
      </c>
      <c r="H2015" s="3" t="str">
        <f>VLOOKUP(Registros[[#This Row],[Producto]],Producto[],2,FALSE)</f>
        <v>SALF</v>
      </c>
    </row>
    <row r="2016" spans="1:8" ht="20.100000000000001" customHeight="1" x14ac:dyDescent="0.25">
      <c r="A2016" s="3" t="s">
        <v>63</v>
      </c>
      <c r="B2016" s="3" t="s">
        <v>355</v>
      </c>
      <c r="C2016" s="3">
        <v>2022</v>
      </c>
      <c r="D2016" s="4">
        <v>6</v>
      </c>
      <c r="E2016" s="5">
        <v>63</v>
      </c>
      <c r="F2016" s="5">
        <v>24.18</v>
      </c>
      <c r="G2016" s="3" t="str">
        <f>VLOOKUP(Registros[[#This Row],[Cliente]],Cliente_Region[],2,FALSE)</f>
        <v>Peru</v>
      </c>
      <c r="H2016" s="3" t="str">
        <f>VLOOKUP(Registros[[#This Row],[Producto]],Producto[],2,FALSE)</f>
        <v>SALF</v>
      </c>
    </row>
    <row r="2017" spans="1:8" ht="20.100000000000001" customHeight="1" x14ac:dyDescent="0.25">
      <c r="A2017" s="3" t="s">
        <v>186</v>
      </c>
      <c r="B2017" s="3" t="s">
        <v>355</v>
      </c>
      <c r="C2017" s="3">
        <v>2022</v>
      </c>
      <c r="D2017" s="4">
        <v>1</v>
      </c>
      <c r="E2017" s="5">
        <v>16.25</v>
      </c>
      <c r="F2017" s="5">
        <v>8.5</v>
      </c>
      <c r="G2017" s="3" t="str">
        <f>VLOOKUP(Registros[[#This Row],[Cliente]],Cliente_Region[],2,FALSE)</f>
        <v>Peru</v>
      </c>
      <c r="H2017" s="3" t="str">
        <f>VLOOKUP(Registros[[#This Row],[Producto]],Producto[],2,FALSE)</f>
        <v>SALF</v>
      </c>
    </row>
    <row r="2018" spans="1:8" ht="20.100000000000001" customHeight="1" x14ac:dyDescent="0.25">
      <c r="A2018" s="3" t="s">
        <v>248</v>
      </c>
      <c r="B2018" s="3" t="s">
        <v>355</v>
      </c>
      <c r="C2018" s="3">
        <v>2022</v>
      </c>
      <c r="D2018" s="4">
        <v>1</v>
      </c>
      <c r="E2018" s="5">
        <v>10.75</v>
      </c>
      <c r="F2018" s="5">
        <v>6.49</v>
      </c>
      <c r="G2018" s="3" t="str">
        <f>VLOOKUP(Registros[[#This Row],[Cliente]],Cliente_Region[],2,FALSE)</f>
        <v>Peru</v>
      </c>
      <c r="H2018" s="3" t="str">
        <f>VLOOKUP(Registros[[#This Row],[Producto]],Producto[],2,FALSE)</f>
        <v>DONANY</v>
      </c>
    </row>
    <row r="2019" spans="1:8" ht="20.100000000000001" customHeight="1" x14ac:dyDescent="0.25">
      <c r="A2019" s="3" t="s">
        <v>361</v>
      </c>
      <c r="B2019" s="3" t="s">
        <v>360</v>
      </c>
      <c r="C2019" s="3">
        <v>2022</v>
      </c>
      <c r="D2019" s="4">
        <v>4</v>
      </c>
      <c r="E2019" s="5">
        <v>34.1</v>
      </c>
      <c r="F2019" s="5">
        <v>16.45</v>
      </c>
      <c r="G2019" s="3" t="str">
        <f>VLOOKUP(Registros[[#This Row],[Cliente]],Cliente_Region[],2,FALSE)</f>
        <v>Canada</v>
      </c>
      <c r="H2019" s="3" t="str">
        <f>VLOOKUP(Registros[[#This Row],[Producto]],Producto[],2,FALSE)</f>
        <v>CHOTUS</v>
      </c>
    </row>
    <row r="2020" spans="1:8" ht="20.100000000000001" customHeight="1" x14ac:dyDescent="0.25">
      <c r="A2020" s="3" t="s">
        <v>253</v>
      </c>
      <c r="B2020" s="3" t="s">
        <v>360</v>
      </c>
      <c r="C2020" s="3">
        <v>2022</v>
      </c>
      <c r="D2020" s="4">
        <v>1</v>
      </c>
      <c r="E2020" s="5">
        <v>810</v>
      </c>
      <c r="F2020" s="5">
        <v>212.19</v>
      </c>
      <c r="G2020" s="3" t="str">
        <f>VLOOKUP(Registros[[#This Row],[Cliente]],Cliente_Region[],2,FALSE)</f>
        <v>Canada</v>
      </c>
      <c r="H2020" s="3" t="str">
        <f>VLOOKUP(Registros[[#This Row],[Producto]],Producto[],2,FALSE)</f>
        <v>LAX</v>
      </c>
    </row>
    <row r="2021" spans="1:8" ht="20.100000000000001" customHeight="1" x14ac:dyDescent="0.25">
      <c r="A2021" s="3" t="s">
        <v>14</v>
      </c>
      <c r="B2021" s="3" t="s">
        <v>360</v>
      </c>
      <c r="C2021" s="3">
        <v>2022</v>
      </c>
      <c r="D2021" s="4">
        <v>2</v>
      </c>
      <c r="E2021" s="5">
        <v>664.95</v>
      </c>
      <c r="F2021" s="5">
        <v>194.43</v>
      </c>
      <c r="G2021" s="3" t="str">
        <f>VLOOKUP(Registros[[#This Row],[Cliente]],Cliente_Region[],2,FALSE)</f>
        <v>Canada</v>
      </c>
      <c r="H2021" s="3" t="str">
        <f>VLOOKUP(Registros[[#This Row],[Producto]],Producto[],2,FALSE)</f>
        <v>SALF</v>
      </c>
    </row>
    <row r="2022" spans="1:8" ht="20.100000000000001" customHeight="1" x14ac:dyDescent="0.25">
      <c r="A2022" s="3" t="s">
        <v>14</v>
      </c>
      <c r="B2022" s="3" t="s">
        <v>360</v>
      </c>
      <c r="C2022" s="3">
        <v>2022</v>
      </c>
      <c r="D2022" s="4">
        <v>3</v>
      </c>
      <c r="E2022" s="5">
        <v>635.79999999999995</v>
      </c>
      <c r="F2022" s="5">
        <v>159.61000000000001</v>
      </c>
      <c r="G2022" s="3" t="str">
        <f>VLOOKUP(Registros[[#This Row],[Cliente]],Cliente_Region[],2,FALSE)</f>
        <v>Canada</v>
      </c>
      <c r="H2022" s="3" t="str">
        <f>VLOOKUP(Registros[[#This Row],[Producto]],Producto[],2,FALSE)</f>
        <v>SALF</v>
      </c>
    </row>
    <row r="2023" spans="1:8" ht="20.100000000000001" customHeight="1" x14ac:dyDescent="0.25">
      <c r="A2023" s="3" t="s">
        <v>14</v>
      </c>
      <c r="B2023" s="3" t="s">
        <v>360</v>
      </c>
      <c r="C2023" s="3">
        <v>2022</v>
      </c>
      <c r="D2023" s="4">
        <v>4</v>
      </c>
      <c r="E2023" s="5">
        <v>762</v>
      </c>
      <c r="F2023" s="5">
        <v>209.82</v>
      </c>
      <c r="G2023" s="3" t="str">
        <f>VLOOKUP(Registros[[#This Row],[Cliente]],Cliente_Region[],2,FALSE)</f>
        <v>Canada</v>
      </c>
      <c r="H2023" s="3" t="str">
        <f>VLOOKUP(Registros[[#This Row],[Producto]],Producto[],2,FALSE)</f>
        <v>SALF</v>
      </c>
    </row>
    <row r="2024" spans="1:8" ht="20.100000000000001" customHeight="1" x14ac:dyDescent="0.25">
      <c r="A2024" s="3" t="s">
        <v>14</v>
      </c>
      <c r="B2024" s="3" t="s">
        <v>360</v>
      </c>
      <c r="C2024" s="3">
        <v>2022</v>
      </c>
      <c r="D2024" s="4">
        <v>5</v>
      </c>
      <c r="E2024" s="5">
        <v>783.75</v>
      </c>
      <c r="F2024" s="5">
        <v>236.75</v>
      </c>
      <c r="G2024" s="3" t="str">
        <f>VLOOKUP(Registros[[#This Row],[Cliente]],Cliente_Region[],2,FALSE)</f>
        <v>Canada</v>
      </c>
      <c r="H2024" s="3" t="str">
        <f>VLOOKUP(Registros[[#This Row],[Producto]],Producto[],2,FALSE)</f>
        <v>SALF</v>
      </c>
    </row>
    <row r="2025" spans="1:8" ht="20.100000000000001" customHeight="1" x14ac:dyDescent="0.25">
      <c r="A2025" s="3" t="s">
        <v>14</v>
      </c>
      <c r="B2025" s="3" t="s">
        <v>360</v>
      </c>
      <c r="C2025" s="3">
        <v>2022</v>
      </c>
      <c r="D2025" s="4">
        <v>6</v>
      </c>
      <c r="E2025" s="5">
        <v>584.25</v>
      </c>
      <c r="F2025" s="5">
        <v>176.54</v>
      </c>
      <c r="G2025" s="3" t="str">
        <f>VLOOKUP(Registros[[#This Row],[Cliente]],Cliente_Region[],2,FALSE)</f>
        <v>Canada</v>
      </c>
      <c r="H2025" s="3" t="str">
        <f>VLOOKUP(Registros[[#This Row],[Producto]],Producto[],2,FALSE)</f>
        <v>SALF</v>
      </c>
    </row>
    <row r="2026" spans="1:8" ht="20.100000000000001" customHeight="1" x14ac:dyDescent="0.25">
      <c r="A2026" s="3" t="s">
        <v>98</v>
      </c>
      <c r="B2026" s="3" t="s">
        <v>360</v>
      </c>
      <c r="C2026" s="3">
        <v>2022</v>
      </c>
      <c r="D2026" s="4">
        <v>1</v>
      </c>
      <c r="E2026" s="5">
        <v>1440.25</v>
      </c>
      <c r="F2026" s="5">
        <v>466.13</v>
      </c>
      <c r="G2026" s="3" t="str">
        <f>VLOOKUP(Registros[[#This Row],[Cliente]],Cliente_Region[],2,FALSE)</f>
        <v>Canada</v>
      </c>
      <c r="H2026" s="3" t="str">
        <f>VLOOKUP(Registros[[#This Row],[Producto]],Producto[],2,FALSE)</f>
        <v>MOC</v>
      </c>
    </row>
    <row r="2027" spans="1:8" ht="20.100000000000001" customHeight="1" x14ac:dyDescent="0.25">
      <c r="A2027" s="3" t="s">
        <v>99</v>
      </c>
      <c r="B2027" s="3" t="s">
        <v>360</v>
      </c>
      <c r="C2027" s="3">
        <v>2022</v>
      </c>
      <c r="D2027" s="4">
        <v>2</v>
      </c>
      <c r="E2027" s="5">
        <v>1475</v>
      </c>
      <c r="F2027" s="5">
        <v>492.77</v>
      </c>
      <c r="G2027" s="3" t="str">
        <f>VLOOKUP(Registros[[#This Row],[Cliente]],Cliente_Region[],2,FALSE)</f>
        <v>Canada</v>
      </c>
      <c r="H2027" s="3" t="str">
        <f>VLOOKUP(Registros[[#This Row],[Producto]],Producto[],2,FALSE)</f>
        <v>MOC</v>
      </c>
    </row>
    <row r="2028" spans="1:8" ht="20.100000000000001" customHeight="1" x14ac:dyDescent="0.25">
      <c r="A2028" s="3" t="s">
        <v>99</v>
      </c>
      <c r="B2028" s="3" t="s">
        <v>360</v>
      </c>
      <c r="C2028" s="3">
        <v>2022</v>
      </c>
      <c r="D2028" s="4">
        <v>3</v>
      </c>
      <c r="E2028" s="5">
        <v>1327.5</v>
      </c>
      <c r="F2028" s="5">
        <v>446.02</v>
      </c>
      <c r="G2028" s="3" t="str">
        <f>VLOOKUP(Registros[[#This Row],[Cliente]],Cliente_Region[],2,FALSE)</f>
        <v>Canada</v>
      </c>
      <c r="H2028" s="3" t="str">
        <f>VLOOKUP(Registros[[#This Row],[Producto]],Producto[],2,FALSE)</f>
        <v>MOC</v>
      </c>
    </row>
    <row r="2029" spans="1:8" ht="20.100000000000001" customHeight="1" x14ac:dyDescent="0.25">
      <c r="A2029" s="3" t="s">
        <v>99</v>
      </c>
      <c r="B2029" s="3" t="s">
        <v>360</v>
      </c>
      <c r="C2029" s="3">
        <v>2022</v>
      </c>
      <c r="D2029" s="4">
        <v>4</v>
      </c>
      <c r="E2029" s="5">
        <v>1425</v>
      </c>
      <c r="F2029" s="5">
        <v>456.38</v>
      </c>
      <c r="G2029" s="3" t="str">
        <f>VLOOKUP(Registros[[#This Row],[Cliente]],Cliente_Region[],2,FALSE)</f>
        <v>Canada</v>
      </c>
      <c r="H2029" s="3" t="str">
        <f>VLOOKUP(Registros[[#This Row],[Producto]],Producto[],2,FALSE)</f>
        <v>MOC</v>
      </c>
    </row>
    <row r="2030" spans="1:8" ht="20.100000000000001" customHeight="1" x14ac:dyDescent="0.25">
      <c r="A2030" s="3" t="s">
        <v>99</v>
      </c>
      <c r="B2030" s="3" t="s">
        <v>360</v>
      </c>
      <c r="C2030" s="3">
        <v>2022</v>
      </c>
      <c r="D2030" s="4">
        <v>5</v>
      </c>
      <c r="E2030" s="5">
        <v>1240</v>
      </c>
      <c r="F2030" s="5">
        <v>421.31</v>
      </c>
      <c r="G2030" s="3" t="str">
        <f>VLOOKUP(Registros[[#This Row],[Cliente]],Cliente_Region[],2,FALSE)</f>
        <v>Canada</v>
      </c>
      <c r="H2030" s="3" t="str">
        <f>VLOOKUP(Registros[[#This Row],[Producto]],Producto[],2,FALSE)</f>
        <v>MOC</v>
      </c>
    </row>
    <row r="2031" spans="1:8" ht="20.100000000000001" customHeight="1" x14ac:dyDescent="0.25">
      <c r="A2031" s="3" t="s">
        <v>99</v>
      </c>
      <c r="B2031" s="3" t="s">
        <v>360</v>
      </c>
      <c r="C2031" s="3">
        <v>2022</v>
      </c>
      <c r="D2031" s="4">
        <v>6</v>
      </c>
      <c r="E2031" s="5">
        <v>1240</v>
      </c>
      <c r="F2031" s="5">
        <v>456.82</v>
      </c>
      <c r="G2031" s="3" t="str">
        <f>VLOOKUP(Registros[[#This Row],[Cliente]],Cliente_Region[],2,FALSE)</f>
        <v>Canada</v>
      </c>
      <c r="H2031" s="3" t="str">
        <f>VLOOKUP(Registros[[#This Row],[Producto]],Producto[],2,FALSE)</f>
        <v>MOC</v>
      </c>
    </row>
    <row r="2032" spans="1:8" ht="20.100000000000001" customHeight="1" x14ac:dyDescent="0.25">
      <c r="A2032" s="3" t="s">
        <v>363</v>
      </c>
      <c r="B2032" s="3" t="s">
        <v>360</v>
      </c>
      <c r="C2032" s="3">
        <v>2022</v>
      </c>
      <c r="D2032" s="4">
        <v>1</v>
      </c>
      <c r="E2032" s="5">
        <v>28.5</v>
      </c>
      <c r="F2032" s="5">
        <v>2</v>
      </c>
      <c r="G2032" s="3" t="str">
        <f>VLOOKUP(Registros[[#This Row],[Cliente]],Cliente_Region[],2,FALSE)</f>
        <v>Canada</v>
      </c>
      <c r="H2032" s="3" t="str">
        <f>VLOOKUP(Registros[[#This Row],[Producto]],Producto[],2,FALSE)</f>
        <v>GAMBO</v>
      </c>
    </row>
    <row r="2033" spans="1:8" ht="20.100000000000001" customHeight="1" x14ac:dyDescent="0.25">
      <c r="A2033" s="3" t="s">
        <v>321</v>
      </c>
      <c r="B2033" s="3" t="s">
        <v>360</v>
      </c>
      <c r="C2033" s="3">
        <v>2022</v>
      </c>
      <c r="D2033" s="4">
        <v>1</v>
      </c>
      <c r="E2033" s="5">
        <v>196.5</v>
      </c>
      <c r="F2033" s="5">
        <v>54.3</v>
      </c>
      <c r="G2033" s="3" t="str">
        <f>VLOOKUP(Registros[[#This Row],[Cliente]],Cliente_Region[],2,FALSE)</f>
        <v>Canada</v>
      </c>
      <c r="H2033" s="3" t="str">
        <f>VLOOKUP(Registros[[#This Row],[Producto]],Producto[],2,FALSE)</f>
        <v>GAMBO</v>
      </c>
    </row>
    <row r="2034" spans="1:8" ht="20.100000000000001" customHeight="1" x14ac:dyDescent="0.25">
      <c r="A2034" s="3" t="s">
        <v>322</v>
      </c>
      <c r="B2034" s="3" t="s">
        <v>360</v>
      </c>
      <c r="C2034" s="3">
        <v>2022</v>
      </c>
      <c r="D2034" s="4">
        <v>2</v>
      </c>
      <c r="E2034" s="5">
        <v>161.94999999999999</v>
      </c>
      <c r="F2034" s="5">
        <v>41.87</v>
      </c>
      <c r="G2034" s="3" t="str">
        <f>VLOOKUP(Registros[[#This Row],[Cliente]],Cliente_Region[],2,FALSE)</f>
        <v>Canada</v>
      </c>
      <c r="H2034" s="3" t="str">
        <f>VLOOKUP(Registros[[#This Row],[Producto]],Producto[],2,FALSE)</f>
        <v>LAX</v>
      </c>
    </row>
    <row r="2035" spans="1:8" ht="20.100000000000001" customHeight="1" x14ac:dyDescent="0.25">
      <c r="A2035" s="3" t="s">
        <v>322</v>
      </c>
      <c r="B2035" s="3" t="s">
        <v>360</v>
      </c>
      <c r="C2035" s="3">
        <v>2022</v>
      </c>
      <c r="D2035" s="4">
        <v>3</v>
      </c>
      <c r="E2035" s="5">
        <v>195.85</v>
      </c>
      <c r="F2035" s="5">
        <v>34.520000000000003</v>
      </c>
      <c r="G2035" s="3" t="str">
        <f>VLOOKUP(Registros[[#This Row],[Cliente]],Cliente_Region[],2,FALSE)</f>
        <v>Canada</v>
      </c>
      <c r="H2035" s="3" t="str">
        <f>VLOOKUP(Registros[[#This Row],[Producto]],Producto[],2,FALSE)</f>
        <v>LAX</v>
      </c>
    </row>
    <row r="2036" spans="1:8" ht="20.100000000000001" customHeight="1" x14ac:dyDescent="0.25">
      <c r="A2036" s="3" t="s">
        <v>322</v>
      </c>
      <c r="B2036" s="3" t="s">
        <v>360</v>
      </c>
      <c r="C2036" s="3">
        <v>2022</v>
      </c>
      <c r="D2036" s="4">
        <v>4</v>
      </c>
      <c r="E2036" s="5">
        <v>180</v>
      </c>
      <c r="F2036" s="5">
        <v>55.63</v>
      </c>
      <c r="G2036" s="3" t="str">
        <f>VLOOKUP(Registros[[#This Row],[Cliente]],Cliente_Region[],2,FALSE)</f>
        <v>Canada</v>
      </c>
      <c r="H2036" s="3" t="str">
        <f>VLOOKUP(Registros[[#This Row],[Producto]],Producto[],2,FALSE)</f>
        <v>LAX</v>
      </c>
    </row>
    <row r="2037" spans="1:8" ht="20.100000000000001" customHeight="1" x14ac:dyDescent="0.25">
      <c r="A2037" s="3" t="s">
        <v>322</v>
      </c>
      <c r="B2037" s="3" t="s">
        <v>360</v>
      </c>
      <c r="C2037" s="3">
        <v>2022</v>
      </c>
      <c r="D2037" s="4">
        <v>5</v>
      </c>
      <c r="E2037" s="5">
        <v>182.35</v>
      </c>
      <c r="F2037" s="5">
        <v>56.65</v>
      </c>
      <c r="G2037" s="3" t="str">
        <f>VLOOKUP(Registros[[#This Row],[Cliente]],Cliente_Region[],2,FALSE)</f>
        <v>Canada</v>
      </c>
      <c r="H2037" s="3" t="str">
        <f>VLOOKUP(Registros[[#This Row],[Producto]],Producto[],2,FALSE)</f>
        <v>LAX</v>
      </c>
    </row>
    <row r="2038" spans="1:8" ht="20.100000000000001" customHeight="1" x14ac:dyDescent="0.25">
      <c r="A2038" s="3" t="s">
        <v>322</v>
      </c>
      <c r="B2038" s="3" t="s">
        <v>360</v>
      </c>
      <c r="C2038" s="3">
        <v>2022</v>
      </c>
      <c r="D2038" s="4">
        <v>6</v>
      </c>
      <c r="E2038" s="5">
        <v>121.5</v>
      </c>
      <c r="F2038" s="5">
        <v>36.74</v>
      </c>
      <c r="G2038" s="3" t="str">
        <f>VLOOKUP(Registros[[#This Row],[Cliente]],Cliente_Region[],2,FALSE)</f>
        <v>Canada</v>
      </c>
      <c r="H2038" s="3" t="str">
        <f>VLOOKUP(Registros[[#This Row],[Producto]],Producto[],2,FALSE)</f>
        <v>LAX</v>
      </c>
    </row>
    <row r="2039" spans="1:8" ht="20.100000000000001" customHeight="1" x14ac:dyDescent="0.25">
      <c r="A2039" s="3" t="s">
        <v>327</v>
      </c>
      <c r="B2039" s="3" t="s">
        <v>360</v>
      </c>
      <c r="C2039" s="3">
        <v>2022</v>
      </c>
      <c r="D2039" s="4">
        <v>4</v>
      </c>
      <c r="E2039" s="5">
        <v>28</v>
      </c>
      <c r="F2039" s="5">
        <v>4.51</v>
      </c>
      <c r="G2039" s="3" t="str">
        <f>VLOOKUP(Registros[[#This Row],[Cliente]],Cliente_Region[],2,FALSE)</f>
        <v>Canada</v>
      </c>
      <c r="H2039" s="3" t="str">
        <f>VLOOKUP(Registros[[#This Row],[Producto]],Producto[],2,FALSE)</f>
        <v>CHOTUS</v>
      </c>
    </row>
    <row r="2040" spans="1:8" ht="20.100000000000001" customHeight="1" x14ac:dyDescent="0.25">
      <c r="A2040" s="3" t="s">
        <v>11</v>
      </c>
      <c r="B2040" s="3" t="s">
        <v>360</v>
      </c>
      <c r="C2040" s="3">
        <v>2022</v>
      </c>
      <c r="D2040" s="4">
        <v>1</v>
      </c>
      <c r="E2040" s="5">
        <v>108</v>
      </c>
      <c r="F2040" s="5">
        <v>54.19</v>
      </c>
      <c r="G2040" s="3" t="str">
        <f>VLOOKUP(Registros[[#This Row],[Cliente]],Cliente_Region[],2,FALSE)</f>
        <v>Canada</v>
      </c>
      <c r="H2040" s="3" t="str">
        <f>VLOOKUP(Registros[[#This Row],[Producto]],Producto[],2,FALSE)</f>
        <v>DONANY</v>
      </c>
    </row>
    <row r="2041" spans="1:8" ht="20.100000000000001" customHeight="1" x14ac:dyDescent="0.25">
      <c r="A2041" s="3" t="s">
        <v>292</v>
      </c>
      <c r="B2041" s="3" t="s">
        <v>360</v>
      </c>
      <c r="C2041" s="3">
        <v>2022</v>
      </c>
      <c r="D2041" s="4">
        <v>2</v>
      </c>
      <c r="E2041" s="5">
        <v>73.52</v>
      </c>
      <c r="F2041" s="5">
        <v>37.64</v>
      </c>
      <c r="G2041" s="3" t="str">
        <f>VLOOKUP(Registros[[#This Row],[Cliente]],Cliente_Region[],2,FALSE)</f>
        <v>Canada</v>
      </c>
      <c r="H2041" s="3" t="str">
        <f>VLOOKUP(Registros[[#This Row],[Producto]],Producto[],2,FALSE)</f>
        <v>QUOKAR</v>
      </c>
    </row>
    <row r="2042" spans="1:8" ht="20.100000000000001" customHeight="1" x14ac:dyDescent="0.25">
      <c r="A2042" s="3" t="s">
        <v>292</v>
      </c>
      <c r="B2042" s="3" t="s">
        <v>360</v>
      </c>
      <c r="C2042" s="3">
        <v>2022</v>
      </c>
      <c r="D2042" s="4">
        <v>3</v>
      </c>
      <c r="E2042" s="5">
        <v>84</v>
      </c>
      <c r="F2042" s="5">
        <v>42.14</v>
      </c>
      <c r="G2042" s="3" t="str">
        <f>VLOOKUP(Registros[[#This Row],[Cliente]],Cliente_Region[],2,FALSE)</f>
        <v>Canada</v>
      </c>
      <c r="H2042" s="3" t="str">
        <f>VLOOKUP(Registros[[#This Row],[Producto]],Producto[],2,FALSE)</f>
        <v>QUOKAR</v>
      </c>
    </row>
    <row r="2043" spans="1:8" ht="20.100000000000001" customHeight="1" x14ac:dyDescent="0.25">
      <c r="A2043" s="3" t="s">
        <v>292</v>
      </c>
      <c r="B2043" s="3" t="s">
        <v>360</v>
      </c>
      <c r="C2043" s="3">
        <v>2022</v>
      </c>
      <c r="D2043" s="4">
        <v>4</v>
      </c>
      <c r="E2043" s="5">
        <v>86.5</v>
      </c>
      <c r="F2043" s="5">
        <v>44.65</v>
      </c>
      <c r="G2043" s="3" t="str">
        <f>VLOOKUP(Registros[[#This Row],[Cliente]],Cliente_Region[],2,FALSE)</f>
        <v>Canada</v>
      </c>
      <c r="H2043" s="3" t="str">
        <f>VLOOKUP(Registros[[#This Row],[Producto]],Producto[],2,FALSE)</f>
        <v>QUOKAR</v>
      </c>
    </row>
    <row r="2044" spans="1:8" ht="20.100000000000001" customHeight="1" x14ac:dyDescent="0.25">
      <c r="A2044" s="3" t="s">
        <v>292</v>
      </c>
      <c r="B2044" s="3" t="s">
        <v>360</v>
      </c>
      <c r="C2044" s="3">
        <v>2022</v>
      </c>
      <c r="D2044" s="4">
        <v>5</v>
      </c>
      <c r="E2044" s="5">
        <v>87.5</v>
      </c>
      <c r="F2044" s="5">
        <v>45.65</v>
      </c>
      <c r="G2044" s="3" t="str">
        <f>VLOOKUP(Registros[[#This Row],[Cliente]],Cliente_Region[],2,FALSE)</f>
        <v>Canada</v>
      </c>
      <c r="H2044" s="3" t="str">
        <f>VLOOKUP(Registros[[#This Row],[Producto]],Producto[],2,FALSE)</f>
        <v>QUOKAR</v>
      </c>
    </row>
    <row r="2045" spans="1:8" ht="20.100000000000001" customHeight="1" x14ac:dyDescent="0.25">
      <c r="A2045" s="3" t="s">
        <v>292</v>
      </c>
      <c r="B2045" s="3" t="s">
        <v>360</v>
      </c>
      <c r="C2045" s="3">
        <v>2022</v>
      </c>
      <c r="D2045" s="4">
        <v>6</v>
      </c>
      <c r="E2045" s="5">
        <v>62.5</v>
      </c>
      <c r="F2045" s="5">
        <v>32.61</v>
      </c>
      <c r="G2045" s="3" t="str">
        <f>VLOOKUP(Registros[[#This Row],[Cliente]],Cliente_Region[],2,FALSE)</f>
        <v>Canada</v>
      </c>
      <c r="H2045" s="3" t="str">
        <f>VLOOKUP(Registros[[#This Row],[Producto]],Producto[],2,FALSE)</f>
        <v>QUOKAR</v>
      </c>
    </row>
    <row r="2046" spans="1:8" ht="20.100000000000001" customHeight="1" x14ac:dyDescent="0.25">
      <c r="A2046" s="3" t="s">
        <v>323</v>
      </c>
      <c r="B2046" s="3" t="s">
        <v>360</v>
      </c>
      <c r="C2046" s="3">
        <v>2022</v>
      </c>
      <c r="D2046" s="4">
        <v>4</v>
      </c>
      <c r="E2046" s="5">
        <v>77</v>
      </c>
      <c r="F2046" s="5">
        <v>27.05</v>
      </c>
      <c r="G2046" s="3" t="str">
        <f>VLOOKUP(Registros[[#This Row],[Cliente]],Cliente_Region[],2,FALSE)</f>
        <v>Canada</v>
      </c>
      <c r="H2046" s="3" t="str">
        <f>VLOOKUP(Registros[[#This Row],[Producto]],Producto[],2,FALSE)</f>
        <v>GAMBO</v>
      </c>
    </row>
    <row r="2047" spans="1:8" ht="20.100000000000001" customHeight="1" x14ac:dyDescent="0.25">
      <c r="A2047" s="3" t="s">
        <v>293</v>
      </c>
      <c r="B2047" s="3" t="s">
        <v>360</v>
      </c>
      <c r="C2047" s="3">
        <v>2022</v>
      </c>
      <c r="D2047" s="4">
        <v>1</v>
      </c>
      <c r="E2047" s="5">
        <v>215</v>
      </c>
      <c r="F2047" s="5">
        <v>48.51</v>
      </c>
      <c r="G2047" s="3" t="str">
        <f>VLOOKUP(Registros[[#This Row],[Cliente]],Cliente_Region[],2,FALSE)</f>
        <v>Canada</v>
      </c>
      <c r="H2047" s="3" t="str">
        <f>VLOOKUP(Registros[[#This Row],[Producto]],Producto[],2,FALSE)</f>
        <v>QUOKAR</v>
      </c>
    </row>
    <row r="2048" spans="1:8" ht="20.100000000000001" customHeight="1" x14ac:dyDescent="0.25">
      <c r="A2048" s="3" t="s">
        <v>294</v>
      </c>
      <c r="B2048" s="3" t="s">
        <v>360</v>
      </c>
      <c r="C2048" s="3">
        <v>2022</v>
      </c>
      <c r="D2048" s="4">
        <v>2</v>
      </c>
      <c r="E2048" s="5">
        <v>225.32</v>
      </c>
      <c r="F2048" s="5">
        <v>36.6</v>
      </c>
      <c r="G2048" s="3" t="str">
        <f>VLOOKUP(Registros[[#This Row],[Cliente]],Cliente_Region[],2,FALSE)</f>
        <v>Canada</v>
      </c>
      <c r="H2048" s="3" t="str">
        <f>VLOOKUP(Registros[[#This Row],[Producto]],Producto[],2,FALSE)</f>
        <v>CHOTUS</v>
      </c>
    </row>
    <row r="2049" spans="1:8" ht="20.100000000000001" customHeight="1" x14ac:dyDescent="0.25">
      <c r="A2049" s="3" t="s">
        <v>294</v>
      </c>
      <c r="B2049" s="3" t="s">
        <v>360</v>
      </c>
      <c r="C2049" s="3">
        <v>2022</v>
      </c>
      <c r="D2049" s="4">
        <v>3</v>
      </c>
      <c r="E2049" s="5">
        <v>232.76</v>
      </c>
      <c r="F2049" s="5">
        <v>57.42</v>
      </c>
      <c r="G2049" s="3" t="str">
        <f>VLOOKUP(Registros[[#This Row],[Cliente]],Cliente_Region[],2,FALSE)</f>
        <v>Canada</v>
      </c>
      <c r="H2049" s="3" t="str">
        <f>VLOOKUP(Registros[[#This Row],[Producto]],Producto[],2,FALSE)</f>
        <v>CHOTUS</v>
      </c>
    </row>
    <row r="2050" spans="1:8" ht="20.100000000000001" customHeight="1" x14ac:dyDescent="0.25">
      <c r="A2050" s="3" t="s">
        <v>294</v>
      </c>
      <c r="B2050" s="3" t="s">
        <v>360</v>
      </c>
      <c r="C2050" s="3">
        <v>2022</v>
      </c>
      <c r="D2050" s="4">
        <v>4</v>
      </c>
      <c r="E2050" s="5">
        <v>169</v>
      </c>
      <c r="F2050" s="5">
        <v>43.63</v>
      </c>
      <c r="G2050" s="3" t="str">
        <f>VLOOKUP(Registros[[#This Row],[Cliente]],Cliente_Region[],2,FALSE)</f>
        <v>Canada</v>
      </c>
      <c r="H2050" s="3" t="str">
        <f>VLOOKUP(Registros[[#This Row],[Producto]],Producto[],2,FALSE)</f>
        <v>CHOTUS</v>
      </c>
    </row>
    <row r="2051" spans="1:8" ht="20.100000000000001" customHeight="1" x14ac:dyDescent="0.25">
      <c r="A2051" s="3" t="s">
        <v>294</v>
      </c>
      <c r="B2051" s="3" t="s">
        <v>360</v>
      </c>
      <c r="C2051" s="3">
        <v>2022</v>
      </c>
      <c r="D2051" s="4">
        <v>5</v>
      </c>
      <c r="E2051" s="5">
        <v>156</v>
      </c>
      <c r="F2051" s="5">
        <v>40.1</v>
      </c>
      <c r="G2051" s="3" t="str">
        <f>VLOOKUP(Registros[[#This Row],[Cliente]],Cliente_Region[],2,FALSE)</f>
        <v>Canada</v>
      </c>
      <c r="H2051" s="3" t="str">
        <f>VLOOKUP(Registros[[#This Row],[Producto]],Producto[],2,FALSE)</f>
        <v>CHOTUS</v>
      </c>
    </row>
    <row r="2052" spans="1:8" ht="20.100000000000001" customHeight="1" x14ac:dyDescent="0.25">
      <c r="A2052" s="3" t="s">
        <v>294</v>
      </c>
      <c r="B2052" s="3" t="s">
        <v>360</v>
      </c>
      <c r="C2052" s="3">
        <v>2022</v>
      </c>
      <c r="D2052" s="4">
        <v>6</v>
      </c>
      <c r="E2052" s="5">
        <v>116.38</v>
      </c>
      <c r="F2052" s="5">
        <v>28.18</v>
      </c>
      <c r="G2052" s="3" t="str">
        <f>VLOOKUP(Registros[[#This Row],[Cliente]],Cliente_Region[],2,FALSE)</f>
        <v>Canada</v>
      </c>
      <c r="H2052" s="3" t="str">
        <f>VLOOKUP(Registros[[#This Row],[Producto]],Producto[],2,FALSE)</f>
        <v>CHOTUS</v>
      </c>
    </row>
    <row r="2053" spans="1:8" ht="20.100000000000001" customHeight="1" x14ac:dyDescent="0.25">
      <c r="A2053" s="3" t="s">
        <v>310</v>
      </c>
      <c r="B2053" s="3" t="s">
        <v>360</v>
      </c>
      <c r="C2053" s="3">
        <v>2022</v>
      </c>
      <c r="D2053" s="4">
        <v>1</v>
      </c>
      <c r="E2053" s="5">
        <v>132</v>
      </c>
      <c r="F2053" s="5">
        <v>87.84</v>
      </c>
      <c r="G2053" s="3" t="str">
        <f>VLOOKUP(Registros[[#This Row],[Cliente]],Cliente_Region[],2,FALSE)</f>
        <v>Canada</v>
      </c>
      <c r="H2053" s="3" t="str">
        <f>VLOOKUP(Registros[[#This Row],[Producto]],Producto[],2,FALSE)</f>
        <v>DONANY</v>
      </c>
    </row>
    <row r="2054" spans="1:8" ht="20.100000000000001" customHeight="1" x14ac:dyDescent="0.25">
      <c r="A2054" s="3" t="s">
        <v>311</v>
      </c>
      <c r="B2054" s="3" t="s">
        <v>360</v>
      </c>
      <c r="C2054" s="3">
        <v>2022</v>
      </c>
      <c r="D2054" s="4">
        <v>2</v>
      </c>
      <c r="E2054" s="5">
        <v>65.19</v>
      </c>
      <c r="F2054" s="5">
        <v>43.11</v>
      </c>
      <c r="G2054" s="3" t="str">
        <f>VLOOKUP(Registros[[#This Row],[Cliente]],Cliente_Region[],2,FALSE)</f>
        <v>Canada</v>
      </c>
      <c r="H2054" s="3" t="str">
        <f>VLOOKUP(Registros[[#This Row],[Producto]],Producto[],2,FALSE)</f>
        <v>CHOTUS</v>
      </c>
    </row>
    <row r="2055" spans="1:8" ht="20.100000000000001" customHeight="1" x14ac:dyDescent="0.25">
      <c r="A2055" s="3" t="s">
        <v>311</v>
      </c>
      <c r="B2055" s="3" t="s">
        <v>360</v>
      </c>
      <c r="C2055" s="3">
        <v>2022</v>
      </c>
      <c r="D2055" s="4">
        <v>3</v>
      </c>
      <c r="E2055" s="5">
        <v>131.72999999999999</v>
      </c>
      <c r="F2055" s="5">
        <v>87.57</v>
      </c>
      <c r="G2055" s="3" t="str">
        <f>VLOOKUP(Registros[[#This Row],[Cliente]],Cliente_Region[],2,FALSE)</f>
        <v>Canada</v>
      </c>
      <c r="H2055" s="3" t="str">
        <f>VLOOKUP(Registros[[#This Row],[Producto]],Producto[],2,FALSE)</f>
        <v>CHOTUS</v>
      </c>
    </row>
    <row r="2056" spans="1:8" ht="20.100000000000001" customHeight="1" x14ac:dyDescent="0.25">
      <c r="A2056" s="3" t="s">
        <v>311</v>
      </c>
      <c r="B2056" s="3" t="s">
        <v>360</v>
      </c>
      <c r="C2056" s="3">
        <v>2022</v>
      </c>
      <c r="D2056" s="4">
        <v>4</v>
      </c>
      <c r="E2056" s="5">
        <v>99</v>
      </c>
      <c r="F2056" s="5">
        <v>65.88</v>
      </c>
      <c r="G2056" s="3" t="str">
        <f>VLOOKUP(Registros[[#This Row],[Cliente]],Cliente_Region[],2,FALSE)</f>
        <v>Canada</v>
      </c>
      <c r="H2056" s="3" t="str">
        <f>VLOOKUP(Registros[[#This Row],[Producto]],Producto[],2,FALSE)</f>
        <v>CHOTUS</v>
      </c>
    </row>
    <row r="2057" spans="1:8" ht="20.100000000000001" customHeight="1" x14ac:dyDescent="0.25">
      <c r="A2057" s="3" t="s">
        <v>311</v>
      </c>
      <c r="B2057" s="3" t="s">
        <v>360</v>
      </c>
      <c r="C2057" s="3">
        <v>2022</v>
      </c>
      <c r="D2057" s="4">
        <v>5</v>
      </c>
      <c r="E2057" s="5">
        <v>132</v>
      </c>
      <c r="F2057" s="5">
        <v>87.84</v>
      </c>
      <c r="G2057" s="3" t="str">
        <f>VLOOKUP(Registros[[#This Row],[Cliente]],Cliente_Region[],2,FALSE)</f>
        <v>Canada</v>
      </c>
      <c r="H2057" s="3" t="str">
        <f>VLOOKUP(Registros[[#This Row],[Producto]],Producto[],2,FALSE)</f>
        <v>CHOTUS</v>
      </c>
    </row>
    <row r="2058" spans="1:8" ht="20.100000000000001" customHeight="1" x14ac:dyDescent="0.25">
      <c r="A2058" s="3" t="s">
        <v>311</v>
      </c>
      <c r="B2058" s="3" t="s">
        <v>360</v>
      </c>
      <c r="C2058" s="3">
        <v>2022</v>
      </c>
      <c r="D2058" s="4">
        <v>6</v>
      </c>
      <c r="E2058" s="5">
        <v>82.5</v>
      </c>
      <c r="F2058" s="5">
        <v>54.9</v>
      </c>
      <c r="G2058" s="3" t="str">
        <f>VLOOKUP(Registros[[#This Row],[Cliente]],Cliente_Region[],2,FALSE)</f>
        <v>Canada</v>
      </c>
      <c r="H2058" s="3" t="str">
        <f>VLOOKUP(Registros[[#This Row],[Producto]],Producto[],2,FALSE)</f>
        <v>CHOTUS</v>
      </c>
    </row>
    <row r="2059" spans="1:8" ht="20.100000000000001" customHeight="1" x14ac:dyDescent="0.25">
      <c r="A2059" s="3" t="s">
        <v>301</v>
      </c>
      <c r="B2059" s="3" t="s">
        <v>360</v>
      </c>
      <c r="C2059" s="3">
        <v>2022</v>
      </c>
      <c r="D2059" s="4">
        <v>1</v>
      </c>
      <c r="E2059" s="5">
        <v>140</v>
      </c>
      <c r="F2059" s="5">
        <v>76.03</v>
      </c>
      <c r="G2059" s="3" t="str">
        <f>VLOOKUP(Registros[[#This Row],[Cliente]],Cliente_Region[],2,FALSE)</f>
        <v>Canada</v>
      </c>
      <c r="H2059" s="3" t="str">
        <f>VLOOKUP(Registros[[#This Row],[Producto]],Producto[],2,FALSE)</f>
        <v>CHOTUS</v>
      </c>
    </row>
    <row r="2060" spans="1:8" ht="20.100000000000001" customHeight="1" x14ac:dyDescent="0.25">
      <c r="A2060" s="3" t="s">
        <v>302</v>
      </c>
      <c r="B2060" s="3" t="s">
        <v>360</v>
      </c>
      <c r="C2060" s="3">
        <v>2022</v>
      </c>
      <c r="D2060" s="4">
        <v>2</v>
      </c>
      <c r="E2060" s="5">
        <v>120</v>
      </c>
      <c r="F2060" s="5">
        <v>65.16</v>
      </c>
      <c r="G2060" s="3" t="str">
        <f>VLOOKUP(Registros[[#This Row],[Cliente]],Cliente_Region[],2,FALSE)</f>
        <v>Canada</v>
      </c>
      <c r="H2060" s="3" t="str">
        <f>VLOOKUP(Registros[[#This Row],[Producto]],Producto[],2,FALSE)</f>
        <v>CHOTUS</v>
      </c>
    </row>
    <row r="2061" spans="1:8" ht="20.100000000000001" customHeight="1" x14ac:dyDescent="0.25">
      <c r="A2061" s="3" t="s">
        <v>302</v>
      </c>
      <c r="B2061" s="3" t="s">
        <v>360</v>
      </c>
      <c r="C2061" s="3">
        <v>2022</v>
      </c>
      <c r="D2061" s="4">
        <v>3</v>
      </c>
      <c r="E2061" s="5">
        <v>140</v>
      </c>
      <c r="F2061" s="5">
        <v>76.02</v>
      </c>
      <c r="G2061" s="3" t="str">
        <f>VLOOKUP(Registros[[#This Row],[Cliente]],Cliente_Region[],2,FALSE)</f>
        <v>Canada</v>
      </c>
      <c r="H2061" s="3" t="str">
        <f>VLOOKUP(Registros[[#This Row],[Producto]],Producto[],2,FALSE)</f>
        <v>CHOTUS</v>
      </c>
    </row>
    <row r="2062" spans="1:8" ht="20.100000000000001" customHeight="1" x14ac:dyDescent="0.25">
      <c r="A2062" s="3" t="s">
        <v>302</v>
      </c>
      <c r="B2062" s="3" t="s">
        <v>360</v>
      </c>
      <c r="C2062" s="3">
        <v>2022</v>
      </c>
      <c r="D2062" s="4">
        <v>4</v>
      </c>
      <c r="E2062" s="5">
        <v>160</v>
      </c>
      <c r="F2062" s="5">
        <v>86.89</v>
      </c>
      <c r="G2062" s="3" t="str">
        <f>VLOOKUP(Registros[[#This Row],[Cliente]],Cliente_Region[],2,FALSE)</f>
        <v>Canada</v>
      </c>
      <c r="H2062" s="3" t="str">
        <f>VLOOKUP(Registros[[#This Row],[Producto]],Producto[],2,FALSE)</f>
        <v>CHOTUS</v>
      </c>
    </row>
    <row r="2063" spans="1:8" ht="20.100000000000001" customHeight="1" x14ac:dyDescent="0.25">
      <c r="A2063" s="3" t="s">
        <v>302</v>
      </c>
      <c r="B2063" s="3" t="s">
        <v>360</v>
      </c>
      <c r="C2063" s="3">
        <v>2022</v>
      </c>
      <c r="D2063" s="4">
        <v>5</v>
      </c>
      <c r="E2063" s="5">
        <v>180</v>
      </c>
      <c r="F2063" s="5">
        <v>97.78</v>
      </c>
      <c r="G2063" s="3" t="str">
        <f>VLOOKUP(Registros[[#This Row],[Cliente]],Cliente_Region[],2,FALSE)</f>
        <v>Canada</v>
      </c>
      <c r="H2063" s="3" t="str">
        <f>VLOOKUP(Registros[[#This Row],[Producto]],Producto[],2,FALSE)</f>
        <v>CHOTUS</v>
      </c>
    </row>
    <row r="2064" spans="1:8" ht="20.100000000000001" customHeight="1" x14ac:dyDescent="0.25">
      <c r="A2064" s="3" t="s">
        <v>302</v>
      </c>
      <c r="B2064" s="3" t="s">
        <v>360</v>
      </c>
      <c r="C2064" s="3">
        <v>2022</v>
      </c>
      <c r="D2064" s="4">
        <v>6</v>
      </c>
      <c r="E2064" s="5">
        <v>200</v>
      </c>
      <c r="F2064" s="5">
        <v>108.62</v>
      </c>
      <c r="G2064" s="3" t="str">
        <f>VLOOKUP(Registros[[#This Row],[Cliente]],Cliente_Region[],2,FALSE)</f>
        <v>Canada</v>
      </c>
      <c r="H2064" s="3" t="str">
        <f>VLOOKUP(Registros[[#This Row],[Producto]],Producto[],2,FALSE)</f>
        <v>CHOTUS</v>
      </c>
    </row>
    <row r="2065" spans="1:8" ht="20.100000000000001" customHeight="1" x14ac:dyDescent="0.25">
      <c r="A2065" s="3" t="s">
        <v>295</v>
      </c>
      <c r="B2065" s="3" t="s">
        <v>360</v>
      </c>
      <c r="C2065" s="3">
        <v>2022</v>
      </c>
      <c r="D2065" s="4">
        <v>2</v>
      </c>
      <c r="E2065" s="5">
        <v>0</v>
      </c>
      <c r="F2065" s="5">
        <v>0</v>
      </c>
      <c r="G2065" s="3" t="str">
        <f>VLOOKUP(Registros[[#This Row],[Cliente]],Cliente_Region[],2,FALSE)</f>
        <v>Canada</v>
      </c>
      <c r="H2065" s="3" t="str">
        <f>VLOOKUP(Registros[[#This Row],[Producto]],Producto[],2,FALSE)</f>
        <v>QUOKAR</v>
      </c>
    </row>
    <row r="2066" spans="1:8" ht="20.100000000000001" customHeight="1" x14ac:dyDescent="0.25">
      <c r="A2066" s="3" t="s">
        <v>364</v>
      </c>
      <c r="B2066" s="3" t="s">
        <v>360</v>
      </c>
      <c r="C2066" s="3">
        <v>2022</v>
      </c>
      <c r="D2066" s="4">
        <v>5</v>
      </c>
      <c r="E2066" s="5">
        <v>32</v>
      </c>
      <c r="F2066" s="5">
        <v>32</v>
      </c>
      <c r="G2066" s="3" t="str">
        <f>VLOOKUP(Registros[[#This Row],[Cliente]],Cliente_Region[],2,FALSE)</f>
        <v>Canada</v>
      </c>
      <c r="H2066" s="3" t="str">
        <f>VLOOKUP(Registros[[#This Row],[Producto]],Producto[],2,FALSE)</f>
        <v>DAWNE</v>
      </c>
    </row>
    <row r="2067" spans="1:8" ht="20.100000000000001" customHeight="1" x14ac:dyDescent="0.25">
      <c r="A2067" s="3" t="s">
        <v>282</v>
      </c>
      <c r="B2067" s="3" t="s">
        <v>360</v>
      </c>
      <c r="C2067" s="3">
        <v>2022</v>
      </c>
      <c r="D2067" s="4">
        <v>1</v>
      </c>
      <c r="E2067" s="5">
        <v>165</v>
      </c>
      <c r="F2067" s="5">
        <v>94.88</v>
      </c>
      <c r="G2067" s="3" t="str">
        <f>VLOOKUP(Registros[[#This Row],[Cliente]],Cliente_Region[],2,FALSE)</f>
        <v>Canada</v>
      </c>
      <c r="H2067" s="3" t="str">
        <f>VLOOKUP(Registros[[#This Row],[Producto]],Producto[],2,FALSE)</f>
        <v>DAWNE</v>
      </c>
    </row>
    <row r="2068" spans="1:8" ht="20.100000000000001" customHeight="1" x14ac:dyDescent="0.25">
      <c r="A2068" s="3" t="s">
        <v>114</v>
      </c>
      <c r="B2068" s="3" t="s">
        <v>360</v>
      </c>
      <c r="C2068" s="3">
        <v>2022</v>
      </c>
      <c r="D2068" s="4">
        <v>2</v>
      </c>
      <c r="E2068" s="5">
        <v>115.5</v>
      </c>
      <c r="F2068" s="5">
        <v>66.42</v>
      </c>
      <c r="G2068" s="3" t="str">
        <f>VLOOKUP(Registros[[#This Row],[Cliente]],Cliente_Region[],2,FALSE)</f>
        <v>Canada</v>
      </c>
      <c r="H2068" s="3" t="str">
        <f>VLOOKUP(Registros[[#This Row],[Producto]],Producto[],2,FALSE)</f>
        <v>DAWNE</v>
      </c>
    </row>
    <row r="2069" spans="1:8" ht="20.100000000000001" customHeight="1" x14ac:dyDescent="0.25">
      <c r="A2069" s="3" t="s">
        <v>114</v>
      </c>
      <c r="B2069" s="3" t="s">
        <v>360</v>
      </c>
      <c r="C2069" s="3">
        <v>2022</v>
      </c>
      <c r="D2069" s="4">
        <v>3</v>
      </c>
      <c r="E2069" s="5">
        <v>132</v>
      </c>
      <c r="F2069" s="5">
        <v>75.92</v>
      </c>
      <c r="G2069" s="3" t="str">
        <f>VLOOKUP(Registros[[#This Row],[Cliente]],Cliente_Region[],2,FALSE)</f>
        <v>Canada</v>
      </c>
      <c r="H2069" s="3" t="str">
        <f>VLOOKUP(Registros[[#This Row],[Producto]],Producto[],2,FALSE)</f>
        <v>DAWNE</v>
      </c>
    </row>
    <row r="2070" spans="1:8" ht="20.100000000000001" customHeight="1" x14ac:dyDescent="0.25">
      <c r="A2070" s="3" t="s">
        <v>114</v>
      </c>
      <c r="B2070" s="3" t="s">
        <v>360</v>
      </c>
      <c r="C2070" s="3">
        <v>2022</v>
      </c>
      <c r="D2070" s="4">
        <v>4</v>
      </c>
      <c r="E2070" s="5">
        <v>115.5</v>
      </c>
      <c r="F2070" s="5">
        <v>66.42</v>
      </c>
      <c r="G2070" s="3" t="str">
        <f>VLOOKUP(Registros[[#This Row],[Cliente]],Cliente_Region[],2,FALSE)</f>
        <v>Canada</v>
      </c>
      <c r="H2070" s="3" t="str">
        <f>VLOOKUP(Registros[[#This Row],[Producto]],Producto[],2,FALSE)</f>
        <v>DAWNE</v>
      </c>
    </row>
    <row r="2071" spans="1:8" ht="20.100000000000001" customHeight="1" x14ac:dyDescent="0.25">
      <c r="A2071" s="3" t="s">
        <v>114</v>
      </c>
      <c r="B2071" s="3" t="s">
        <v>360</v>
      </c>
      <c r="C2071" s="3">
        <v>2022</v>
      </c>
      <c r="D2071" s="4">
        <v>5</v>
      </c>
      <c r="E2071" s="5">
        <v>115.5</v>
      </c>
      <c r="F2071" s="5">
        <v>66.430000000000007</v>
      </c>
      <c r="G2071" s="3" t="str">
        <f>VLOOKUP(Registros[[#This Row],[Cliente]],Cliente_Region[],2,FALSE)</f>
        <v>Canada</v>
      </c>
      <c r="H2071" s="3" t="str">
        <f>VLOOKUP(Registros[[#This Row],[Producto]],Producto[],2,FALSE)</f>
        <v>DAWNE</v>
      </c>
    </row>
    <row r="2072" spans="1:8" ht="20.100000000000001" customHeight="1" x14ac:dyDescent="0.25">
      <c r="A2072" s="3" t="s">
        <v>114</v>
      </c>
      <c r="B2072" s="3" t="s">
        <v>360</v>
      </c>
      <c r="C2072" s="3">
        <v>2022</v>
      </c>
      <c r="D2072" s="4">
        <v>6</v>
      </c>
      <c r="E2072" s="5">
        <v>99</v>
      </c>
      <c r="F2072" s="5">
        <v>56.94</v>
      </c>
      <c r="G2072" s="3" t="str">
        <f>VLOOKUP(Registros[[#This Row],[Cliente]],Cliente_Region[],2,FALSE)</f>
        <v>Canada</v>
      </c>
      <c r="H2072" s="3" t="str">
        <f>VLOOKUP(Registros[[#This Row],[Producto]],Producto[],2,FALSE)</f>
        <v>DAWNE</v>
      </c>
    </row>
    <row r="2073" spans="1:8" ht="20.100000000000001" customHeight="1" x14ac:dyDescent="0.25">
      <c r="A2073" s="3" t="s">
        <v>135</v>
      </c>
      <c r="B2073" s="3" t="s">
        <v>360</v>
      </c>
      <c r="C2073" s="3">
        <v>2022</v>
      </c>
      <c r="D2073" s="4">
        <v>1</v>
      </c>
      <c r="E2073" s="5">
        <v>337.5</v>
      </c>
      <c r="F2073" s="5">
        <v>243.14</v>
      </c>
      <c r="G2073" s="3" t="str">
        <f>VLOOKUP(Registros[[#This Row],[Cliente]],Cliente_Region[],2,FALSE)</f>
        <v>Canada</v>
      </c>
      <c r="H2073" s="3" t="str">
        <f>VLOOKUP(Registros[[#This Row],[Producto]],Producto[],2,FALSE)</f>
        <v>GAMBO</v>
      </c>
    </row>
    <row r="2074" spans="1:8" ht="20.100000000000001" customHeight="1" x14ac:dyDescent="0.25">
      <c r="A2074" s="3" t="s">
        <v>93</v>
      </c>
      <c r="B2074" s="3" t="s">
        <v>360</v>
      </c>
      <c r="C2074" s="3">
        <v>2022</v>
      </c>
      <c r="D2074" s="4">
        <v>2</v>
      </c>
      <c r="E2074" s="5">
        <v>321.8</v>
      </c>
      <c r="F2074" s="5">
        <v>240.92</v>
      </c>
      <c r="G2074" s="3" t="str">
        <f>VLOOKUP(Registros[[#This Row],[Cliente]],Cliente_Region[],2,FALSE)</f>
        <v>Canada</v>
      </c>
      <c r="H2074" s="3" t="str">
        <f>VLOOKUP(Registros[[#This Row],[Producto]],Producto[],2,FALSE)</f>
        <v>GAMBO</v>
      </c>
    </row>
    <row r="2075" spans="1:8" ht="20.100000000000001" customHeight="1" x14ac:dyDescent="0.25">
      <c r="A2075" s="3" t="s">
        <v>93</v>
      </c>
      <c r="B2075" s="3" t="s">
        <v>360</v>
      </c>
      <c r="C2075" s="3">
        <v>2022</v>
      </c>
      <c r="D2075" s="4">
        <v>3</v>
      </c>
      <c r="E2075" s="5">
        <v>321.75</v>
      </c>
      <c r="F2075" s="5">
        <v>234.13</v>
      </c>
      <c r="G2075" s="3" t="str">
        <f>VLOOKUP(Registros[[#This Row],[Cliente]],Cliente_Region[],2,FALSE)</f>
        <v>Canada</v>
      </c>
      <c r="H2075" s="3" t="str">
        <f>VLOOKUP(Registros[[#This Row],[Producto]],Producto[],2,FALSE)</f>
        <v>GAMBO</v>
      </c>
    </row>
    <row r="2076" spans="1:8" ht="20.100000000000001" customHeight="1" x14ac:dyDescent="0.25">
      <c r="A2076" s="3" t="s">
        <v>93</v>
      </c>
      <c r="B2076" s="3" t="s">
        <v>360</v>
      </c>
      <c r="C2076" s="3">
        <v>2022</v>
      </c>
      <c r="D2076" s="4">
        <v>4</v>
      </c>
      <c r="E2076" s="5">
        <v>376.21</v>
      </c>
      <c r="F2076" s="5">
        <v>275.11</v>
      </c>
      <c r="G2076" s="3" t="str">
        <f>VLOOKUP(Registros[[#This Row],[Cliente]],Cliente_Region[],2,FALSE)</f>
        <v>Canada</v>
      </c>
      <c r="H2076" s="3" t="str">
        <f>VLOOKUP(Registros[[#This Row],[Producto]],Producto[],2,FALSE)</f>
        <v>GAMBO</v>
      </c>
    </row>
    <row r="2077" spans="1:8" ht="20.100000000000001" customHeight="1" x14ac:dyDescent="0.25">
      <c r="A2077" s="3" t="s">
        <v>93</v>
      </c>
      <c r="B2077" s="3" t="s">
        <v>360</v>
      </c>
      <c r="C2077" s="3">
        <v>2022</v>
      </c>
      <c r="D2077" s="4">
        <v>5</v>
      </c>
      <c r="E2077" s="5">
        <v>321.75</v>
      </c>
      <c r="F2077" s="5">
        <v>234.13</v>
      </c>
      <c r="G2077" s="3" t="str">
        <f>VLOOKUP(Registros[[#This Row],[Cliente]],Cliente_Region[],2,FALSE)</f>
        <v>Canada</v>
      </c>
      <c r="H2077" s="3" t="str">
        <f>VLOOKUP(Registros[[#This Row],[Producto]],Producto[],2,FALSE)</f>
        <v>GAMBO</v>
      </c>
    </row>
    <row r="2078" spans="1:8" ht="20.100000000000001" customHeight="1" x14ac:dyDescent="0.25">
      <c r="A2078" s="3" t="s">
        <v>93</v>
      </c>
      <c r="B2078" s="3" t="s">
        <v>360</v>
      </c>
      <c r="C2078" s="3">
        <v>2022</v>
      </c>
      <c r="D2078" s="4">
        <v>6</v>
      </c>
      <c r="E2078" s="5">
        <v>222.75</v>
      </c>
      <c r="F2078" s="5">
        <v>162.09</v>
      </c>
      <c r="G2078" s="3" t="str">
        <f>VLOOKUP(Registros[[#This Row],[Cliente]],Cliente_Region[],2,FALSE)</f>
        <v>Canada</v>
      </c>
      <c r="H2078" s="3" t="str">
        <f>VLOOKUP(Registros[[#This Row],[Producto]],Producto[],2,FALSE)</f>
        <v>GAMBO</v>
      </c>
    </row>
    <row r="2079" spans="1:8" ht="20.100000000000001" customHeight="1" x14ac:dyDescent="0.25">
      <c r="A2079" s="3" t="s">
        <v>86</v>
      </c>
      <c r="B2079" s="3" t="s">
        <v>360</v>
      </c>
      <c r="C2079" s="3">
        <v>2022</v>
      </c>
      <c r="D2079" s="4">
        <v>1</v>
      </c>
      <c r="E2079" s="5">
        <v>14</v>
      </c>
      <c r="F2079" s="5">
        <v>8.68</v>
      </c>
      <c r="G2079" s="3" t="str">
        <f>VLOOKUP(Registros[[#This Row],[Cliente]],Cliente_Region[],2,FALSE)</f>
        <v>Canada</v>
      </c>
      <c r="H2079" s="3" t="str">
        <f>VLOOKUP(Registros[[#This Row],[Producto]],Producto[],2,FALSE)</f>
        <v>GAMBO</v>
      </c>
    </row>
    <row r="2080" spans="1:8" ht="20.100000000000001" customHeight="1" x14ac:dyDescent="0.25">
      <c r="A2080" s="3" t="s">
        <v>87</v>
      </c>
      <c r="B2080" s="3" t="s">
        <v>360</v>
      </c>
      <c r="C2080" s="3">
        <v>2022</v>
      </c>
      <c r="D2080" s="4">
        <v>3</v>
      </c>
      <c r="E2080" s="5">
        <v>14.58</v>
      </c>
      <c r="F2080" s="5">
        <v>9.26</v>
      </c>
      <c r="G2080" s="3" t="str">
        <f>VLOOKUP(Registros[[#This Row],[Cliente]],Cliente_Region[],2,FALSE)</f>
        <v>Canada</v>
      </c>
      <c r="H2080" s="3" t="str">
        <f>VLOOKUP(Registros[[#This Row],[Producto]],Producto[],2,FALSE)</f>
        <v>DONANY</v>
      </c>
    </row>
    <row r="2081" spans="1:8" ht="20.100000000000001" customHeight="1" x14ac:dyDescent="0.25">
      <c r="A2081" s="3" t="s">
        <v>87</v>
      </c>
      <c r="B2081" s="3" t="s">
        <v>360</v>
      </c>
      <c r="C2081" s="3">
        <v>2022</v>
      </c>
      <c r="D2081" s="4">
        <v>4</v>
      </c>
      <c r="E2081" s="5">
        <v>14.58</v>
      </c>
      <c r="F2081" s="5">
        <v>9.26</v>
      </c>
      <c r="G2081" s="3" t="str">
        <f>VLOOKUP(Registros[[#This Row],[Cliente]],Cliente_Region[],2,FALSE)</f>
        <v>Canada</v>
      </c>
      <c r="H2081" s="3" t="str">
        <f>VLOOKUP(Registros[[#This Row],[Producto]],Producto[],2,FALSE)</f>
        <v>DONANY</v>
      </c>
    </row>
    <row r="2082" spans="1:8" ht="20.100000000000001" customHeight="1" x14ac:dyDescent="0.25">
      <c r="A2082" s="3" t="s">
        <v>87</v>
      </c>
      <c r="B2082" s="3" t="s">
        <v>360</v>
      </c>
      <c r="C2082" s="3">
        <v>2022</v>
      </c>
      <c r="D2082" s="4">
        <v>5</v>
      </c>
      <c r="E2082" s="5">
        <v>14.58</v>
      </c>
      <c r="F2082" s="5">
        <v>9.26</v>
      </c>
      <c r="G2082" s="3" t="str">
        <f>VLOOKUP(Registros[[#This Row],[Cliente]],Cliente_Region[],2,FALSE)</f>
        <v>Canada</v>
      </c>
      <c r="H2082" s="3" t="str">
        <f>VLOOKUP(Registros[[#This Row],[Producto]],Producto[],2,FALSE)</f>
        <v>DONANY</v>
      </c>
    </row>
    <row r="2083" spans="1:8" ht="20.100000000000001" customHeight="1" x14ac:dyDescent="0.25">
      <c r="A2083" s="3" t="s">
        <v>87</v>
      </c>
      <c r="B2083" s="3" t="s">
        <v>360</v>
      </c>
      <c r="C2083" s="3">
        <v>2022</v>
      </c>
      <c r="D2083" s="4">
        <v>6</v>
      </c>
      <c r="E2083" s="5">
        <v>29.16</v>
      </c>
      <c r="F2083" s="5">
        <v>18.579999999999998</v>
      </c>
      <c r="G2083" s="3" t="str">
        <f>VLOOKUP(Registros[[#This Row],[Cliente]],Cliente_Region[],2,FALSE)</f>
        <v>Canada</v>
      </c>
      <c r="H2083" s="3" t="str">
        <f>VLOOKUP(Registros[[#This Row],[Producto]],Producto[],2,FALSE)</f>
        <v>DONANY</v>
      </c>
    </row>
    <row r="2084" spans="1:8" ht="20.100000000000001" customHeight="1" x14ac:dyDescent="0.25">
      <c r="A2084" s="3" t="s">
        <v>88</v>
      </c>
      <c r="B2084" s="3" t="s">
        <v>360</v>
      </c>
      <c r="C2084" s="3">
        <v>2022</v>
      </c>
      <c r="D2084" s="4">
        <v>1</v>
      </c>
      <c r="E2084" s="5">
        <v>12.5</v>
      </c>
      <c r="F2084" s="5">
        <v>10.050000000000001</v>
      </c>
      <c r="G2084" s="3" t="str">
        <f>VLOOKUP(Registros[[#This Row],[Cliente]],Cliente_Region[],2,FALSE)</f>
        <v>Canada</v>
      </c>
      <c r="H2084" s="3" t="str">
        <f>VLOOKUP(Registros[[#This Row],[Producto]],Producto[],2,FALSE)</f>
        <v>DAWNE</v>
      </c>
    </row>
    <row r="2085" spans="1:8" ht="20.100000000000001" customHeight="1" x14ac:dyDescent="0.25">
      <c r="A2085" s="3" t="s">
        <v>89</v>
      </c>
      <c r="B2085" s="3" t="s">
        <v>360</v>
      </c>
      <c r="C2085" s="3">
        <v>2022</v>
      </c>
      <c r="D2085" s="4">
        <v>2</v>
      </c>
      <c r="E2085" s="5">
        <v>13.2</v>
      </c>
      <c r="F2085" s="5">
        <v>10.75</v>
      </c>
      <c r="G2085" s="3" t="str">
        <f>VLOOKUP(Registros[[#This Row],[Cliente]],Cliente_Region[],2,FALSE)</f>
        <v>Canada</v>
      </c>
      <c r="H2085" s="3" t="str">
        <f>VLOOKUP(Registros[[#This Row],[Producto]],Producto[],2,FALSE)</f>
        <v>QUOKAR</v>
      </c>
    </row>
    <row r="2086" spans="1:8" ht="20.100000000000001" customHeight="1" x14ac:dyDescent="0.25">
      <c r="A2086" s="3" t="s">
        <v>89</v>
      </c>
      <c r="B2086" s="3" t="s">
        <v>360</v>
      </c>
      <c r="C2086" s="3">
        <v>2022</v>
      </c>
      <c r="D2086" s="4">
        <v>4</v>
      </c>
      <c r="E2086" s="5">
        <v>13.2</v>
      </c>
      <c r="F2086" s="5">
        <v>10.75</v>
      </c>
      <c r="G2086" s="3" t="str">
        <f>VLOOKUP(Registros[[#This Row],[Cliente]],Cliente_Region[],2,FALSE)</f>
        <v>Canada</v>
      </c>
      <c r="H2086" s="3" t="str">
        <f>VLOOKUP(Registros[[#This Row],[Producto]],Producto[],2,FALSE)</f>
        <v>QUOKAR</v>
      </c>
    </row>
    <row r="2087" spans="1:8" ht="20.100000000000001" customHeight="1" x14ac:dyDescent="0.25">
      <c r="A2087" s="3" t="s">
        <v>89</v>
      </c>
      <c r="B2087" s="3" t="s">
        <v>360</v>
      </c>
      <c r="C2087" s="3">
        <v>2022</v>
      </c>
      <c r="D2087" s="4">
        <v>6</v>
      </c>
      <c r="E2087" s="5">
        <v>13.2</v>
      </c>
      <c r="F2087" s="5">
        <v>10.75</v>
      </c>
      <c r="G2087" s="3" t="str">
        <f>VLOOKUP(Registros[[#This Row],[Cliente]],Cliente_Region[],2,FALSE)</f>
        <v>Canada</v>
      </c>
      <c r="H2087" s="3" t="str">
        <f>VLOOKUP(Registros[[#This Row],[Producto]],Producto[],2,FALSE)</f>
        <v>QUOKAR</v>
      </c>
    </row>
    <row r="2088" spans="1:8" ht="20.100000000000001" customHeight="1" x14ac:dyDescent="0.25">
      <c r="A2088" s="3" t="s">
        <v>90</v>
      </c>
      <c r="B2088" s="3" t="s">
        <v>360</v>
      </c>
      <c r="C2088" s="3">
        <v>2022</v>
      </c>
      <c r="D2088" s="4">
        <v>3</v>
      </c>
      <c r="E2088" s="5">
        <v>30.26</v>
      </c>
      <c r="F2088" s="5">
        <v>24.02</v>
      </c>
      <c r="G2088" s="3" t="str">
        <f>VLOOKUP(Registros[[#This Row],[Cliente]],Cliente_Region[],2,FALSE)</f>
        <v>Canada</v>
      </c>
      <c r="H2088" s="3" t="str">
        <f>VLOOKUP(Registros[[#This Row],[Producto]],Producto[],2,FALSE)</f>
        <v>CHOTUS</v>
      </c>
    </row>
    <row r="2089" spans="1:8" ht="20.100000000000001" customHeight="1" x14ac:dyDescent="0.25">
      <c r="A2089" s="3" t="s">
        <v>91</v>
      </c>
      <c r="B2089" s="3" t="s">
        <v>360</v>
      </c>
      <c r="C2089" s="3">
        <v>2022</v>
      </c>
      <c r="D2089" s="4">
        <v>6</v>
      </c>
      <c r="E2089" s="5">
        <v>15.13</v>
      </c>
      <c r="F2089" s="5">
        <v>12.01</v>
      </c>
      <c r="G2089" s="3" t="str">
        <f>VLOOKUP(Registros[[#This Row],[Cliente]],Cliente_Region[],2,FALSE)</f>
        <v>Canada</v>
      </c>
      <c r="H2089" s="3" t="str">
        <f>VLOOKUP(Registros[[#This Row],[Producto]],Producto[],2,FALSE)</f>
        <v>GAMBO</v>
      </c>
    </row>
    <row r="2090" spans="1:8" ht="20.100000000000001" customHeight="1" x14ac:dyDescent="0.25">
      <c r="A2090" s="3" t="s">
        <v>77</v>
      </c>
      <c r="B2090" s="3" t="s">
        <v>360</v>
      </c>
      <c r="C2090" s="3">
        <v>2022</v>
      </c>
      <c r="D2090" s="4">
        <v>1</v>
      </c>
      <c r="E2090" s="5">
        <v>51.7</v>
      </c>
      <c r="F2090" s="5">
        <v>31.94</v>
      </c>
      <c r="G2090" s="3" t="str">
        <f>VLOOKUP(Registros[[#This Row],[Cliente]],Cliente_Region[],2,FALSE)</f>
        <v>Canada</v>
      </c>
      <c r="H2090" s="3" t="str">
        <f>VLOOKUP(Registros[[#This Row],[Producto]],Producto[],2,FALSE)</f>
        <v>LAX</v>
      </c>
    </row>
    <row r="2091" spans="1:8" ht="20.100000000000001" customHeight="1" x14ac:dyDescent="0.25">
      <c r="A2091" s="3" t="s">
        <v>78</v>
      </c>
      <c r="B2091" s="3" t="s">
        <v>360</v>
      </c>
      <c r="C2091" s="3">
        <v>2022</v>
      </c>
      <c r="D2091" s="4">
        <v>2</v>
      </c>
      <c r="E2091" s="5">
        <v>102.3</v>
      </c>
      <c r="F2091" s="5">
        <v>72.66</v>
      </c>
      <c r="G2091" s="3" t="str">
        <f>VLOOKUP(Registros[[#This Row],[Cliente]],Cliente_Region[],2,FALSE)</f>
        <v>Canada</v>
      </c>
      <c r="H2091" s="3" t="str">
        <f>VLOOKUP(Registros[[#This Row],[Producto]],Producto[],2,FALSE)</f>
        <v>MOC</v>
      </c>
    </row>
    <row r="2092" spans="1:8" ht="20.100000000000001" customHeight="1" x14ac:dyDescent="0.25">
      <c r="A2092" s="3" t="s">
        <v>78</v>
      </c>
      <c r="B2092" s="3" t="s">
        <v>360</v>
      </c>
      <c r="C2092" s="3">
        <v>2022</v>
      </c>
      <c r="D2092" s="4">
        <v>3</v>
      </c>
      <c r="E2092" s="5">
        <v>68.2</v>
      </c>
      <c r="F2092" s="5">
        <v>48.44</v>
      </c>
      <c r="G2092" s="3" t="str">
        <f>VLOOKUP(Registros[[#This Row],[Cliente]],Cliente_Region[],2,FALSE)</f>
        <v>Canada</v>
      </c>
      <c r="H2092" s="3" t="str">
        <f>VLOOKUP(Registros[[#This Row],[Producto]],Producto[],2,FALSE)</f>
        <v>MOC</v>
      </c>
    </row>
    <row r="2093" spans="1:8" ht="20.100000000000001" customHeight="1" x14ac:dyDescent="0.25">
      <c r="A2093" s="3" t="s">
        <v>78</v>
      </c>
      <c r="B2093" s="3" t="s">
        <v>360</v>
      </c>
      <c r="C2093" s="3">
        <v>2022</v>
      </c>
      <c r="D2093" s="4">
        <v>4</v>
      </c>
      <c r="E2093" s="5">
        <v>102.3</v>
      </c>
      <c r="F2093" s="5">
        <v>72.66</v>
      </c>
      <c r="G2093" s="3" t="str">
        <f>VLOOKUP(Registros[[#This Row],[Cliente]],Cliente_Region[],2,FALSE)</f>
        <v>Canada</v>
      </c>
      <c r="H2093" s="3" t="str">
        <f>VLOOKUP(Registros[[#This Row],[Producto]],Producto[],2,FALSE)</f>
        <v>MOC</v>
      </c>
    </row>
    <row r="2094" spans="1:8" ht="20.100000000000001" customHeight="1" x14ac:dyDescent="0.25">
      <c r="A2094" s="3" t="s">
        <v>78</v>
      </c>
      <c r="B2094" s="3" t="s">
        <v>360</v>
      </c>
      <c r="C2094" s="3">
        <v>2022</v>
      </c>
      <c r="D2094" s="4">
        <v>5</v>
      </c>
      <c r="E2094" s="5">
        <v>34.1</v>
      </c>
      <c r="F2094" s="5">
        <v>24.22</v>
      </c>
      <c r="G2094" s="3" t="str">
        <f>VLOOKUP(Registros[[#This Row],[Cliente]],Cliente_Region[],2,FALSE)</f>
        <v>Canada</v>
      </c>
      <c r="H2094" s="3" t="str">
        <f>VLOOKUP(Registros[[#This Row],[Producto]],Producto[],2,FALSE)</f>
        <v>MOC</v>
      </c>
    </row>
    <row r="2095" spans="1:8" ht="20.100000000000001" customHeight="1" x14ac:dyDescent="0.25">
      <c r="A2095" s="3" t="s">
        <v>78</v>
      </c>
      <c r="B2095" s="3" t="s">
        <v>360</v>
      </c>
      <c r="C2095" s="3">
        <v>2022</v>
      </c>
      <c r="D2095" s="4">
        <v>6</v>
      </c>
      <c r="E2095" s="5">
        <v>34.1</v>
      </c>
      <c r="F2095" s="5">
        <v>24.22</v>
      </c>
      <c r="G2095" s="3" t="str">
        <f>VLOOKUP(Registros[[#This Row],[Cliente]],Cliente_Region[],2,FALSE)</f>
        <v>Canada</v>
      </c>
      <c r="H2095" s="3" t="str">
        <f>VLOOKUP(Registros[[#This Row],[Producto]],Producto[],2,FALSE)</f>
        <v>MOC</v>
      </c>
    </row>
    <row r="2096" spans="1:8" ht="20.100000000000001" customHeight="1" x14ac:dyDescent="0.25">
      <c r="A2096" s="3" t="s">
        <v>365</v>
      </c>
      <c r="B2096" s="3" t="s">
        <v>360</v>
      </c>
      <c r="C2096" s="3">
        <v>2022</v>
      </c>
      <c r="D2096" s="4">
        <v>2</v>
      </c>
      <c r="E2096" s="5">
        <v>41.25</v>
      </c>
      <c r="F2096" s="5">
        <v>34.6</v>
      </c>
      <c r="G2096" s="3" t="str">
        <f>VLOOKUP(Registros[[#This Row],[Cliente]],Cliente_Region[],2,FALSE)</f>
        <v>Canada</v>
      </c>
      <c r="H2096" s="3" t="str">
        <f>VLOOKUP(Registros[[#This Row],[Producto]],Producto[],2,FALSE)</f>
        <v>DAWNE</v>
      </c>
    </row>
    <row r="2097" spans="1:8" ht="20.100000000000001" customHeight="1" x14ac:dyDescent="0.25">
      <c r="A2097" s="3" t="s">
        <v>366</v>
      </c>
      <c r="B2097" s="3" t="s">
        <v>360</v>
      </c>
      <c r="C2097" s="3">
        <v>2022</v>
      </c>
      <c r="D2097" s="4">
        <v>3</v>
      </c>
      <c r="E2097" s="5">
        <v>41.25</v>
      </c>
      <c r="F2097" s="5">
        <v>34.64</v>
      </c>
      <c r="G2097" s="3" t="str">
        <f>VLOOKUP(Registros[[#This Row],[Cliente]],Cliente_Region[],2,FALSE)</f>
        <v>Canada</v>
      </c>
      <c r="H2097" s="3" t="str">
        <f>VLOOKUP(Registros[[#This Row],[Producto]],Producto[],2,FALSE)</f>
        <v>MOC</v>
      </c>
    </row>
    <row r="2098" spans="1:8" ht="20.100000000000001" customHeight="1" x14ac:dyDescent="0.25">
      <c r="A2098" s="3" t="s">
        <v>81</v>
      </c>
      <c r="B2098" s="3" t="s">
        <v>360</v>
      </c>
      <c r="C2098" s="3">
        <v>2022</v>
      </c>
      <c r="D2098" s="4">
        <v>1</v>
      </c>
      <c r="E2098" s="5">
        <v>75</v>
      </c>
      <c r="F2098" s="5">
        <v>33.06</v>
      </c>
      <c r="G2098" s="3" t="str">
        <f>VLOOKUP(Registros[[#This Row],[Cliente]],Cliente_Region[],2,FALSE)</f>
        <v>Canada</v>
      </c>
      <c r="H2098" s="3" t="str">
        <f>VLOOKUP(Registros[[#This Row],[Producto]],Producto[],2,FALSE)</f>
        <v>QUOKAR</v>
      </c>
    </row>
    <row r="2099" spans="1:8" ht="20.100000000000001" customHeight="1" x14ac:dyDescent="0.25">
      <c r="A2099" s="3" t="s">
        <v>82</v>
      </c>
      <c r="B2099" s="3" t="s">
        <v>360</v>
      </c>
      <c r="C2099" s="3">
        <v>2022</v>
      </c>
      <c r="D2099" s="4">
        <v>2</v>
      </c>
      <c r="E2099" s="5">
        <v>71.790000000000006</v>
      </c>
      <c r="F2099" s="5">
        <v>29.85</v>
      </c>
      <c r="G2099" s="3" t="str">
        <f>VLOOKUP(Registros[[#This Row],[Cliente]],Cliente_Region[],2,FALSE)</f>
        <v>Canada</v>
      </c>
      <c r="H2099" s="3" t="str">
        <f>VLOOKUP(Registros[[#This Row],[Producto]],Producto[],2,FALSE)</f>
        <v>LAX</v>
      </c>
    </row>
    <row r="2100" spans="1:8" ht="20.100000000000001" customHeight="1" x14ac:dyDescent="0.25">
      <c r="A2100" s="3" t="s">
        <v>82</v>
      </c>
      <c r="B2100" s="3" t="s">
        <v>360</v>
      </c>
      <c r="C2100" s="3">
        <v>2022</v>
      </c>
      <c r="D2100" s="4">
        <v>3</v>
      </c>
      <c r="E2100" s="5">
        <v>47.86</v>
      </c>
      <c r="F2100" s="5">
        <v>19.899999999999999</v>
      </c>
      <c r="G2100" s="3" t="str">
        <f>VLOOKUP(Registros[[#This Row],[Cliente]],Cliente_Region[],2,FALSE)</f>
        <v>Canada</v>
      </c>
      <c r="H2100" s="3" t="str">
        <f>VLOOKUP(Registros[[#This Row],[Producto]],Producto[],2,FALSE)</f>
        <v>LAX</v>
      </c>
    </row>
    <row r="2101" spans="1:8" ht="20.100000000000001" customHeight="1" x14ac:dyDescent="0.25">
      <c r="A2101" s="3" t="s">
        <v>82</v>
      </c>
      <c r="B2101" s="3" t="s">
        <v>360</v>
      </c>
      <c r="C2101" s="3">
        <v>2022</v>
      </c>
      <c r="D2101" s="4">
        <v>4</v>
      </c>
      <c r="E2101" s="5">
        <v>23.93</v>
      </c>
      <c r="F2101" s="5">
        <v>9.9499999999999993</v>
      </c>
      <c r="G2101" s="3" t="str">
        <f>VLOOKUP(Registros[[#This Row],[Cliente]],Cliente_Region[],2,FALSE)</f>
        <v>Canada</v>
      </c>
      <c r="H2101" s="3" t="str">
        <f>VLOOKUP(Registros[[#This Row],[Producto]],Producto[],2,FALSE)</f>
        <v>LAX</v>
      </c>
    </row>
    <row r="2102" spans="1:8" ht="20.100000000000001" customHeight="1" x14ac:dyDescent="0.25">
      <c r="A2102" s="3" t="s">
        <v>82</v>
      </c>
      <c r="B2102" s="3" t="s">
        <v>360</v>
      </c>
      <c r="C2102" s="3">
        <v>2022</v>
      </c>
      <c r="D2102" s="4">
        <v>5</v>
      </c>
      <c r="E2102" s="5">
        <v>23.93</v>
      </c>
      <c r="F2102" s="5">
        <v>9.9499999999999993</v>
      </c>
      <c r="G2102" s="3" t="str">
        <f>VLOOKUP(Registros[[#This Row],[Cliente]],Cliente_Region[],2,FALSE)</f>
        <v>Canada</v>
      </c>
      <c r="H2102" s="3" t="str">
        <f>VLOOKUP(Registros[[#This Row],[Producto]],Producto[],2,FALSE)</f>
        <v>LAX</v>
      </c>
    </row>
    <row r="2103" spans="1:8" ht="20.100000000000001" customHeight="1" x14ac:dyDescent="0.25">
      <c r="A2103" s="3" t="s">
        <v>82</v>
      </c>
      <c r="B2103" s="3" t="s">
        <v>360</v>
      </c>
      <c r="C2103" s="3">
        <v>2022</v>
      </c>
      <c r="D2103" s="4">
        <v>6</v>
      </c>
      <c r="E2103" s="5">
        <v>47.86</v>
      </c>
      <c r="F2103" s="5">
        <v>19.899999999999999</v>
      </c>
      <c r="G2103" s="3" t="str">
        <f>VLOOKUP(Registros[[#This Row],[Cliente]],Cliente_Region[],2,FALSE)</f>
        <v>Canada</v>
      </c>
      <c r="H2103" s="3" t="str">
        <f>VLOOKUP(Registros[[#This Row],[Producto]],Producto[],2,FALSE)</f>
        <v>LAX</v>
      </c>
    </row>
    <row r="2104" spans="1:8" ht="20.100000000000001" customHeight="1" x14ac:dyDescent="0.25">
      <c r="A2104" s="3" t="s">
        <v>338</v>
      </c>
      <c r="B2104" s="3" t="s">
        <v>360</v>
      </c>
      <c r="C2104" s="3">
        <v>2022</v>
      </c>
      <c r="D2104" s="4">
        <v>3</v>
      </c>
      <c r="E2104" s="5">
        <v>15</v>
      </c>
      <c r="F2104" s="5">
        <v>9.48</v>
      </c>
      <c r="G2104" s="3" t="str">
        <f>VLOOKUP(Registros[[#This Row],[Cliente]],Cliente_Region[],2,FALSE)</f>
        <v>Canada</v>
      </c>
      <c r="H2104" s="3" t="str">
        <f>VLOOKUP(Registros[[#This Row],[Producto]],Producto[],2,FALSE)</f>
        <v>DAWNE</v>
      </c>
    </row>
    <row r="2105" spans="1:8" ht="20.100000000000001" customHeight="1" x14ac:dyDescent="0.25">
      <c r="A2105" s="3" t="s">
        <v>146</v>
      </c>
      <c r="B2105" s="3" t="s">
        <v>360</v>
      </c>
      <c r="C2105" s="3">
        <v>2022</v>
      </c>
      <c r="D2105" s="4">
        <v>5</v>
      </c>
      <c r="E2105" s="5">
        <v>46.75</v>
      </c>
      <c r="F2105" s="5">
        <v>0</v>
      </c>
      <c r="G2105" s="3" t="str">
        <f>VLOOKUP(Registros[[#This Row],[Cliente]],Cliente_Region[],2,FALSE)</f>
        <v>Canada</v>
      </c>
      <c r="H2105" s="3" t="str">
        <f>VLOOKUP(Registros[[#This Row],[Producto]],Producto[],2,FALSE)</f>
        <v>DAWNE</v>
      </c>
    </row>
    <row r="2106" spans="1:8" ht="20.100000000000001" customHeight="1" x14ac:dyDescent="0.25">
      <c r="A2106" s="3" t="s">
        <v>58</v>
      </c>
      <c r="B2106" s="3" t="s">
        <v>360</v>
      </c>
      <c r="C2106" s="3">
        <v>2022</v>
      </c>
      <c r="D2106" s="4">
        <v>2</v>
      </c>
      <c r="E2106" s="5">
        <v>18.98</v>
      </c>
      <c r="F2106" s="5">
        <v>12.49</v>
      </c>
      <c r="G2106" s="3" t="str">
        <f>VLOOKUP(Registros[[#This Row],[Cliente]],Cliente_Region[],2,FALSE)</f>
        <v>Canada</v>
      </c>
      <c r="H2106" s="3" t="str">
        <f>VLOOKUP(Registros[[#This Row],[Producto]],Producto[],2,FALSE)</f>
        <v>MOC</v>
      </c>
    </row>
    <row r="2107" spans="1:8" ht="20.100000000000001" customHeight="1" x14ac:dyDescent="0.25">
      <c r="A2107" s="3" t="s">
        <v>321</v>
      </c>
      <c r="B2107" s="3" t="s">
        <v>367</v>
      </c>
      <c r="C2107" s="3">
        <v>2022</v>
      </c>
      <c r="D2107" s="4">
        <v>1</v>
      </c>
      <c r="E2107" s="5">
        <v>624</v>
      </c>
      <c r="F2107" s="5">
        <v>168.79</v>
      </c>
      <c r="G2107" s="3" t="str">
        <f>VLOOKUP(Registros[[#This Row],[Cliente]],Cliente_Region[],2,FALSE)</f>
        <v>Peru</v>
      </c>
      <c r="H2107" s="3" t="str">
        <f>VLOOKUP(Registros[[#This Row],[Producto]],Producto[],2,FALSE)</f>
        <v>GAMBO</v>
      </c>
    </row>
    <row r="2108" spans="1:8" ht="20.100000000000001" customHeight="1" x14ac:dyDescent="0.25">
      <c r="A2108" s="3" t="s">
        <v>322</v>
      </c>
      <c r="B2108" s="3" t="s">
        <v>367</v>
      </c>
      <c r="C2108" s="3">
        <v>2022</v>
      </c>
      <c r="D2108" s="4">
        <v>2</v>
      </c>
      <c r="E2108" s="5">
        <v>852.1</v>
      </c>
      <c r="F2108" s="5">
        <v>225.29</v>
      </c>
      <c r="G2108" s="3" t="str">
        <f>VLOOKUP(Registros[[#This Row],[Cliente]],Cliente_Region[],2,FALSE)</f>
        <v>Peru</v>
      </c>
      <c r="H2108" s="3" t="str">
        <f>VLOOKUP(Registros[[#This Row],[Producto]],Producto[],2,FALSE)</f>
        <v>LAX</v>
      </c>
    </row>
    <row r="2109" spans="1:8" ht="20.100000000000001" customHeight="1" x14ac:dyDescent="0.25">
      <c r="A2109" s="3" t="s">
        <v>322</v>
      </c>
      <c r="B2109" s="3" t="s">
        <v>367</v>
      </c>
      <c r="C2109" s="3">
        <v>2022</v>
      </c>
      <c r="D2109" s="4">
        <v>3</v>
      </c>
      <c r="E2109" s="5">
        <v>891.95</v>
      </c>
      <c r="F2109" s="5">
        <v>212.58</v>
      </c>
      <c r="G2109" s="3" t="str">
        <f>VLOOKUP(Registros[[#This Row],[Cliente]],Cliente_Region[],2,FALSE)</f>
        <v>Peru</v>
      </c>
      <c r="H2109" s="3" t="str">
        <f>VLOOKUP(Registros[[#This Row],[Producto]],Producto[],2,FALSE)</f>
        <v>LAX</v>
      </c>
    </row>
    <row r="2110" spans="1:8" ht="20.100000000000001" customHeight="1" x14ac:dyDescent="0.25">
      <c r="A2110" s="3" t="s">
        <v>322</v>
      </c>
      <c r="B2110" s="3" t="s">
        <v>367</v>
      </c>
      <c r="C2110" s="3">
        <v>2022</v>
      </c>
      <c r="D2110" s="4">
        <v>4</v>
      </c>
      <c r="E2110" s="5">
        <v>715</v>
      </c>
      <c r="F2110" s="5">
        <v>220.12</v>
      </c>
      <c r="G2110" s="3" t="str">
        <f>VLOOKUP(Registros[[#This Row],[Cliente]],Cliente_Region[],2,FALSE)</f>
        <v>Peru</v>
      </c>
      <c r="H2110" s="3" t="str">
        <f>VLOOKUP(Registros[[#This Row],[Producto]],Producto[],2,FALSE)</f>
        <v>LAX</v>
      </c>
    </row>
    <row r="2111" spans="1:8" ht="20.100000000000001" customHeight="1" x14ac:dyDescent="0.25">
      <c r="A2111" s="3" t="s">
        <v>322</v>
      </c>
      <c r="B2111" s="3" t="s">
        <v>367</v>
      </c>
      <c r="C2111" s="3">
        <v>2022</v>
      </c>
      <c r="D2111" s="4">
        <v>5</v>
      </c>
      <c r="E2111" s="5">
        <v>648</v>
      </c>
      <c r="F2111" s="5">
        <v>201.87</v>
      </c>
      <c r="G2111" s="3" t="str">
        <f>VLOOKUP(Registros[[#This Row],[Cliente]],Cliente_Region[],2,FALSE)</f>
        <v>Peru</v>
      </c>
      <c r="H2111" s="3" t="str">
        <f>VLOOKUP(Registros[[#This Row],[Producto]],Producto[],2,FALSE)</f>
        <v>LAX</v>
      </c>
    </row>
    <row r="2112" spans="1:8" ht="20.100000000000001" customHeight="1" x14ac:dyDescent="0.25">
      <c r="A2112" s="3" t="s">
        <v>322</v>
      </c>
      <c r="B2112" s="3" t="s">
        <v>367</v>
      </c>
      <c r="C2112" s="3">
        <v>2022</v>
      </c>
      <c r="D2112" s="4">
        <v>6</v>
      </c>
      <c r="E2112" s="5">
        <v>383</v>
      </c>
      <c r="F2112" s="5">
        <v>100.26</v>
      </c>
      <c r="G2112" s="3" t="str">
        <f>VLOOKUP(Registros[[#This Row],[Cliente]],Cliente_Region[],2,FALSE)</f>
        <v>Peru</v>
      </c>
      <c r="H2112" s="3" t="str">
        <f>VLOOKUP(Registros[[#This Row],[Producto]],Producto[],2,FALSE)</f>
        <v>LAX</v>
      </c>
    </row>
    <row r="2113" spans="1:8" ht="20.100000000000001" customHeight="1" x14ac:dyDescent="0.25">
      <c r="A2113" s="3" t="s">
        <v>11</v>
      </c>
      <c r="B2113" s="3" t="s">
        <v>367</v>
      </c>
      <c r="C2113" s="3">
        <v>2022</v>
      </c>
      <c r="D2113" s="4">
        <v>1</v>
      </c>
      <c r="E2113" s="5">
        <v>492</v>
      </c>
      <c r="F2113" s="5">
        <v>205.2</v>
      </c>
      <c r="G2113" s="3" t="str">
        <f>VLOOKUP(Registros[[#This Row],[Cliente]],Cliente_Region[],2,FALSE)</f>
        <v>Peru</v>
      </c>
      <c r="H2113" s="3" t="str">
        <f>VLOOKUP(Registros[[#This Row],[Producto]],Producto[],2,FALSE)</f>
        <v>DONANY</v>
      </c>
    </row>
    <row r="2114" spans="1:8" ht="20.100000000000001" customHeight="1" x14ac:dyDescent="0.25">
      <c r="A2114" s="3" t="s">
        <v>292</v>
      </c>
      <c r="B2114" s="3" t="s">
        <v>367</v>
      </c>
      <c r="C2114" s="3">
        <v>2022</v>
      </c>
      <c r="D2114" s="4">
        <v>2</v>
      </c>
      <c r="E2114" s="5">
        <v>601.16</v>
      </c>
      <c r="F2114" s="5">
        <v>290.44</v>
      </c>
      <c r="G2114" s="3" t="str">
        <f>VLOOKUP(Registros[[#This Row],[Cliente]],Cliente_Region[],2,FALSE)</f>
        <v>Peru</v>
      </c>
      <c r="H2114" s="3" t="str">
        <f>VLOOKUP(Registros[[#This Row],[Producto]],Producto[],2,FALSE)</f>
        <v>QUOKAR</v>
      </c>
    </row>
    <row r="2115" spans="1:8" ht="20.100000000000001" customHeight="1" x14ac:dyDescent="0.25">
      <c r="A2115" s="3" t="s">
        <v>292</v>
      </c>
      <c r="B2115" s="3" t="s">
        <v>367</v>
      </c>
      <c r="C2115" s="3">
        <v>2022</v>
      </c>
      <c r="D2115" s="4">
        <v>3</v>
      </c>
      <c r="E2115" s="5">
        <v>599.16</v>
      </c>
      <c r="F2115" s="5">
        <v>258.56</v>
      </c>
      <c r="G2115" s="3" t="str">
        <f>VLOOKUP(Registros[[#This Row],[Cliente]],Cliente_Region[],2,FALSE)</f>
        <v>Peru</v>
      </c>
      <c r="H2115" s="3" t="str">
        <f>VLOOKUP(Registros[[#This Row],[Producto]],Producto[],2,FALSE)</f>
        <v>QUOKAR</v>
      </c>
    </row>
    <row r="2116" spans="1:8" ht="20.100000000000001" customHeight="1" x14ac:dyDescent="0.25">
      <c r="A2116" s="3" t="s">
        <v>292</v>
      </c>
      <c r="B2116" s="3" t="s">
        <v>367</v>
      </c>
      <c r="C2116" s="3">
        <v>2022</v>
      </c>
      <c r="D2116" s="4">
        <v>4</v>
      </c>
      <c r="E2116" s="5">
        <v>637.75</v>
      </c>
      <c r="F2116" s="5">
        <v>321.07</v>
      </c>
      <c r="G2116" s="3" t="str">
        <f>VLOOKUP(Registros[[#This Row],[Cliente]],Cliente_Region[],2,FALSE)</f>
        <v>Peru</v>
      </c>
      <c r="H2116" s="3" t="str">
        <f>VLOOKUP(Registros[[#This Row],[Producto]],Producto[],2,FALSE)</f>
        <v>QUOKAR</v>
      </c>
    </row>
    <row r="2117" spans="1:8" ht="20.100000000000001" customHeight="1" x14ac:dyDescent="0.25">
      <c r="A2117" s="3" t="s">
        <v>292</v>
      </c>
      <c r="B2117" s="3" t="s">
        <v>367</v>
      </c>
      <c r="C2117" s="3">
        <v>2022</v>
      </c>
      <c r="D2117" s="4">
        <v>5</v>
      </c>
      <c r="E2117" s="5">
        <v>625</v>
      </c>
      <c r="F2117" s="5">
        <v>326.25</v>
      </c>
      <c r="G2117" s="3" t="str">
        <f>VLOOKUP(Registros[[#This Row],[Cliente]],Cliente_Region[],2,FALSE)</f>
        <v>Peru</v>
      </c>
      <c r="H2117" s="3" t="str">
        <f>VLOOKUP(Registros[[#This Row],[Producto]],Producto[],2,FALSE)</f>
        <v>QUOKAR</v>
      </c>
    </row>
    <row r="2118" spans="1:8" ht="20.100000000000001" customHeight="1" x14ac:dyDescent="0.25">
      <c r="A2118" s="3" t="s">
        <v>292</v>
      </c>
      <c r="B2118" s="3" t="s">
        <v>367</v>
      </c>
      <c r="C2118" s="3">
        <v>2022</v>
      </c>
      <c r="D2118" s="4">
        <v>6</v>
      </c>
      <c r="E2118" s="5">
        <v>402.5</v>
      </c>
      <c r="F2118" s="5">
        <v>199.34</v>
      </c>
      <c r="G2118" s="3" t="str">
        <f>VLOOKUP(Registros[[#This Row],[Cliente]],Cliente_Region[],2,FALSE)</f>
        <v>Peru</v>
      </c>
      <c r="H2118" s="3" t="str">
        <f>VLOOKUP(Registros[[#This Row],[Producto]],Producto[],2,FALSE)</f>
        <v>QUOKAR</v>
      </c>
    </row>
    <row r="2119" spans="1:8" ht="20.100000000000001" customHeight="1" x14ac:dyDescent="0.25">
      <c r="A2119" s="3" t="s">
        <v>293</v>
      </c>
      <c r="B2119" s="3" t="s">
        <v>367</v>
      </c>
      <c r="C2119" s="3">
        <v>2022</v>
      </c>
      <c r="D2119" s="4">
        <v>1</v>
      </c>
      <c r="E2119" s="5">
        <v>312</v>
      </c>
      <c r="F2119" s="5">
        <v>76.989999999999995</v>
      </c>
      <c r="G2119" s="3" t="str">
        <f>VLOOKUP(Registros[[#This Row],[Cliente]],Cliente_Region[],2,FALSE)</f>
        <v>Peru</v>
      </c>
      <c r="H2119" s="3" t="str">
        <f>VLOOKUP(Registros[[#This Row],[Producto]],Producto[],2,FALSE)</f>
        <v>QUOKAR</v>
      </c>
    </row>
    <row r="2120" spans="1:8" ht="20.100000000000001" customHeight="1" x14ac:dyDescent="0.25">
      <c r="A2120" s="3" t="s">
        <v>294</v>
      </c>
      <c r="B2120" s="3" t="s">
        <v>367</v>
      </c>
      <c r="C2120" s="3">
        <v>2022</v>
      </c>
      <c r="D2120" s="4">
        <v>2</v>
      </c>
      <c r="E2120" s="5">
        <v>339.46</v>
      </c>
      <c r="F2120" s="5">
        <v>65.36</v>
      </c>
      <c r="G2120" s="3" t="str">
        <f>VLOOKUP(Registros[[#This Row],[Cliente]],Cliente_Region[],2,FALSE)</f>
        <v>Peru</v>
      </c>
      <c r="H2120" s="3" t="str">
        <f>VLOOKUP(Registros[[#This Row],[Producto]],Producto[],2,FALSE)</f>
        <v>CHOTUS</v>
      </c>
    </row>
    <row r="2121" spans="1:8" ht="20.100000000000001" customHeight="1" x14ac:dyDescent="0.25">
      <c r="A2121" s="3" t="s">
        <v>294</v>
      </c>
      <c r="B2121" s="3" t="s">
        <v>367</v>
      </c>
      <c r="C2121" s="3">
        <v>2022</v>
      </c>
      <c r="D2121" s="4">
        <v>3</v>
      </c>
      <c r="E2121" s="5">
        <v>374.27</v>
      </c>
      <c r="F2121" s="5">
        <v>72.23</v>
      </c>
      <c r="G2121" s="3" t="str">
        <f>VLOOKUP(Registros[[#This Row],[Cliente]],Cliente_Region[],2,FALSE)</f>
        <v>Peru</v>
      </c>
      <c r="H2121" s="3" t="str">
        <f>VLOOKUP(Registros[[#This Row],[Producto]],Producto[],2,FALSE)</f>
        <v>CHOTUS</v>
      </c>
    </row>
    <row r="2122" spans="1:8" ht="20.100000000000001" customHeight="1" x14ac:dyDescent="0.25">
      <c r="A2122" s="3" t="s">
        <v>294</v>
      </c>
      <c r="B2122" s="3" t="s">
        <v>367</v>
      </c>
      <c r="C2122" s="3">
        <v>2022</v>
      </c>
      <c r="D2122" s="4">
        <v>4</v>
      </c>
      <c r="E2122" s="5">
        <v>345.75</v>
      </c>
      <c r="F2122" s="5">
        <v>46.55</v>
      </c>
      <c r="G2122" s="3" t="str">
        <f>VLOOKUP(Registros[[#This Row],[Cliente]],Cliente_Region[],2,FALSE)</f>
        <v>Peru</v>
      </c>
      <c r="H2122" s="3" t="str">
        <f>VLOOKUP(Registros[[#This Row],[Producto]],Producto[],2,FALSE)</f>
        <v>CHOTUS</v>
      </c>
    </row>
    <row r="2123" spans="1:8" ht="20.100000000000001" customHeight="1" x14ac:dyDescent="0.25">
      <c r="A2123" s="3" t="s">
        <v>294</v>
      </c>
      <c r="B2123" s="3" t="s">
        <v>367</v>
      </c>
      <c r="C2123" s="3">
        <v>2022</v>
      </c>
      <c r="D2123" s="4">
        <v>5</v>
      </c>
      <c r="E2123" s="5">
        <v>351</v>
      </c>
      <c r="F2123" s="5">
        <v>88.65</v>
      </c>
      <c r="G2123" s="3" t="str">
        <f>VLOOKUP(Registros[[#This Row],[Cliente]],Cliente_Region[],2,FALSE)</f>
        <v>Peru</v>
      </c>
      <c r="H2123" s="3" t="str">
        <f>VLOOKUP(Registros[[#This Row],[Producto]],Producto[],2,FALSE)</f>
        <v>CHOTUS</v>
      </c>
    </row>
    <row r="2124" spans="1:8" ht="20.100000000000001" customHeight="1" x14ac:dyDescent="0.25">
      <c r="A2124" s="3" t="s">
        <v>294</v>
      </c>
      <c r="B2124" s="3" t="s">
        <v>367</v>
      </c>
      <c r="C2124" s="3">
        <v>2022</v>
      </c>
      <c r="D2124" s="4">
        <v>6</v>
      </c>
      <c r="E2124" s="5">
        <v>301.5</v>
      </c>
      <c r="F2124" s="5">
        <v>66.36</v>
      </c>
      <c r="G2124" s="3" t="str">
        <f>VLOOKUP(Registros[[#This Row],[Cliente]],Cliente_Region[],2,FALSE)</f>
        <v>Peru</v>
      </c>
      <c r="H2124" s="3" t="str">
        <f>VLOOKUP(Registros[[#This Row],[Producto]],Producto[],2,FALSE)</f>
        <v>CHOTUS</v>
      </c>
    </row>
    <row r="2125" spans="1:8" ht="20.100000000000001" customHeight="1" x14ac:dyDescent="0.25">
      <c r="A2125" s="3" t="s">
        <v>304</v>
      </c>
      <c r="B2125" s="3" t="s">
        <v>367</v>
      </c>
      <c r="C2125" s="3">
        <v>2022</v>
      </c>
      <c r="D2125" s="4">
        <v>1</v>
      </c>
      <c r="E2125" s="5">
        <v>480</v>
      </c>
      <c r="F2125" s="5">
        <v>300.32</v>
      </c>
      <c r="G2125" s="3" t="str">
        <f>VLOOKUP(Registros[[#This Row],[Cliente]],Cliente_Region[],2,FALSE)</f>
        <v>Peru</v>
      </c>
      <c r="H2125" s="3" t="str">
        <f>VLOOKUP(Registros[[#This Row],[Producto]],Producto[],2,FALSE)</f>
        <v>QUOKAR</v>
      </c>
    </row>
    <row r="2126" spans="1:8" ht="20.100000000000001" customHeight="1" x14ac:dyDescent="0.25">
      <c r="A2126" s="3" t="s">
        <v>305</v>
      </c>
      <c r="B2126" s="3" t="s">
        <v>367</v>
      </c>
      <c r="C2126" s="3">
        <v>2022</v>
      </c>
      <c r="D2126" s="4">
        <v>2</v>
      </c>
      <c r="E2126" s="5">
        <v>587.1</v>
      </c>
      <c r="F2126" s="5">
        <v>389.46</v>
      </c>
      <c r="G2126" s="3" t="str">
        <f>VLOOKUP(Registros[[#This Row],[Cliente]],Cliente_Region[],2,FALSE)</f>
        <v>Peru</v>
      </c>
      <c r="H2126" s="3" t="str">
        <f>VLOOKUP(Registros[[#This Row],[Producto]],Producto[],2,FALSE)</f>
        <v>DAWNE</v>
      </c>
    </row>
    <row r="2127" spans="1:8" ht="20.100000000000001" customHeight="1" x14ac:dyDescent="0.25">
      <c r="A2127" s="3" t="s">
        <v>305</v>
      </c>
      <c r="B2127" s="3" t="s">
        <v>367</v>
      </c>
      <c r="C2127" s="3">
        <v>2022</v>
      </c>
      <c r="D2127" s="4">
        <v>3</v>
      </c>
      <c r="E2127" s="5">
        <v>596.04999999999995</v>
      </c>
      <c r="F2127" s="5">
        <v>375.95</v>
      </c>
      <c r="G2127" s="3" t="str">
        <f>VLOOKUP(Registros[[#This Row],[Cliente]],Cliente_Region[],2,FALSE)</f>
        <v>Peru</v>
      </c>
      <c r="H2127" s="3" t="str">
        <f>VLOOKUP(Registros[[#This Row],[Producto]],Producto[],2,FALSE)</f>
        <v>DAWNE</v>
      </c>
    </row>
    <row r="2128" spans="1:8" ht="20.100000000000001" customHeight="1" x14ac:dyDescent="0.25">
      <c r="A2128" s="3" t="s">
        <v>305</v>
      </c>
      <c r="B2128" s="3" t="s">
        <v>367</v>
      </c>
      <c r="C2128" s="3">
        <v>2022</v>
      </c>
      <c r="D2128" s="4">
        <v>4</v>
      </c>
      <c r="E2128" s="5">
        <v>626.25</v>
      </c>
      <c r="F2128" s="5">
        <v>400.11</v>
      </c>
      <c r="G2128" s="3" t="str">
        <f>VLOOKUP(Registros[[#This Row],[Cliente]],Cliente_Region[],2,FALSE)</f>
        <v>Peru</v>
      </c>
      <c r="H2128" s="3" t="str">
        <f>VLOOKUP(Registros[[#This Row],[Producto]],Producto[],2,FALSE)</f>
        <v>DAWNE</v>
      </c>
    </row>
    <row r="2129" spans="1:8" ht="20.100000000000001" customHeight="1" x14ac:dyDescent="0.25">
      <c r="A2129" s="3" t="s">
        <v>305</v>
      </c>
      <c r="B2129" s="3" t="s">
        <v>367</v>
      </c>
      <c r="C2129" s="3">
        <v>2022</v>
      </c>
      <c r="D2129" s="4">
        <v>5</v>
      </c>
      <c r="E2129" s="5">
        <v>623.5</v>
      </c>
      <c r="F2129" s="5">
        <v>430.34</v>
      </c>
      <c r="G2129" s="3" t="str">
        <f>VLOOKUP(Registros[[#This Row],[Cliente]],Cliente_Region[],2,FALSE)</f>
        <v>Peru</v>
      </c>
      <c r="H2129" s="3" t="str">
        <f>VLOOKUP(Registros[[#This Row],[Producto]],Producto[],2,FALSE)</f>
        <v>DAWNE</v>
      </c>
    </row>
    <row r="2130" spans="1:8" ht="20.100000000000001" customHeight="1" x14ac:dyDescent="0.25">
      <c r="A2130" s="3" t="s">
        <v>305</v>
      </c>
      <c r="B2130" s="3" t="s">
        <v>367</v>
      </c>
      <c r="C2130" s="3">
        <v>2022</v>
      </c>
      <c r="D2130" s="4">
        <v>6</v>
      </c>
      <c r="E2130" s="5">
        <v>465.5</v>
      </c>
      <c r="F2130" s="5">
        <v>312.76</v>
      </c>
      <c r="G2130" s="3" t="str">
        <f>VLOOKUP(Registros[[#This Row],[Cliente]],Cliente_Region[],2,FALSE)</f>
        <v>Peru</v>
      </c>
      <c r="H2130" s="3" t="str">
        <f>VLOOKUP(Registros[[#This Row],[Producto]],Producto[],2,FALSE)</f>
        <v>DAWNE</v>
      </c>
    </row>
    <row r="2131" spans="1:8" ht="20.100000000000001" customHeight="1" x14ac:dyDescent="0.25">
      <c r="A2131" s="3" t="s">
        <v>301</v>
      </c>
      <c r="B2131" s="3" t="s">
        <v>367</v>
      </c>
      <c r="C2131" s="3">
        <v>2022</v>
      </c>
      <c r="D2131" s="4">
        <v>1</v>
      </c>
      <c r="E2131" s="5">
        <v>320</v>
      </c>
      <c r="F2131" s="5">
        <v>173.84</v>
      </c>
      <c r="G2131" s="3" t="str">
        <f>VLOOKUP(Registros[[#This Row],[Cliente]],Cliente_Region[],2,FALSE)</f>
        <v>Peru</v>
      </c>
      <c r="H2131" s="3" t="str">
        <f>VLOOKUP(Registros[[#This Row],[Producto]],Producto[],2,FALSE)</f>
        <v>CHOTUS</v>
      </c>
    </row>
    <row r="2132" spans="1:8" ht="20.100000000000001" customHeight="1" x14ac:dyDescent="0.25">
      <c r="A2132" s="3" t="s">
        <v>302</v>
      </c>
      <c r="B2132" s="3" t="s">
        <v>367</v>
      </c>
      <c r="C2132" s="3">
        <v>2022</v>
      </c>
      <c r="D2132" s="4">
        <v>2</v>
      </c>
      <c r="E2132" s="5">
        <v>310</v>
      </c>
      <c r="F2132" s="5">
        <v>163.84</v>
      </c>
      <c r="G2132" s="3" t="str">
        <f>VLOOKUP(Registros[[#This Row],[Cliente]],Cliente_Region[],2,FALSE)</f>
        <v>Peru</v>
      </c>
      <c r="H2132" s="3" t="str">
        <f>VLOOKUP(Registros[[#This Row],[Producto]],Producto[],2,FALSE)</f>
        <v>CHOTUS</v>
      </c>
    </row>
    <row r="2133" spans="1:8" ht="20.100000000000001" customHeight="1" x14ac:dyDescent="0.25">
      <c r="A2133" s="3" t="s">
        <v>302</v>
      </c>
      <c r="B2133" s="3" t="s">
        <v>367</v>
      </c>
      <c r="C2133" s="3">
        <v>2022</v>
      </c>
      <c r="D2133" s="4">
        <v>3</v>
      </c>
      <c r="E2133" s="5">
        <v>340</v>
      </c>
      <c r="F2133" s="5">
        <v>175.57</v>
      </c>
      <c r="G2133" s="3" t="str">
        <f>VLOOKUP(Registros[[#This Row],[Cliente]],Cliente_Region[],2,FALSE)</f>
        <v>Peru</v>
      </c>
      <c r="H2133" s="3" t="str">
        <f>VLOOKUP(Registros[[#This Row],[Producto]],Producto[],2,FALSE)</f>
        <v>CHOTUS</v>
      </c>
    </row>
    <row r="2134" spans="1:8" ht="20.100000000000001" customHeight="1" x14ac:dyDescent="0.25">
      <c r="A2134" s="3" t="s">
        <v>302</v>
      </c>
      <c r="B2134" s="3" t="s">
        <v>367</v>
      </c>
      <c r="C2134" s="3">
        <v>2022</v>
      </c>
      <c r="D2134" s="4">
        <v>4</v>
      </c>
      <c r="E2134" s="5">
        <v>355</v>
      </c>
      <c r="F2134" s="5">
        <v>190.57</v>
      </c>
      <c r="G2134" s="3" t="str">
        <f>VLOOKUP(Registros[[#This Row],[Cliente]],Cliente_Region[],2,FALSE)</f>
        <v>Peru</v>
      </c>
      <c r="H2134" s="3" t="str">
        <f>VLOOKUP(Registros[[#This Row],[Producto]],Producto[],2,FALSE)</f>
        <v>CHOTUS</v>
      </c>
    </row>
    <row r="2135" spans="1:8" ht="20.100000000000001" customHeight="1" x14ac:dyDescent="0.25">
      <c r="A2135" s="3" t="s">
        <v>302</v>
      </c>
      <c r="B2135" s="3" t="s">
        <v>367</v>
      </c>
      <c r="C2135" s="3">
        <v>2022</v>
      </c>
      <c r="D2135" s="4">
        <v>5</v>
      </c>
      <c r="E2135" s="5">
        <v>360</v>
      </c>
      <c r="F2135" s="5">
        <v>195.57</v>
      </c>
      <c r="G2135" s="3" t="str">
        <f>VLOOKUP(Registros[[#This Row],[Cliente]],Cliente_Region[],2,FALSE)</f>
        <v>Peru</v>
      </c>
      <c r="H2135" s="3" t="str">
        <f>VLOOKUP(Registros[[#This Row],[Producto]],Producto[],2,FALSE)</f>
        <v>CHOTUS</v>
      </c>
    </row>
    <row r="2136" spans="1:8" ht="20.100000000000001" customHeight="1" x14ac:dyDescent="0.25">
      <c r="A2136" s="3" t="s">
        <v>302</v>
      </c>
      <c r="B2136" s="3" t="s">
        <v>367</v>
      </c>
      <c r="C2136" s="3">
        <v>2022</v>
      </c>
      <c r="D2136" s="4">
        <v>6</v>
      </c>
      <c r="E2136" s="5">
        <v>310</v>
      </c>
      <c r="F2136" s="5">
        <v>163.84</v>
      </c>
      <c r="G2136" s="3" t="str">
        <f>VLOOKUP(Registros[[#This Row],[Cliente]],Cliente_Region[],2,FALSE)</f>
        <v>Peru</v>
      </c>
      <c r="H2136" s="3" t="str">
        <f>VLOOKUP(Registros[[#This Row],[Producto]],Producto[],2,FALSE)</f>
        <v>CHOTUS</v>
      </c>
    </row>
    <row r="2137" spans="1:8" ht="20.100000000000001" customHeight="1" x14ac:dyDescent="0.25">
      <c r="A2137" s="3" t="s">
        <v>280</v>
      </c>
      <c r="B2137" s="3" t="s">
        <v>367</v>
      </c>
      <c r="C2137" s="3">
        <v>2022</v>
      </c>
      <c r="D2137" s="4">
        <v>1</v>
      </c>
      <c r="E2137" s="5">
        <v>320</v>
      </c>
      <c r="F2137" s="5">
        <v>170.16</v>
      </c>
      <c r="G2137" s="3" t="str">
        <f>VLOOKUP(Registros[[#This Row],[Cliente]],Cliente_Region[],2,FALSE)</f>
        <v>Peru</v>
      </c>
      <c r="H2137" s="3" t="str">
        <f>VLOOKUP(Registros[[#This Row],[Producto]],Producto[],2,FALSE)</f>
        <v>CHOTUS</v>
      </c>
    </row>
    <row r="2138" spans="1:8" ht="20.100000000000001" customHeight="1" x14ac:dyDescent="0.25">
      <c r="A2138" s="3" t="s">
        <v>281</v>
      </c>
      <c r="B2138" s="3" t="s">
        <v>367</v>
      </c>
      <c r="C2138" s="3">
        <v>2022</v>
      </c>
      <c r="D2138" s="4">
        <v>2</v>
      </c>
      <c r="E2138" s="5">
        <v>390.4</v>
      </c>
      <c r="F2138" s="5">
        <v>203.12</v>
      </c>
      <c r="G2138" s="3" t="str">
        <f>VLOOKUP(Registros[[#This Row],[Cliente]],Cliente_Region[],2,FALSE)</f>
        <v>Peru</v>
      </c>
      <c r="H2138" s="3" t="str">
        <f>VLOOKUP(Registros[[#This Row],[Producto]],Producto[],2,FALSE)</f>
        <v>SALF</v>
      </c>
    </row>
    <row r="2139" spans="1:8" ht="20.100000000000001" customHeight="1" x14ac:dyDescent="0.25">
      <c r="A2139" s="3" t="s">
        <v>281</v>
      </c>
      <c r="B2139" s="3" t="s">
        <v>367</v>
      </c>
      <c r="C2139" s="3">
        <v>2022</v>
      </c>
      <c r="D2139" s="4">
        <v>3</v>
      </c>
      <c r="E2139" s="5">
        <v>416.75</v>
      </c>
      <c r="F2139" s="5">
        <v>210.74</v>
      </c>
      <c r="G2139" s="3" t="str">
        <f>VLOOKUP(Registros[[#This Row],[Cliente]],Cliente_Region[],2,FALSE)</f>
        <v>Peru</v>
      </c>
      <c r="H2139" s="3" t="str">
        <f>VLOOKUP(Registros[[#This Row],[Producto]],Producto[],2,FALSE)</f>
        <v>SALF</v>
      </c>
    </row>
    <row r="2140" spans="1:8" ht="20.100000000000001" customHeight="1" x14ac:dyDescent="0.25">
      <c r="A2140" s="3" t="s">
        <v>281</v>
      </c>
      <c r="B2140" s="3" t="s">
        <v>367</v>
      </c>
      <c r="C2140" s="3">
        <v>2022</v>
      </c>
      <c r="D2140" s="4">
        <v>4</v>
      </c>
      <c r="E2140" s="5">
        <v>363.4</v>
      </c>
      <c r="F2140" s="5">
        <v>194.83</v>
      </c>
      <c r="G2140" s="3" t="str">
        <f>VLOOKUP(Registros[[#This Row],[Cliente]],Cliente_Region[],2,FALSE)</f>
        <v>Peru</v>
      </c>
      <c r="H2140" s="3" t="str">
        <f>VLOOKUP(Registros[[#This Row],[Producto]],Producto[],2,FALSE)</f>
        <v>SALF</v>
      </c>
    </row>
    <row r="2141" spans="1:8" ht="20.100000000000001" customHeight="1" x14ac:dyDescent="0.25">
      <c r="A2141" s="3" t="s">
        <v>281</v>
      </c>
      <c r="B2141" s="3" t="s">
        <v>367</v>
      </c>
      <c r="C2141" s="3">
        <v>2022</v>
      </c>
      <c r="D2141" s="4">
        <v>5</v>
      </c>
      <c r="E2141" s="5">
        <v>369</v>
      </c>
      <c r="F2141" s="5">
        <v>200.43</v>
      </c>
      <c r="G2141" s="3" t="str">
        <f>VLOOKUP(Registros[[#This Row],[Cliente]],Cliente_Region[],2,FALSE)</f>
        <v>Peru</v>
      </c>
      <c r="H2141" s="3" t="str">
        <f>VLOOKUP(Registros[[#This Row],[Producto]],Producto[],2,FALSE)</f>
        <v>SALF</v>
      </c>
    </row>
    <row r="2142" spans="1:8" ht="20.100000000000001" customHeight="1" x14ac:dyDescent="0.25">
      <c r="A2142" s="3" t="s">
        <v>281</v>
      </c>
      <c r="B2142" s="3" t="s">
        <v>367</v>
      </c>
      <c r="C2142" s="3">
        <v>2022</v>
      </c>
      <c r="D2142" s="4">
        <v>6</v>
      </c>
      <c r="E2142" s="5">
        <v>316.8</v>
      </c>
      <c r="F2142" s="5">
        <v>166.96</v>
      </c>
      <c r="G2142" s="3" t="str">
        <f>VLOOKUP(Registros[[#This Row],[Cliente]],Cliente_Region[],2,FALSE)</f>
        <v>Peru</v>
      </c>
      <c r="H2142" s="3" t="str">
        <f>VLOOKUP(Registros[[#This Row],[Producto]],Producto[],2,FALSE)</f>
        <v>SALF</v>
      </c>
    </row>
    <row r="2143" spans="1:8" ht="20.100000000000001" customHeight="1" x14ac:dyDescent="0.25">
      <c r="A2143" s="3" t="s">
        <v>282</v>
      </c>
      <c r="B2143" s="3" t="s">
        <v>367</v>
      </c>
      <c r="C2143" s="3">
        <v>2022</v>
      </c>
      <c r="D2143" s="4">
        <v>1</v>
      </c>
      <c r="E2143" s="5">
        <v>264</v>
      </c>
      <c r="F2143" s="5">
        <v>151.76</v>
      </c>
      <c r="G2143" s="3" t="str">
        <f>VLOOKUP(Registros[[#This Row],[Cliente]],Cliente_Region[],2,FALSE)</f>
        <v>Peru</v>
      </c>
      <c r="H2143" s="3" t="str">
        <f>VLOOKUP(Registros[[#This Row],[Producto]],Producto[],2,FALSE)</f>
        <v>DAWNE</v>
      </c>
    </row>
    <row r="2144" spans="1:8" ht="20.100000000000001" customHeight="1" x14ac:dyDescent="0.25">
      <c r="A2144" s="3" t="s">
        <v>114</v>
      </c>
      <c r="B2144" s="3" t="s">
        <v>367</v>
      </c>
      <c r="C2144" s="3">
        <v>2022</v>
      </c>
      <c r="D2144" s="4">
        <v>2</v>
      </c>
      <c r="E2144" s="5">
        <v>382</v>
      </c>
      <c r="F2144" s="5">
        <v>194.71</v>
      </c>
      <c r="G2144" s="3" t="str">
        <f>VLOOKUP(Registros[[#This Row],[Cliente]],Cliente_Region[],2,FALSE)</f>
        <v>Peru</v>
      </c>
      <c r="H2144" s="3" t="str">
        <f>VLOOKUP(Registros[[#This Row],[Producto]],Producto[],2,FALSE)</f>
        <v>DAWNE</v>
      </c>
    </row>
    <row r="2145" spans="1:8" ht="20.100000000000001" customHeight="1" x14ac:dyDescent="0.25">
      <c r="A2145" s="3" t="s">
        <v>114</v>
      </c>
      <c r="B2145" s="3" t="s">
        <v>367</v>
      </c>
      <c r="C2145" s="3">
        <v>2022</v>
      </c>
      <c r="D2145" s="4">
        <v>3</v>
      </c>
      <c r="E2145" s="5">
        <v>404.5</v>
      </c>
      <c r="F2145" s="5">
        <v>222.15</v>
      </c>
      <c r="G2145" s="3" t="str">
        <f>VLOOKUP(Registros[[#This Row],[Cliente]],Cliente_Region[],2,FALSE)</f>
        <v>Peru</v>
      </c>
      <c r="H2145" s="3" t="str">
        <f>VLOOKUP(Registros[[#This Row],[Producto]],Producto[],2,FALSE)</f>
        <v>DAWNE</v>
      </c>
    </row>
    <row r="2146" spans="1:8" ht="20.100000000000001" customHeight="1" x14ac:dyDescent="0.25">
      <c r="A2146" s="3" t="s">
        <v>114</v>
      </c>
      <c r="B2146" s="3" t="s">
        <v>367</v>
      </c>
      <c r="C2146" s="3">
        <v>2022</v>
      </c>
      <c r="D2146" s="4">
        <v>4</v>
      </c>
      <c r="E2146" s="5">
        <v>293.5</v>
      </c>
      <c r="F2146" s="5">
        <v>167.23</v>
      </c>
      <c r="G2146" s="3" t="str">
        <f>VLOOKUP(Registros[[#This Row],[Cliente]],Cliente_Region[],2,FALSE)</f>
        <v>Peru</v>
      </c>
      <c r="H2146" s="3" t="str">
        <f>VLOOKUP(Registros[[#This Row],[Producto]],Producto[],2,FALSE)</f>
        <v>DAWNE</v>
      </c>
    </row>
    <row r="2147" spans="1:8" ht="20.100000000000001" customHeight="1" x14ac:dyDescent="0.25">
      <c r="A2147" s="3" t="s">
        <v>114</v>
      </c>
      <c r="B2147" s="3" t="s">
        <v>367</v>
      </c>
      <c r="C2147" s="3">
        <v>2022</v>
      </c>
      <c r="D2147" s="4">
        <v>5</v>
      </c>
      <c r="E2147" s="5">
        <v>297</v>
      </c>
      <c r="F2147" s="5">
        <v>170.73</v>
      </c>
      <c r="G2147" s="3" t="str">
        <f>VLOOKUP(Registros[[#This Row],[Cliente]],Cliente_Region[],2,FALSE)</f>
        <v>Peru</v>
      </c>
      <c r="H2147" s="3" t="str">
        <f>VLOOKUP(Registros[[#This Row],[Producto]],Producto[],2,FALSE)</f>
        <v>DAWNE</v>
      </c>
    </row>
    <row r="2148" spans="1:8" ht="20.100000000000001" customHeight="1" x14ac:dyDescent="0.25">
      <c r="A2148" s="3" t="s">
        <v>114</v>
      </c>
      <c r="B2148" s="3" t="s">
        <v>367</v>
      </c>
      <c r="C2148" s="3">
        <v>2022</v>
      </c>
      <c r="D2148" s="4">
        <v>6</v>
      </c>
      <c r="E2148" s="5">
        <v>257</v>
      </c>
      <c r="F2148" s="5">
        <v>144.76</v>
      </c>
      <c r="G2148" s="3" t="str">
        <f>VLOOKUP(Registros[[#This Row],[Cliente]],Cliente_Region[],2,FALSE)</f>
        <v>Peru</v>
      </c>
      <c r="H2148" s="3" t="str">
        <f>VLOOKUP(Registros[[#This Row],[Producto]],Producto[],2,FALSE)</f>
        <v>DAWNE</v>
      </c>
    </row>
    <row r="2149" spans="1:8" ht="20.100000000000001" customHeight="1" x14ac:dyDescent="0.25">
      <c r="A2149" s="3" t="s">
        <v>135</v>
      </c>
      <c r="B2149" s="3" t="s">
        <v>367</v>
      </c>
      <c r="C2149" s="3">
        <v>2022</v>
      </c>
      <c r="D2149" s="4">
        <v>1</v>
      </c>
      <c r="E2149" s="5">
        <v>540</v>
      </c>
      <c r="F2149" s="5">
        <v>378.24</v>
      </c>
      <c r="G2149" s="3" t="str">
        <f>VLOOKUP(Registros[[#This Row],[Cliente]],Cliente_Region[],2,FALSE)</f>
        <v>Peru</v>
      </c>
      <c r="H2149" s="3" t="str">
        <f>VLOOKUP(Registros[[#This Row],[Producto]],Producto[],2,FALSE)</f>
        <v>GAMBO</v>
      </c>
    </row>
    <row r="2150" spans="1:8" ht="20.100000000000001" customHeight="1" x14ac:dyDescent="0.25">
      <c r="A2150" s="3" t="s">
        <v>93</v>
      </c>
      <c r="B2150" s="3" t="s">
        <v>367</v>
      </c>
      <c r="C2150" s="3">
        <v>2022</v>
      </c>
      <c r="D2150" s="4">
        <v>2</v>
      </c>
      <c r="E2150" s="5">
        <v>686.41</v>
      </c>
      <c r="F2150" s="5">
        <v>497.69</v>
      </c>
      <c r="G2150" s="3" t="str">
        <f>VLOOKUP(Registros[[#This Row],[Cliente]],Cliente_Region[],2,FALSE)</f>
        <v>Peru</v>
      </c>
      <c r="H2150" s="3" t="str">
        <f>VLOOKUP(Registros[[#This Row],[Producto]],Producto[],2,FALSE)</f>
        <v>GAMBO</v>
      </c>
    </row>
    <row r="2151" spans="1:8" ht="20.100000000000001" customHeight="1" x14ac:dyDescent="0.25">
      <c r="A2151" s="3" t="s">
        <v>93</v>
      </c>
      <c r="B2151" s="3" t="s">
        <v>367</v>
      </c>
      <c r="C2151" s="3">
        <v>2022</v>
      </c>
      <c r="D2151" s="4">
        <v>3</v>
      </c>
      <c r="E2151" s="5">
        <v>671.42</v>
      </c>
      <c r="F2151" s="5">
        <v>462.48</v>
      </c>
      <c r="G2151" s="3" t="str">
        <f>VLOOKUP(Registros[[#This Row],[Cliente]],Cliente_Region[],2,FALSE)</f>
        <v>Peru</v>
      </c>
      <c r="H2151" s="3" t="str">
        <f>VLOOKUP(Registros[[#This Row],[Producto]],Producto[],2,FALSE)</f>
        <v>GAMBO</v>
      </c>
    </row>
    <row r="2152" spans="1:8" ht="20.100000000000001" customHeight="1" x14ac:dyDescent="0.25">
      <c r="A2152" s="3" t="s">
        <v>93</v>
      </c>
      <c r="B2152" s="3" t="s">
        <v>367</v>
      </c>
      <c r="C2152" s="3">
        <v>2022</v>
      </c>
      <c r="D2152" s="4">
        <v>4</v>
      </c>
      <c r="E2152" s="5">
        <v>598.5</v>
      </c>
      <c r="F2152" s="5">
        <v>416.52</v>
      </c>
      <c r="G2152" s="3" t="str">
        <f>VLOOKUP(Registros[[#This Row],[Cliente]],Cliente_Region[],2,FALSE)</f>
        <v>Peru</v>
      </c>
      <c r="H2152" s="3" t="str">
        <f>VLOOKUP(Registros[[#This Row],[Producto]],Producto[],2,FALSE)</f>
        <v>GAMBO</v>
      </c>
    </row>
    <row r="2153" spans="1:8" ht="20.100000000000001" customHeight="1" x14ac:dyDescent="0.25">
      <c r="A2153" s="3" t="s">
        <v>93</v>
      </c>
      <c r="B2153" s="3" t="s">
        <v>367</v>
      </c>
      <c r="C2153" s="3">
        <v>2022</v>
      </c>
      <c r="D2153" s="4">
        <v>5</v>
      </c>
      <c r="E2153" s="5">
        <v>607.5</v>
      </c>
      <c r="F2153" s="5">
        <v>425.52</v>
      </c>
      <c r="G2153" s="3" t="str">
        <f>VLOOKUP(Registros[[#This Row],[Cliente]],Cliente_Region[],2,FALSE)</f>
        <v>Peru</v>
      </c>
      <c r="H2153" s="3" t="str">
        <f>VLOOKUP(Registros[[#This Row],[Producto]],Producto[],2,FALSE)</f>
        <v>GAMBO</v>
      </c>
    </row>
    <row r="2154" spans="1:8" ht="20.100000000000001" customHeight="1" x14ac:dyDescent="0.25">
      <c r="A2154" s="3" t="s">
        <v>93</v>
      </c>
      <c r="B2154" s="3" t="s">
        <v>367</v>
      </c>
      <c r="C2154" s="3">
        <v>2022</v>
      </c>
      <c r="D2154" s="4">
        <v>6</v>
      </c>
      <c r="E2154" s="5">
        <v>522</v>
      </c>
      <c r="F2154" s="5">
        <v>360.24</v>
      </c>
      <c r="G2154" s="3" t="str">
        <f>VLOOKUP(Registros[[#This Row],[Cliente]],Cliente_Region[],2,FALSE)</f>
        <v>Peru</v>
      </c>
      <c r="H2154" s="3" t="str">
        <f>VLOOKUP(Registros[[#This Row],[Producto]],Producto[],2,FALSE)</f>
        <v>GAMBO</v>
      </c>
    </row>
    <row r="2155" spans="1:8" ht="20.100000000000001" customHeight="1" x14ac:dyDescent="0.25">
      <c r="A2155" s="3" t="s">
        <v>88</v>
      </c>
      <c r="B2155" s="3" t="s">
        <v>367</v>
      </c>
      <c r="C2155" s="3">
        <v>2022</v>
      </c>
      <c r="D2155" s="4">
        <v>1</v>
      </c>
      <c r="E2155" s="5">
        <v>12.5</v>
      </c>
      <c r="F2155" s="5">
        <v>10.050000000000001</v>
      </c>
      <c r="G2155" s="3" t="str">
        <f>VLOOKUP(Registros[[#This Row],[Cliente]],Cliente_Region[],2,FALSE)</f>
        <v>Peru</v>
      </c>
      <c r="H2155" s="3" t="str">
        <f>VLOOKUP(Registros[[#This Row],[Producto]],Producto[],2,FALSE)</f>
        <v>DAWNE</v>
      </c>
    </row>
    <row r="2156" spans="1:8" ht="20.100000000000001" customHeight="1" x14ac:dyDescent="0.25">
      <c r="A2156" s="3" t="s">
        <v>89</v>
      </c>
      <c r="B2156" s="3" t="s">
        <v>367</v>
      </c>
      <c r="C2156" s="3">
        <v>2022</v>
      </c>
      <c r="D2156" s="4">
        <v>2</v>
      </c>
      <c r="E2156" s="5">
        <v>39.6</v>
      </c>
      <c r="F2156" s="5">
        <v>32.25</v>
      </c>
      <c r="G2156" s="3" t="str">
        <f>VLOOKUP(Registros[[#This Row],[Cliente]],Cliente_Region[],2,FALSE)</f>
        <v>Peru</v>
      </c>
      <c r="H2156" s="3" t="str">
        <f>VLOOKUP(Registros[[#This Row],[Producto]],Producto[],2,FALSE)</f>
        <v>QUOKAR</v>
      </c>
    </row>
    <row r="2157" spans="1:8" ht="20.100000000000001" customHeight="1" x14ac:dyDescent="0.25">
      <c r="A2157" s="3" t="s">
        <v>90</v>
      </c>
      <c r="B2157" s="3" t="s">
        <v>367</v>
      </c>
      <c r="C2157" s="3">
        <v>2022</v>
      </c>
      <c r="D2157" s="4">
        <v>1</v>
      </c>
      <c r="E2157" s="5">
        <v>39</v>
      </c>
      <c r="F2157" s="5">
        <v>32.770000000000003</v>
      </c>
      <c r="G2157" s="3" t="str">
        <f>VLOOKUP(Registros[[#This Row],[Cliente]],Cliente_Region[],2,FALSE)</f>
        <v>Peru</v>
      </c>
      <c r="H2157" s="3" t="str">
        <f>VLOOKUP(Registros[[#This Row],[Producto]],Producto[],2,FALSE)</f>
        <v>CHOTUS</v>
      </c>
    </row>
    <row r="2158" spans="1:8" ht="20.100000000000001" customHeight="1" x14ac:dyDescent="0.25">
      <c r="A2158" s="3" t="s">
        <v>91</v>
      </c>
      <c r="B2158" s="3" t="s">
        <v>367</v>
      </c>
      <c r="C2158" s="3">
        <v>2022</v>
      </c>
      <c r="D2158" s="4">
        <v>2</v>
      </c>
      <c r="E2158" s="5">
        <v>99.52</v>
      </c>
      <c r="F2158" s="5">
        <v>80.83</v>
      </c>
      <c r="G2158" s="3" t="str">
        <f>VLOOKUP(Registros[[#This Row],[Cliente]],Cliente_Region[],2,FALSE)</f>
        <v>Peru</v>
      </c>
      <c r="H2158" s="3" t="str">
        <f>VLOOKUP(Registros[[#This Row],[Producto]],Producto[],2,FALSE)</f>
        <v>GAMBO</v>
      </c>
    </row>
    <row r="2159" spans="1:8" ht="20.100000000000001" customHeight="1" x14ac:dyDescent="0.25">
      <c r="A2159" s="3" t="s">
        <v>77</v>
      </c>
      <c r="B2159" s="3" t="s">
        <v>367</v>
      </c>
      <c r="C2159" s="3">
        <v>2022</v>
      </c>
      <c r="D2159" s="4">
        <v>1</v>
      </c>
      <c r="E2159" s="5">
        <v>77.55</v>
      </c>
      <c r="F2159" s="5">
        <v>47.92</v>
      </c>
      <c r="G2159" s="3" t="str">
        <f>VLOOKUP(Registros[[#This Row],[Cliente]],Cliente_Region[],2,FALSE)</f>
        <v>Peru</v>
      </c>
      <c r="H2159" s="3" t="str">
        <f>VLOOKUP(Registros[[#This Row],[Producto]],Producto[],2,FALSE)</f>
        <v>LAX</v>
      </c>
    </row>
    <row r="2160" spans="1:8" ht="20.100000000000001" customHeight="1" x14ac:dyDescent="0.25">
      <c r="A2160" s="3" t="s">
        <v>78</v>
      </c>
      <c r="B2160" s="3" t="s">
        <v>367</v>
      </c>
      <c r="C2160" s="3">
        <v>2022</v>
      </c>
      <c r="D2160" s="4">
        <v>2</v>
      </c>
      <c r="E2160" s="5">
        <v>276.60000000000002</v>
      </c>
      <c r="F2160" s="5">
        <v>187.71</v>
      </c>
      <c r="G2160" s="3" t="str">
        <f>VLOOKUP(Registros[[#This Row],[Cliente]],Cliente_Region[],2,FALSE)</f>
        <v>Peru</v>
      </c>
      <c r="H2160" s="3" t="str">
        <f>VLOOKUP(Registros[[#This Row],[Producto]],Producto[],2,FALSE)</f>
        <v>MOC</v>
      </c>
    </row>
    <row r="2161" spans="1:8" ht="20.100000000000001" customHeight="1" x14ac:dyDescent="0.25">
      <c r="A2161" s="3" t="s">
        <v>365</v>
      </c>
      <c r="B2161" s="3" t="s">
        <v>367</v>
      </c>
      <c r="C2161" s="3">
        <v>2022</v>
      </c>
      <c r="D2161" s="4">
        <v>6</v>
      </c>
      <c r="E2161" s="5">
        <v>41.25</v>
      </c>
      <c r="F2161" s="5">
        <v>34.64</v>
      </c>
      <c r="G2161" s="3" t="str">
        <f>VLOOKUP(Registros[[#This Row],[Cliente]],Cliente_Region[],2,FALSE)</f>
        <v>Peru</v>
      </c>
      <c r="H2161" s="3" t="str">
        <f>VLOOKUP(Registros[[#This Row],[Producto]],Producto[],2,FALSE)</f>
        <v>DAWNE</v>
      </c>
    </row>
    <row r="2162" spans="1:8" ht="20.100000000000001" customHeight="1" x14ac:dyDescent="0.25">
      <c r="A2162" s="3" t="s">
        <v>369</v>
      </c>
      <c r="B2162" s="3" t="s">
        <v>368</v>
      </c>
      <c r="C2162" s="3">
        <v>2022</v>
      </c>
      <c r="D2162" s="4">
        <v>6</v>
      </c>
      <c r="E2162" s="5">
        <v>60</v>
      </c>
      <c r="F2162" s="5">
        <v>38.44</v>
      </c>
      <c r="G2162" s="3" t="str">
        <f>VLOOKUP(Registros[[#This Row],[Cliente]],Cliente_Region[],2,FALSE)</f>
        <v>Canada</v>
      </c>
      <c r="H2162" s="3" t="str">
        <f>VLOOKUP(Registros[[#This Row],[Producto]],Producto[],2,FALSE)</f>
        <v>LAX</v>
      </c>
    </row>
    <row r="2163" spans="1:8" ht="20.100000000000001" customHeight="1" x14ac:dyDescent="0.25">
      <c r="A2163" s="3" t="s">
        <v>194</v>
      </c>
      <c r="B2163" s="3" t="s">
        <v>368</v>
      </c>
      <c r="C2163" s="3">
        <v>2022</v>
      </c>
      <c r="D2163" s="4">
        <v>3</v>
      </c>
      <c r="E2163" s="5">
        <v>18</v>
      </c>
      <c r="F2163" s="5">
        <v>7.8</v>
      </c>
      <c r="G2163" s="3" t="str">
        <f>VLOOKUP(Registros[[#This Row],[Cliente]],Cliente_Region[],2,FALSE)</f>
        <v>Canada</v>
      </c>
      <c r="H2163" s="3" t="str">
        <f>VLOOKUP(Registros[[#This Row],[Producto]],Producto[],2,FALSE)</f>
        <v>LAX</v>
      </c>
    </row>
    <row r="2164" spans="1:8" ht="20.100000000000001" customHeight="1" x14ac:dyDescent="0.25">
      <c r="A2164" s="3" t="s">
        <v>13</v>
      </c>
      <c r="B2164" s="3" t="s">
        <v>368</v>
      </c>
      <c r="C2164" s="3">
        <v>2022</v>
      </c>
      <c r="D2164" s="4">
        <v>3</v>
      </c>
      <c r="E2164" s="5">
        <v>11.7</v>
      </c>
      <c r="F2164" s="5">
        <v>2.14</v>
      </c>
      <c r="G2164" s="3" t="str">
        <f>VLOOKUP(Registros[[#This Row],[Cliente]],Cliente_Region[],2,FALSE)</f>
        <v>Canada</v>
      </c>
      <c r="H2164" s="3" t="str">
        <f>VLOOKUP(Registros[[#This Row],[Producto]],Producto[],2,FALSE)</f>
        <v>DAWNE</v>
      </c>
    </row>
    <row r="2165" spans="1:8" ht="20.100000000000001" customHeight="1" x14ac:dyDescent="0.25">
      <c r="A2165" s="3" t="s">
        <v>175</v>
      </c>
      <c r="B2165" s="3" t="s">
        <v>368</v>
      </c>
      <c r="C2165" s="3">
        <v>2022</v>
      </c>
      <c r="D2165" s="4">
        <v>1</v>
      </c>
      <c r="E2165" s="5">
        <v>18.2</v>
      </c>
      <c r="F2165" s="5">
        <v>-1.32</v>
      </c>
      <c r="G2165" s="3" t="str">
        <f>VLOOKUP(Registros[[#This Row],[Cliente]],Cliente_Region[],2,FALSE)</f>
        <v>Canada</v>
      </c>
      <c r="H2165" s="3" t="str">
        <f>VLOOKUP(Registros[[#This Row],[Producto]],Producto[],2,FALSE)</f>
        <v>GAMBO</v>
      </c>
    </row>
    <row r="2166" spans="1:8" ht="20.100000000000001" customHeight="1" x14ac:dyDescent="0.25">
      <c r="A2166" s="3" t="s">
        <v>371</v>
      </c>
      <c r="B2166" s="3" t="s">
        <v>368</v>
      </c>
      <c r="C2166" s="3">
        <v>2022</v>
      </c>
      <c r="D2166" s="4">
        <v>3</v>
      </c>
      <c r="E2166" s="5">
        <v>27.3</v>
      </c>
      <c r="F2166" s="5">
        <v>-1.98</v>
      </c>
      <c r="G2166" s="3" t="str">
        <f>VLOOKUP(Registros[[#This Row],[Cliente]],Cliente_Region[],2,FALSE)</f>
        <v>Canada</v>
      </c>
      <c r="H2166" s="3" t="str">
        <f>VLOOKUP(Registros[[#This Row],[Producto]],Producto[],2,FALSE)</f>
        <v>QUOKAR</v>
      </c>
    </row>
    <row r="2167" spans="1:8" ht="20.100000000000001" customHeight="1" x14ac:dyDescent="0.25">
      <c r="A2167" s="3" t="s">
        <v>371</v>
      </c>
      <c r="B2167" s="3" t="s">
        <v>368</v>
      </c>
      <c r="C2167" s="3">
        <v>2022</v>
      </c>
      <c r="D2167" s="4">
        <v>4</v>
      </c>
      <c r="E2167" s="5">
        <v>18.2</v>
      </c>
      <c r="F2167" s="5">
        <v>-1.32</v>
      </c>
      <c r="G2167" s="3" t="str">
        <f>VLOOKUP(Registros[[#This Row],[Cliente]],Cliente_Region[],2,FALSE)</f>
        <v>Canada</v>
      </c>
      <c r="H2167" s="3" t="str">
        <f>VLOOKUP(Registros[[#This Row],[Producto]],Producto[],2,FALSE)</f>
        <v>QUOKAR</v>
      </c>
    </row>
    <row r="2168" spans="1:8" ht="20.100000000000001" customHeight="1" x14ac:dyDescent="0.25">
      <c r="A2168" s="3" t="s">
        <v>371</v>
      </c>
      <c r="B2168" s="3" t="s">
        <v>368</v>
      </c>
      <c r="C2168" s="3">
        <v>2022</v>
      </c>
      <c r="D2168" s="4">
        <v>5</v>
      </c>
      <c r="E2168" s="5">
        <v>30.5</v>
      </c>
      <c r="F2168" s="5">
        <v>10.98</v>
      </c>
      <c r="G2168" s="3" t="str">
        <f>VLOOKUP(Registros[[#This Row],[Cliente]],Cliente_Region[],2,FALSE)</f>
        <v>Canada</v>
      </c>
      <c r="H2168" s="3" t="str">
        <f>VLOOKUP(Registros[[#This Row],[Producto]],Producto[],2,FALSE)</f>
        <v>QUOKAR</v>
      </c>
    </row>
    <row r="2169" spans="1:8" ht="20.100000000000001" customHeight="1" x14ac:dyDescent="0.25">
      <c r="A2169" s="3" t="s">
        <v>17</v>
      </c>
      <c r="B2169" s="3" t="s">
        <v>368</v>
      </c>
      <c r="C2169" s="3">
        <v>2022</v>
      </c>
      <c r="D2169" s="4">
        <v>1</v>
      </c>
      <c r="E2169" s="5">
        <v>142.44999999999999</v>
      </c>
      <c r="F2169" s="5">
        <v>40.950000000000003</v>
      </c>
      <c r="G2169" s="3" t="str">
        <f>VLOOKUP(Registros[[#This Row],[Cliente]],Cliente_Region[],2,FALSE)</f>
        <v>Canada</v>
      </c>
      <c r="H2169" s="3" t="str">
        <f>VLOOKUP(Registros[[#This Row],[Producto]],Producto[],2,FALSE)</f>
        <v>LAX</v>
      </c>
    </row>
    <row r="2170" spans="1:8" ht="20.100000000000001" customHeight="1" x14ac:dyDescent="0.25">
      <c r="A2170" s="3" t="s">
        <v>18</v>
      </c>
      <c r="B2170" s="3" t="s">
        <v>368</v>
      </c>
      <c r="C2170" s="3">
        <v>2022</v>
      </c>
      <c r="D2170" s="4">
        <v>2</v>
      </c>
      <c r="E2170" s="5">
        <v>147.4</v>
      </c>
      <c r="F2170" s="5">
        <v>45.17</v>
      </c>
      <c r="G2170" s="3" t="str">
        <f>VLOOKUP(Registros[[#This Row],[Cliente]],Cliente_Region[],2,FALSE)</f>
        <v>Canada</v>
      </c>
      <c r="H2170" s="3" t="str">
        <f>VLOOKUP(Registros[[#This Row],[Producto]],Producto[],2,FALSE)</f>
        <v>GAMBO</v>
      </c>
    </row>
    <row r="2171" spans="1:8" ht="20.100000000000001" customHeight="1" x14ac:dyDescent="0.25">
      <c r="A2171" s="3" t="s">
        <v>18</v>
      </c>
      <c r="B2171" s="3" t="s">
        <v>368</v>
      </c>
      <c r="C2171" s="3">
        <v>2022</v>
      </c>
      <c r="D2171" s="4">
        <v>3</v>
      </c>
      <c r="E2171" s="5">
        <v>112.2</v>
      </c>
      <c r="F2171" s="5">
        <v>24.33</v>
      </c>
      <c r="G2171" s="3" t="str">
        <f>VLOOKUP(Registros[[#This Row],[Cliente]],Cliente_Region[],2,FALSE)</f>
        <v>Canada</v>
      </c>
      <c r="H2171" s="3" t="str">
        <f>VLOOKUP(Registros[[#This Row],[Producto]],Producto[],2,FALSE)</f>
        <v>GAMBO</v>
      </c>
    </row>
    <row r="2172" spans="1:8" ht="20.100000000000001" customHeight="1" x14ac:dyDescent="0.25">
      <c r="A2172" s="3" t="s">
        <v>18</v>
      </c>
      <c r="B2172" s="3" t="s">
        <v>368</v>
      </c>
      <c r="C2172" s="3">
        <v>2022</v>
      </c>
      <c r="D2172" s="4">
        <v>4</v>
      </c>
      <c r="E2172" s="5">
        <v>93.5</v>
      </c>
      <c r="F2172" s="5">
        <v>20.81</v>
      </c>
      <c r="G2172" s="3" t="str">
        <f>VLOOKUP(Registros[[#This Row],[Cliente]],Cliente_Region[],2,FALSE)</f>
        <v>Canada</v>
      </c>
      <c r="H2172" s="3" t="str">
        <f>VLOOKUP(Registros[[#This Row],[Producto]],Producto[],2,FALSE)</f>
        <v>GAMBO</v>
      </c>
    </row>
    <row r="2173" spans="1:8" ht="20.100000000000001" customHeight="1" x14ac:dyDescent="0.25">
      <c r="A2173" s="3" t="s">
        <v>18</v>
      </c>
      <c r="B2173" s="3" t="s">
        <v>368</v>
      </c>
      <c r="C2173" s="3">
        <v>2022</v>
      </c>
      <c r="D2173" s="4">
        <v>5</v>
      </c>
      <c r="E2173" s="5">
        <v>220</v>
      </c>
      <c r="F2173" s="5">
        <v>73.58</v>
      </c>
      <c r="G2173" s="3" t="str">
        <f>VLOOKUP(Registros[[#This Row],[Cliente]],Cliente_Region[],2,FALSE)</f>
        <v>Canada</v>
      </c>
      <c r="H2173" s="3" t="str">
        <f>VLOOKUP(Registros[[#This Row],[Producto]],Producto[],2,FALSE)</f>
        <v>GAMBO</v>
      </c>
    </row>
    <row r="2174" spans="1:8" ht="20.100000000000001" customHeight="1" x14ac:dyDescent="0.25">
      <c r="A2174" s="3" t="s">
        <v>18</v>
      </c>
      <c r="B2174" s="3" t="s">
        <v>368</v>
      </c>
      <c r="C2174" s="3">
        <v>2022</v>
      </c>
      <c r="D2174" s="4">
        <v>6</v>
      </c>
      <c r="E2174" s="5">
        <v>132</v>
      </c>
      <c r="F2174" s="5">
        <v>44.12</v>
      </c>
      <c r="G2174" s="3" t="str">
        <f>VLOOKUP(Registros[[#This Row],[Cliente]],Cliente_Region[],2,FALSE)</f>
        <v>Canada</v>
      </c>
      <c r="H2174" s="3" t="str">
        <f>VLOOKUP(Registros[[#This Row],[Producto]],Producto[],2,FALSE)</f>
        <v>GAMBO</v>
      </c>
    </row>
    <row r="2175" spans="1:8" ht="20.100000000000001" customHeight="1" x14ac:dyDescent="0.25">
      <c r="A2175" s="3" t="s">
        <v>335</v>
      </c>
      <c r="B2175" s="3" t="s">
        <v>368</v>
      </c>
      <c r="C2175" s="3">
        <v>2022</v>
      </c>
      <c r="D2175" s="4">
        <v>4</v>
      </c>
      <c r="E2175" s="5">
        <v>17.75</v>
      </c>
      <c r="F2175" s="5">
        <v>8.61</v>
      </c>
      <c r="G2175" s="3" t="str">
        <f>VLOOKUP(Registros[[#This Row],[Cliente]],Cliente_Region[],2,FALSE)</f>
        <v>Canada</v>
      </c>
      <c r="H2175" s="3" t="str">
        <f>VLOOKUP(Registros[[#This Row],[Producto]],Producto[],2,FALSE)</f>
        <v>GAMBO</v>
      </c>
    </row>
    <row r="2176" spans="1:8" ht="20.100000000000001" customHeight="1" x14ac:dyDescent="0.25">
      <c r="A2176" s="3" t="s">
        <v>336</v>
      </c>
      <c r="B2176" s="3" t="s">
        <v>368</v>
      </c>
      <c r="C2176" s="3">
        <v>2022</v>
      </c>
      <c r="D2176" s="4">
        <v>6</v>
      </c>
      <c r="E2176" s="5">
        <v>35.5</v>
      </c>
      <c r="F2176" s="5">
        <v>17.23</v>
      </c>
      <c r="G2176" s="3" t="str">
        <f>VLOOKUP(Registros[[#This Row],[Cliente]],Cliente_Region[],2,FALSE)</f>
        <v>Canada</v>
      </c>
      <c r="H2176" s="3" t="str">
        <f>VLOOKUP(Registros[[#This Row],[Producto]],Producto[],2,FALSE)</f>
        <v>LAX</v>
      </c>
    </row>
    <row r="2177" spans="1:8" ht="20.100000000000001" customHeight="1" x14ac:dyDescent="0.25">
      <c r="A2177" s="3" t="s">
        <v>26</v>
      </c>
      <c r="B2177" s="3" t="s">
        <v>368</v>
      </c>
      <c r="C2177" s="3">
        <v>2022</v>
      </c>
      <c r="D2177" s="4">
        <v>6</v>
      </c>
      <c r="E2177" s="5">
        <v>26.4</v>
      </c>
      <c r="F2177" s="5">
        <v>11.46</v>
      </c>
      <c r="G2177" s="3" t="str">
        <f>VLOOKUP(Registros[[#This Row],[Cliente]],Cliente_Region[],2,FALSE)</f>
        <v>Canada</v>
      </c>
      <c r="H2177" s="3" t="str">
        <f>VLOOKUP(Registros[[#This Row],[Producto]],Producto[],2,FALSE)</f>
        <v>CHOTUS</v>
      </c>
    </row>
    <row r="2178" spans="1:8" ht="20.100000000000001" customHeight="1" x14ac:dyDescent="0.25">
      <c r="A2178" s="3" t="s">
        <v>308</v>
      </c>
      <c r="B2178" s="3" t="s">
        <v>368</v>
      </c>
      <c r="C2178" s="3">
        <v>2022</v>
      </c>
      <c r="D2178" s="4">
        <v>1</v>
      </c>
      <c r="E2178" s="5">
        <v>25</v>
      </c>
      <c r="F2178" s="5">
        <v>11.59</v>
      </c>
      <c r="G2178" s="3" t="str">
        <f>VLOOKUP(Registros[[#This Row],[Cliente]],Cliente_Region[],2,FALSE)</f>
        <v>Canada</v>
      </c>
      <c r="H2178" s="3" t="str">
        <f>VLOOKUP(Registros[[#This Row],[Producto]],Producto[],2,FALSE)</f>
        <v>SALF</v>
      </c>
    </row>
    <row r="2179" spans="1:8" ht="20.100000000000001" customHeight="1" x14ac:dyDescent="0.25">
      <c r="A2179" s="3" t="s">
        <v>11</v>
      </c>
      <c r="B2179" s="3" t="s">
        <v>368</v>
      </c>
      <c r="C2179" s="3">
        <v>2022</v>
      </c>
      <c r="D2179" s="4">
        <v>3</v>
      </c>
      <c r="E2179" s="5">
        <v>24.76</v>
      </c>
      <c r="F2179" s="5">
        <v>12.81</v>
      </c>
      <c r="G2179" s="3" t="str">
        <f>VLOOKUP(Registros[[#This Row],[Cliente]],Cliente_Region[],2,FALSE)</f>
        <v>Canada</v>
      </c>
      <c r="H2179" s="3" t="str">
        <f>VLOOKUP(Registros[[#This Row],[Producto]],Producto[],2,FALSE)</f>
        <v>DONANY</v>
      </c>
    </row>
    <row r="2180" spans="1:8" ht="20.100000000000001" customHeight="1" x14ac:dyDescent="0.25">
      <c r="A2180" s="3" t="s">
        <v>293</v>
      </c>
      <c r="B2180" s="3" t="s">
        <v>368</v>
      </c>
      <c r="C2180" s="3">
        <v>2022</v>
      </c>
      <c r="D2180" s="4">
        <v>3</v>
      </c>
      <c r="E2180" s="5">
        <v>24.76</v>
      </c>
      <c r="F2180" s="5">
        <v>5.54</v>
      </c>
      <c r="G2180" s="3" t="str">
        <f>VLOOKUP(Registros[[#This Row],[Cliente]],Cliente_Region[],2,FALSE)</f>
        <v>Canada</v>
      </c>
      <c r="H2180" s="3" t="str">
        <f>VLOOKUP(Registros[[#This Row],[Producto]],Producto[],2,FALSE)</f>
        <v>QUOKAR</v>
      </c>
    </row>
    <row r="2181" spans="1:8" ht="20.100000000000001" customHeight="1" x14ac:dyDescent="0.25">
      <c r="A2181" s="3" t="s">
        <v>353</v>
      </c>
      <c r="B2181" s="3" t="s">
        <v>368</v>
      </c>
      <c r="C2181" s="3">
        <v>2022</v>
      </c>
      <c r="D2181" s="4">
        <v>1</v>
      </c>
      <c r="E2181" s="5">
        <v>479.75</v>
      </c>
      <c r="F2181" s="5">
        <v>169.57</v>
      </c>
      <c r="G2181" s="3" t="str">
        <f>VLOOKUP(Registros[[#This Row],[Cliente]],Cliente_Region[],2,FALSE)</f>
        <v>Canada</v>
      </c>
      <c r="H2181" s="3" t="str">
        <f>VLOOKUP(Registros[[#This Row],[Producto]],Producto[],2,FALSE)</f>
        <v>QUOKAR</v>
      </c>
    </row>
    <row r="2182" spans="1:8" ht="20.100000000000001" customHeight="1" x14ac:dyDescent="0.25">
      <c r="A2182" s="3" t="s">
        <v>354</v>
      </c>
      <c r="B2182" s="3" t="s">
        <v>368</v>
      </c>
      <c r="C2182" s="3">
        <v>2022</v>
      </c>
      <c r="D2182" s="4">
        <v>2</v>
      </c>
      <c r="E2182" s="5">
        <v>499.9</v>
      </c>
      <c r="F2182" s="5">
        <v>188.71</v>
      </c>
      <c r="G2182" s="3" t="str">
        <f>VLOOKUP(Registros[[#This Row],[Cliente]],Cliente_Region[],2,FALSE)</f>
        <v>Canada</v>
      </c>
      <c r="H2182" s="3" t="str">
        <f>VLOOKUP(Registros[[#This Row],[Producto]],Producto[],2,FALSE)</f>
        <v>SALF</v>
      </c>
    </row>
    <row r="2183" spans="1:8" ht="20.100000000000001" customHeight="1" x14ac:dyDescent="0.25">
      <c r="A2183" s="3" t="s">
        <v>354</v>
      </c>
      <c r="B2183" s="3" t="s">
        <v>368</v>
      </c>
      <c r="C2183" s="3">
        <v>2022</v>
      </c>
      <c r="D2183" s="4">
        <v>3</v>
      </c>
      <c r="E2183" s="5">
        <v>361.75</v>
      </c>
      <c r="F2183" s="5">
        <v>117.12</v>
      </c>
      <c r="G2183" s="3" t="str">
        <f>VLOOKUP(Registros[[#This Row],[Cliente]],Cliente_Region[],2,FALSE)</f>
        <v>Canada</v>
      </c>
      <c r="H2183" s="3" t="str">
        <f>VLOOKUP(Registros[[#This Row],[Producto]],Producto[],2,FALSE)</f>
        <v>SALF</v>
      </c>
    </row>
    <row r="2184" spans="1:8" ht="20.100000000000001" customHeight="1" x14ac:dyDescent="0.25">
      <c r="A2184" s="3" t="s">
        <v>354</v>
      </c>
      <c r="B2184" s="3" t="s">
        <v>368</v>
      </c>
      <c r="C2184" s="3">
        <v>2022</v>
      </c>
      <c r="D2184" s="4">
        <v>4</v>
      </c>
      <c r="E2184" s="5">
        <v>452</v>
      </c>
      <c r="F2184" s="5">
        <v>161.24</v>
      </c>
      <c r="G2184" s="3" t="str">
        <f>VLOOKUP(Registros[[#This Row],[Cliente]],Cliente_Region[],2,FALSE)</f>
        <v>Canada</v>
      </c>
      <c r="H2184" s="3" t="str">
        <f>VLOOKUP(Registros[[#This Row],[Producto]],Producto[],2,FALSE)</f>
        <v>SALF</v>
      </c>
    </row>
    <row r="2185" spans="1:8" ht="20.100000000000001" customHeight="1" x14ac:dyDescent="0.25">
      <c r="A2185" s="3" t="s">
        <v>354</v>
      </c>
      <c r="B2185" s="3" t="s">
        <v>368</v>
      </c>
      <c r="C2185" s="3">
        <v>2022</v>
      </c>
      <c r="D2185" s="4">
        <v>5</v>
      </c>
      <c r="E2185" s="5">
        <v>678</v>
      </c>
      <c r="F2185" s="5">
        <v>230.88</v>
      </c>
      <c r="G2185" s="3" t="str">
        <f>VLOOKUP(Registros[[#This Row],[Cliente]],Cliente_Region[],2,FALSE)</f>
        <v>Canada</v>
      </c>
      <c r="H2185" s="3" t="str">
        <f>VLOOKUP(Registros[[#This Row],[Producto]],Producto[],2,FALSE)</f>
        <v>SALF</v>
      </c>
    </row>
    <row r="2186" spans="1:8" ht="20.100000000000001" customHeight="1" x14ac:dyDescent="0.25">
      <c r="A2186" s="3" t="s">
        <v>354</v>
      </c>
      <c r="B2186" s="3" t="s">
        <v>368</v>
      </c>
      <c r="C2186" s="3">
        <v>2022</v>
      </c>
      <c r="D2186" s="4">
        <v>6</v>
      </c>
      <c r="E2186" s="5">
        <v>226</v>
      </c>
      <c r="F2186" s="5">
        <v>75.739999999999995</v>
      </c>
      <c r="G2186" s="3" t="str">
        <f>VLOOKUP(Registros[[#This Row],[Cliente]],Cliente_Region[],2,FALSE)</f>
        <v>Canada</v>
      </c>
      <c r="H2186" s="3" t="str">
        <f>VLOOKUP(Registros[[#This Row],[Producto]],Producto[],2,FALSE)</f>
        <v>SALF</v>
      </c>
    </row>
    <row r="2187" spans="1:8" ht="20.100000000000001" customHeight="1" x14ac:dyDescent="0.25">
      <c r="A2187" s="3" t="s">
        <v>282</v>
      </c>
      <c r="B2187" s="3" t="s">
        <v>368</v>
      </c>
      <c r="C2187" s="3">
        <v>2022</v>
      </c>
      <c r="D2187" s="4">
        <v>1</v>
      </c>
      <c r="E2187" s="5">
        <v>231.75</v>
      </c>
      <c r="F2187" s="5">
        <v>126.55</v>
      </c>
      <c r="G2187" s="3" t="str">
        <f>VLOOKUP(Registros[[#This Row],[Cliente]],Cliente_Region[],2,FALSE)</f>
        <v>Canada</v>
      </c>
      <c r="H2187" s="3" t="str">
        <f>VLOOKUP(Registros[[#This Row],[Producto]],Producto[],2,FALSE)</f>
        <v>DAWNE</v>
      </c>
    </row>
    <row r="2188" spans="1:8" ht="20.100000000000001" customHeight="1" x14ac:dyDescent="0.25">
      <c r="A2188" s="3" t="s">
        <v>114</v>
      </c>
      <c r="B2188" s="3" t="s">
        <v>368</v>
      </c>
      <c r="C2188" s="3">
        <v>2022</v>
      </c>
      <c r="D2188" s="4">
        <v>2</v>
      </c>
      <c r="E2188" s="5">
        <v>217</v>
      </c>
      <c r="F2188" s="5">
        <v>118.8</v>
      </c>
      <c r="G2188" s="3" t="str">
        <f>VLOOKUP(Registros[[#This Row],[Cliente]],Cliente_Region[],2,FALSE)</f>
        <v>Canada</v>
      </c>
      <c r="H2188" s="3" t="str">
        <f>VLOOKUP(Registros[[#This Row],[Producto]],Producto[],2,FALSE)</f>
        <v>DAWNE</v>
      </c>
    </row>
    <row r="2189" spans="1:8" ht="20.100000000000001" customHeight="1" x14ac:dyDescent="0.25">
      <c r="A2189" s="3" t="s">
        <v>114</v>
      </c>
      <c r="B2189" s="3" t="s">
        <v>368</v>
      </c>
      <c r="C2189" s="3">
        <v>2022</v>
      </c>
      <c r="D2189" s="4">
        <v>3</v>
      </c>
      <c r="E2189" s="5">
        <v>162.25</v>
      </c>
      <c r="F2189" s="5">
        <v>85.1</v>
      </c>
      <c r="G2189" s="3" t="str">
        <f>VLOOKUP(Registros[[#This Row],[Cliente]],Cliente_Region[],2,FALSE)</f>
        <v>Canada</v>
      </c>
      <c r="H2189" s="3" t="str">
        <f>VLOOKUP(Registros[[#This Row],[Producto]],Producto[],2,FALSE)</f>
        <v>DAWNE</v>
      </c>
    </row>
    <row r="2190" spans="1:8" ht="20.100000000000001" customHeight="1" x14ac:dyDescent="0.25">
      <c r="A2190" s="3" t="s">
        <v>114</v>
      </c>
      <c r="B2190" s="3" t="s">
        <v>368</v>
      </c>
      <c r="C2190" s="3">
        <v>2022</v>
      </c>
      <c r="D2190" s="4">
        <v>4</v>
      </c>
      <c r="E2190" s="5">
        <v>197</v>
      </c>
      <c r="F2190" s="5">
        <v>105.82</v>
      </c>
      <c r="G2190" s="3" t="str">
        <f>VLOOKUP(Registros[[#This Row],[Cliente]],Cliente_Region[],2,FALSE)</f>
        <v>Canada</v>
      </c>
      <c r="H2190" s="3" t="str">
        <f>VLOOKUP(Registros[[#This Row],[Producto]],Producto[],2,FALSE)</f>
        <v>DAWNE</v>
      </c>
    </row>
    <row r="2191" spans="1:8" ht="20.100000000000001" customHeight="1" x14ac:dyDescent="0.25">
      <c r="A2191" s="3" t="s">
        <v>114</v>
      </c>
      <c r="B2191" s="3" t="s">
        <v>368</v>
      </c>
      <c r="C2191" s="3">
        <v>2022</v>
      </c>
      <c r="D2191" s="4">
        <v>5</v>
      </c>
      <c r="E2191" s="5">
        <v>198</v>
      </c>
      <c r="F2191" s="5">
        <v>113.83</v>
      </c>
      <c r="G2191" s="3" t="str">
        <f>VLOOKUP(Registros[[#This Row],[Cliente]],Cliente_Region[],2,FALSE)</f>
        <v>Canada</v>
      </c>
      <c r="H2191" s="3" t="str">
        <f>VLOOKUP(Registros[[#This Row],[Producto]],Producto[],2,FALSE)</f>
        <v>DAWNE</v>
      </c>
    </row>
    <row r="2192" spans="1:8" ht="20.100000000000001" customHeight="1" x14ac:dyDescent="0.25">
      <c r="A2192" s="3" t="s">
        <v>114</v>
      </c>
      <c r="B2192" s="3" t="s">
        <v>368</v>
      </c>
      <c r="C2192" s="3">
        <v>2022</v>
      </c>
      <c r="D2192" s="4">
        <v>6</v>
      </c>
      <c r="E2192" s="5">
        <v>148.5</v>
      </c>
      <c r="F2192" s="5">
        <v>85.37</v>
      </c>
      <c r="G2192" s="3" t="str">
        <f>VLOOKUP(Registros[[#This Row],[Cliente]],Cliente_Region[],2,FALSE)</f>
        <v>Canada</v>
      </c>
      <c r="H2192" s="3" t="str">
        <f>VLOOKUP(Registros[[#This Row],[Producto]],Producto[],2,FALSE)</f>
        <v>DAWNE</v>
      </c>
    </row>
    <row r="2193" spans="1:8" ht="20.100000000000001" customHeight="1" x14ac:dyDescent="0.25">
      <c r="A2193" s="3" t="s">
        <v>135</v>
      </c>
      <c r="B2193" s="3" t="s">
        <v>368</v>
      </c>
      <c r="C2193" s="3">
        <v>2022</v>
      </c>
      <c r="D2193" s="4">
        <v>1</v>
      </c>
      <c r="E2193" s="5">
        <v>274.5</v>
      </c>
      <c r="F2193" s="5">
        <v>184.96</v>
      </c>
      <c r="G2193" s="3" t="str">
        <f>VLOOKUP(Registros[[#This Row],[Cliente]],Cliente_Region[],2,FALSE)</f>
        <v>Canada</v>
      </c>
      <c r="H2193" s="3" t="str">
        <f>VLOOKUP(Registros[[#This Row],[Producto]],Producto[],2,FALSE)</f>
        <v>GAMBO</v>
      </c>
    </row>
    <row r="2194" spans="1:8" ht="20.100000000000001" customHeight="1" x14ac:dyDescent="0.25">
      <c r="A2194" s="3" t="s">
        <v>93</v>
      </c>
      <c r="B2194" s="3" t="s">
        <v>368</v>
      </c>
      <c r="C2194" s="3">
        <v>2022</v>
      </c>
      <c r="D2194" s="4">
        <v>2</v>
      </c>
      <c r="E2194" s="5">
        <v>346.61</v>
      </c>
      <c r="F2194" s="5">
        <v>245.51</v>
      </c>
      <c r="G2194" s="3" t="str">
        <f>VLOOKUP(Registros[[#This Row],[Cliente]],Cliente_Region[],2,FALSE)</f>
        <v>Canada</v>
      </c>
      <c r="H2194" s="3" t="str">
        <f>VLOOKUP(Registros[[#This Row],[Producto]],Producto[],2,FALSE)</f>
        <v>GAMBO</v>
      </c>
    </row>
    <row r="2195" spans="1:8" ht="20.100000000000001" customHeight="1" x14ac:dyDescent="0.25">
      <c r="A2195" s="3" t="s">
        <v>93</v>
      </c>
      <c r="B2195" s="3" t="s">
        <v>368</v>
      </c>
      <c r="C2195" s="3">
        <v>2022</v>
      </c>
      <c r="D2195" s="4">
        <v>3</v>
      </c>
      <c r="E2195" s="5">
        <v>163.72999999999999</v>
      </c>
      <c r="F2195" s="5">
        <v>109.81</v>
      </c>
      <c r="G2195" s="3" t="str">
        <f>VLOOKUP(Registros[[#This Row],[Cliente]],Cliente_Region[],2,FALSE)</f>
        <v>Canada</v>
      </c>
      <c r="H2195" s="3" t="str">
        <f>VLOOKUP(Registros[[#This Row],[Producto]],Producto[],2,FALSE)</f>
        <v>GAMBO</v>
      </c>
    </row>
    <row r="2196" spans="1:8" ht="20.100000000000001" customHeight="1" x14ac:dyDescent="0.25">
      <c r="A2196" s="3" t="s">
        <v>93</v>
      </c>
      <c r="B2196" s="3" t="s">
        <v>368</v>
      </c>
      <c r="C2196" s="3">
        <v>2022</v>
      </c>
      <c r="D2196" s="4">
        <v>4</v>
      </c>
      <c r="E2196" s="5">
        <v>181.5</v>
      </c>
      <c r="F2196" s="5">
        <v>120.84</v>
      </c>
      <c r="G2196" s="3" t="str">
        <f>VLOOKUP(Registros[[#This Row],[Cliente]],Cliente_Region[],2,FALSE)</f>
        <v>Canada</v>
      </c>
      <c r="H2196" s="3" t="str">
        <f>VLOOKUP(Registros[[#This Row],[Producto]],Producto[],2,FALSE)</f>
        <v>GAMBO</v>
      </c>
    </row>
    <row r="2197" spans="1:8" ht="20.100000000000001" customHeight="1" x14ac:dyDescent="0.25">
      <c r="A2197" s="3" t="s">
        <v>93</v>
      </c>
      <c r="B2197" s="3" t="s">
        <v>368</v>
      </c>
      <c r="C2197" s="3">
        <v>2022</v>
      </c>
      <c r="D2197" s="4">
        <v>5</v>
      </c>
      <c r="E2197" s="5">
        <v>270</v>
      </c>
      <c r="F2197" s="5">
        <v>189.12</v>
      </c>
      <c r="G2197" s="3" t="str">
        <f>VLOOKUP(Registros[[#This Row],[Cliente]],Cliente_Region[],2,FALSE)</f>
        <v>Canada</v>
      </c>
      <c r="H2197" s="3" t="str">
        <f>VLOOKUP(Registros[[#This Row],[Producto]],Producto[],2,FALSE)</f>
        <v>GAMBO</v>
      </c>
    </row>
    <row r="2198" spans="1:8" ht="20.100000000000001" customHeight="1" x14ac:dyDescent="0.25">
      <c r="A2198" s="3" t="s">
        <v>93</v>
      </c>
      <c r="B2198" s="3" t="s">
        <v>368</v>
      </c>
      <c r="C2198" s="3">
        <v>2022</v>
      </c>
      <c r="D2198" s="4">
        <v>6</v>
      </c>
      <c r="E2198" s="5">
        <v>180</v>
      </c>
      <c r="F2198" s="5">
        <v>126.08</v>
      </c>
      <c r="G2198" s="3" t="str">
        <f>VLOOKUP(Registros[[#This Row],[Cliente]],Cliente_Region[],2,FALSE)</f>
        <v>Canada</v>
      </c>
      <c r="H2198" s="3" t="str">
        <f>VLOOKUP(Registros[[#This Row],[Producto]],Producto[],2,FALSE)</f>
        <v>GAMBO</v>
      </c>
    </row>
    <row r="2199" spans="1:8" ht="20.100000000000001" customHeight="1" x14ac:dyDescent="0.25">
      <c r="A2199" s="3" t="s">
        <v>136</v>
      </c>
      <c r="B2199" s="3" t="s">
        <v>368</v>
      </c>
      <c r="C2199" s="3">
        <v>2022</v>
      </c>
      <c r="D2199" s="4">
        <v>1</v>
      </c>
      <c r="E2199" s="5">
        <v>153.5</v>
      </c>
      <c r="F2199" s="5">
        <v>53.82</v>
      </c>
      <c r="G2199" s="3" t="str">
        <f>VLOOKUP(Registros[[#This Row],[Cliente]],Cliente_Region[],2,FALSE)</f>
        <v>Canada</v>
      </c>
      <c r="H2199" s="3" t="str">
        <f>VLOOKUP(Registros[[#This Row],[Producto]],Producto[],2,FALSE)</f>
        <v>CHOTUS</v>
      </c>
    </row>
    <row r="2200" spans="1:8" ht="20.100000000000001" customHeight="1" x14ac:dyDescent="0.25">
      <c r="A2200" s="3" t="s">
        <v>137</v>
      </c>
      <c r="B2200" s="3" t="s">
        <v>368</v>
      </c>
      <c r="C2200" s="3">
        <v>2022</v>
      </c>
      <c r="D2200" s="4">
        <v>2</v>
      </c>
      <c r="E2200" s="5">
        <v>388.55</v>
      </c>
      <c r="F2200" s="5">
        <v>201.59</v>
      </c>
      <c r="G2200" s="3" t="str">
        <f>VLOOKUP(Registros[[#This Row],[Cliente]],Cliente_Region[],2,FALSE)</f>
        <v>Canada</v>
      </c>
      <c r="H2200" s="3" t="str">
        <f>VLOOKUP(Registros[[#This Row],[Producto]],Producto[],2,FALSE)</f>
        <v>QUOKAR</v>
      </c>
    </row>
    <row r="2201" spans="1:8" ht="20.100000000000001" customHeight="1" x14ac:dyDescent="0.25">
      <c r="A2201" s="3" t="s">
        <v>137</v>
      </c>
      <c r="B2201" s="3" t="s">
        <v>368</v>
      </c>
      <c r="C2201" s="3">
        <v>2022</v>
      </c>
      <c r="D2201" s="4">
        <v>3</v>
      </c>
      <c r="E2201" s="5">
        <v>109.5</v>
      </c>
      <c r="F2201" s="5">
        <v>34.71</v>
      </c>
      <c r="G2201" s="3" t="str">
        <f>VLOOKUP(Registros[[#This Row],[Cliente]],Cliente_Region[],2,FALSE)</f>
        <v>Canada</v>
      </c>
      <c r="H2201" s="3" t="str">
        <f>VLOOKUP(Registros[[#This Row],[Producto]],Producto[],2,FALSE)</f>
        <v>QUOKAR</v>
      </c>
    </row>
    <row r="2202" spans="1:8" ht="20.100000000000001" customHeight="1" x14ac:dyDescent="0.25">
      <c r="A2202" s="3" t="s">
        <v>137</v>
      </c>
      <c r="B2202" s="3" t="s">
        <v>368</v>
      </c>
      <c r="C2202" s="3">
        <v>2022</v>
      </c>
      <c r="D2202" s="4">
        <v>4</v>
      </c>
      <c r="E2202" s="5">
        <v>188</v>
      </c>
      <c r="F2202" s="5">
        <v>63.35</v>
      </c>
      <c r="G2202" s="3" t="str">
        <f>VLOOKUP(Registros[[#This Row],[Cliente]],Cliente_Region[],2,FALSE)</f>
        <v>Canada</v>
      </c>
      <c r="H2202" s="3" t="str">
        <f>VLOOKUP(Registros[[#This Row],[Producto]],Producto[],2,FALSE)</f>
        <v>QUOKAR</v>
      </c>
    </row>
    <row r="2203" spans="1:8" ht="20.100000000000001" customHeight="1" x14ac:dyDescent="0.25">
      <c r="A2203" s="3" t="s">
        <v>137</v>
      </c>
      <c r="B2203" s="3" t="s">
        <v>368</v>
      </c>
      <c r="C2203" s="3">
        <v>2022</v>
      </c>
      <c r="D2203" s="4">
        <v>5</v>
      </c>
      <c r="E2203" s="5">
        <v>273</v>
      </c>
      <c r="F2203" s="5">
        <v>110.96</v>
      </c>
      <c r="G2203" s="3" t="str">
        <f>VLOOKUP(Registros[[#This Row],[Cliente]],Cliente_Region[],2,FALSE)</f>
        <v>Canada</v>
      </c>
      <c r="H2203" s="3" t="str">
        <f>VLOOKUP(Registros[[#This Row],[Producto]],Producto[],2,FALSE)</f>
        <v>QUOKAR</v>
      </c>
    </row>
    <row r="2204" spans="1:8" ht="20.100000000000001" customHeight="1" x14ac:dyDescent="0.25">
      <c r="A2204" s="3" t="s">
        <v>137</v>
      </c>
      <c r="B2204" s="3" t="s">
        <v>368</v>
      </c>
      <c r="C2204" s="3">
        <v>2022</v>
      </c>
      <c r="D2204" s="4">
        <v>6</v>
      </c>
      <c r="E2204" s="5">
        <v>168</v>
      </c>
      <c r="F2204" s="5">
        <v>68.28</v>
      </c>
      <c r="G2204" s="3" t="str">
        <f>VLOOKUP(Registros[[#This Row],[Cliente]],Cliente_Region[],2,FALSE)</f>
        <v>Canada</v>
      </c>
      <c r="H2204" s="3" t="str">
        <f>VLOOKUP(Registros[[#This Row],[Producto]],Producto[],2,FALSE)</f>
        <v>QUOKAR</v>
      </c>
    </row>
    <row r="2205" spans="1:8" ht="20.100000000000001" customHeight="1" x14ac:dyDescent="0.25">
      <c r="A2205" s="3" t="s">
        <v>92</v>
      </c>
      <c r="B2205" s="3" t="s">
        <v>368</v>
      </c>
      <c r="C2205" s="3">
        <v>2022</v>
      </c>
      <c r="D2205" s="4">
        <v>1</v>
      </c>
      <c r="E2205" s="5">
        <v>89.6</v>
      </c>
      <c r="F2205" s="5">
        <v>54.3</v>
      </c>
      <c r="G2205" s="3" t="str">
        <f>VLOOKUP(Registros[[#This Row],[Cliente]],Cliente_Region[],2,FALSE)</f>
        <v>Canada</v>
      </c>
      <c r="H2205" s="3" t="str">
        <f>VLOOKUP(Registros[[#This Row],[Producto]],Producto[],2,FALSE)</f>
        <v>MOC</v>
      </c>
    </row>
    <row r="2206" spans="1:8" ht="20.100000000000001" customHeight="1" x14ac:dyDescent="0.25">
      <c r="A2206" s="3" t="s">
        <v>93</v>
      </c>
      <c r="B2206" s="3" t="s">
        <v>368</v>
      </c>
      <c r="C2206" s="3">
        <v>2022</v>
      </c>
      <c r="D2206" s="4">
        <v>5</v>
      </c>
      <c r="E2206" s="5">
        <v>40.15</v>
      </c>
      <c r="F2206" s="5">
        <v>21.42</v>
      </c>
      <c r="G2206" s="3" t="str">
        <f>VLOOKUP(Registros[[#This Row],[Cliente]],Cliente_Region[],2,FALSE)</f>
        <v>Canada</v>
      </c>
      <c r="H2206" s="3" t="str">
        <f>VLOOKUP(Registros[[#This Row],[Producto]],Producto[],2,FALSE)</f>
        <v>GAMBO</v>
      </c>
    </row>
    <row r="2207" spans="1:8" ht="20.100000000000001" customHeight="1" x14ac:dyDescent="0.25">
      <c r="A2207" s="3" t="s">
        <v>299</v>
      </c>
      <c r="B2207" s="3" t="s">
        <v>368</v>
      </c>
      <c r="C2207" s="3">
        <v>2022</v>
      </c>
      <c r="D2207" s="4">
        <v>4</v>
      </c>
      <c r="E2207" s="5">
        <v>95</v>
      </c>
      <c r="F2207" s="5">
        <v>52.9</v>
      </c>
      <c r="G2207" s="3" t="str">
        <f>VLOOKUP(Registros[[#This Row],[Cliente]],Cliente_Region[],2,FALSE)</f>
        <v>Canada</v>
      </c>
      <c r="H2207" s="3" t="str">
        <f>VLOOKUP(Registros[[#This Row],[Producto]],Producto[],2,FALSE)</f>
        <v>SALF</v>
      </c>
    </row>
    <row r="2208" spans="1:8" ht="20.100000000000001" customHeight="1" x14ac:dyDescent="0.25">
      <c r="A2208" s="3" t="s">
        <v>255</v>
      </c>
      <c r="B2208" s="3" t="s">
        <v>368</v>
      </c>
      <c r="C2208" s="3">
        <v>2022</v>
      </c>
      <c r="D2208" s="4">
        <v>5</v>
      </c>
      <c r="E2208" s="5">
        <v>95</v>
      </c>
      <c r="F2208" s="5">
        <v>52.9</v>
      </c>
      <c r="G2208" s="3" t="str">
        <f>VLOOKUP(Registros[[#This Row],[Cliente]],Cliente_Region[],2,FALSE)</f>
        <v>Canada</v>
      </c>
      <c r="H2208" s="3" t="str">
        <f>VLOOKUP(Registros[[#This Row],[Producto]],Producto[],2,FALSE)</f>
        <v>MOC</v>
      </c>
    </row>
    <row r="2209" spans="1:8" ht="20.100000000000001" customHeight="1" x14ac:dyDescent="0.25">
      <c r="A2209" s="3" t="s">
        <v>58</v>
      </c>
      <c r="B2209" s="3" t="s">
        <v>368</v>
      </c>
      <c r="C2209" s="3">
        <v>2022</v>
      </c>
      <c r="D2209" s="4">
        <v>2</v>
      </c>
      <c r="E2209" s="5">
        <v>37.96</v>
      </c>
      <c r="F2209" s="5">
        <v>24.99</v>
      </c>
      <c r="G2209" s="3" t="str">
        <f>VLOOKUP(Registros[[#This Row],[Cliente]],Cliente_Region[],2,FALSE)</f>
        <v>Canada</v>
      </c>
      <c r="H2209" s="3" t="str">
        <f>VLOOKUP(Registros[[#This Row],[Producto]],Producto[],2,FALSE)</f>
        <v>MOC</v>
      </c>
    </row>
    <row r="2210" spans="1:8" ht="20.100000000000001" customHeight="1" x14ac:dyDescent="0.25">
      <c r="A2210" s="3" t="s">
        <v>59</v>
      </c>
      <c r="B2210" s="3" t="s">
        <v>368</v>
      </c>
      <c r="C2210" s="3">
        <v>2022</v>
      </c>
      <c r="D2210" s="4">
        <v>3</v>
      </c>
      <c r="E2210" s="5">
        <v>37.96</v>
      </c>
      <c r="F2210" s="5">
        <v>24.99</v>
      </c>
      <c r="G2210" s="3" t="str">
        <f>VLOOKUP(Registros[[#This Row],[Cliente]],Cliente_Region[],2,FALSE)</f>
        <v>Canada</v>
      </c>
      <c r="H2210" s="3" t="str">
        <f>VLOOKUP(Registros[[#This Row],[Producto]],Producto[],2,FALSE)</f>
        <v>QUOKAR</v>
      </c>
    </row>
    <row r="2211" spans="1:8" ht="20.100000000000001" customHeight="1" x14ac:dyDescent="0.25">
      <c r="A2211" s="3" t="s">
        <v>59</v>
      </c>
      <c r="B2211" s="3" t="s">
        <v>368</v>
      </c>
      <c r="C2211" s="3">
        <v>2022</v>
      </c>
      <c r="D2211" s="4">
        <v>4</v>
      </c>
      <c r="E2211" s="5">
        <v>18.98</v>
      </c>
      <c r="F2211" s="5">
        <v>12.49</v>
      </c>
      <c r="G2211" s="3" t="str">
        <f>VLOOKUP(Registros[[#This Row],[Cliente]],Cliente_Region[],2,FALSE)</f>
        <v>Canada</v>
      </c>
      <c r="H2211" s="3" t="str">
        <f>VLOOKUP(Registros[[#This Row],[Producto]],Producto[],2,FALSE)</f>
        <v>QUOKAR</v>
      </c>
    </row>
    <row r="2212" spans="1:8" ht="20.100000000000001" customHeight="1" x14ac:dyDescent="0.25">
      <c r="A2212" s="3" t="s">
        <v>59</v>
      </c>
      <c r="B2212" s="3" t="s">
        <v>368</v>
      </c>
      <c r="C2212" s="3">
        <v>2022</v>
      </c>
      <c r="D2212" s="4">
        <v>5</v>
      </c>
      <c r="E2212" s="5">
        <v>37.96</v>
      </c>
      <c r="F2212" s="5">
        <v>24.99</v>
      </c>
      <c r="G2212" s="3" t="str">
        <f>VLOOKUP(Registros[[#This Row],[Cliente]],Cliente_Region[],2,FALSE)</f>
        <v>Canada</v>
      </c>
      <c r="H2212" s="3" t="str">
        <f>VLOOKUP(Registros[[#This Row],[Producto]],Producto[],2,FALSE)</f>
        <v>QUOKAR</v>
      </c>
    </row>
    <row r="2213" spans="1:8" ht="20.100000000000001" customHeight="1" x14ac:dyDescent="0.25">
      <c r="A2213" s="3" t="s">
        <v>194</v>
      </c>
      <c r="B2213" s="3" t="s">
        <v>372</v>
      </c>
      <c r="C2213" s="3">
        <v>2022</v>
      </c>
      <c r="D2213" s="4">
        <v>3</v>
      </c>
      <c r="E2213" s="5">
        <v>24</v>
      </c>
      <c r="F2213" s="5">
        <v>13.8</v>
      </c>
      <c r="G2213" s="3" t="str">
        <f>VLOOKUP(Registros[[#This Row],[Cliente]],Cliente_Region[],2,FALSE)</f>
        <v>Peru</v>
      </c>
      <c r="H2213" s="3" t="str">
        <f>VLOOKUP(Registros[[#This Row],[Producto]],Producto[],2,FALSE)</f>
        <v>LAX</v>
      </c>
    </row>
    <row r="2214" spans="1:8" ht="20.100000000000001" customHeight="1" x14ac:dyDescent="0.25">
      <c r="A2214" s="3" t="s">
        <v>333</v>
      </c>
      <c r="B2214" s="3" t="s">
        <v>372</v>
      </c>
      <c r="C2214" s="3">
        <v>2022</v>
      </c>
      <c r="D2214" s="4">
        <v>6</v>
      </c>
      <c r="E2214" s="5">
        <v>25</v>
      </c>
      <c r="F2214" s="5">
        <v>14.8</v>
      </c>
      <c r="G2214" s="3" t="str">
        <f>VLOOKUP(Registros[[#This Row],[Cliente]],Cliente_Region[],2,FALSE)</f>
        <v>Peru</v>
      </c>
      <c r="H2214" s="3" t="str">
        <f>VLOOKUP(Registros[[#This Row],[Producto]],Producto[],2,FALSE)</f>
        <v>GAMBO</v>
      </c>
    </row>
    <row r="2215" spans="1:8" ht="20.100000000000001" customHeight="1" x14ac:dyDescent="0.25">
      <c r="A2215" s="3" t="s">
        <v>20</v>
      </c>
      <c r="B2215" s="3" t="s">
        <v>372</v>
      </c>
      <c r="C2215" s="3">
        <v>2022</v>
      </c>
      <c r="D2215" s="4">
        <v>6</v>
      </c>
      <c r="E2215" s="5">
        <v>58.4</v>
      </c>
      <c r="F2215" s="5">
        <v>21.09</v>
      </c>
      <c r="G2215" s="3" t="str">
        <f>VLOOKUP(Registros[[#This Row],[Cliente]],Cliente_Region[],2,FALSE)</f>
        <v>Peru</v>
      </c>
      <c r="H2215" s="3" t="str">
        <f>VLOOKUP(Registros[[#This Row],[Producto]],Producto[],2,FALSE)</f>
        <v>CHOTUS</v>
      </c>
    </row>
    <row r="2216" spans="1:8" ht="20.100000000000001" customHeight="1" x14ac:dyDescent="0.25">
      <c r="A2216" s="3" t="s">
        <v>11</v>
      </c>
      <c r="B2216" s="3" t="s">
        <v>372</v>
      </c>
      <c r="C2216" s="3">
        <v>2022</v>
      </c>
      <c r="D2216" s="4">
        <v>1</v>
      </c>
      <c r="E2216" s="5">
        <v>132</v>
      </c>
      <c r="F2216" s="5">
        <v>66.27</v>
      </c>
      <c r="G2216" s="3" t="str">
        <f>VLOOKUP(Registros[[#This Row],[Cliente]],Cliente_Region[],2,FALSE)</f>
        <v>Peru</v>
      </c>
      <c r="H2216" s="3" t="str">
        <f>VLOOKUP(Registros[[#This Row],[Producto]],Producto[],2,FALSE)</f>
        <v>DONANY</v>
      </c>
    </row>
    <row r="2217" spans="1:8" ht="20.100000000000001" customHeight="1" x14ac:dyDescent="0.25">
      <c r="A2217" s="3" t="s">
        <v>292</v>
      </c>
      <c r="B2217" s="3" t="s">
        <v>372</v>
      </c>
      <c r="C2217" s="3">
        <v>2022</v>
      </c>
      <c r="D2217" s="4">
        <v>2</v>
      </c>
      <c r="E2217" s="5">
        <v>122.28</v>
      </c>
      <c r="F2217" s="5">
        <v>62.53</v>
      </c>
      <c r="G2217" s="3" t="str">
        <f>VLOOKUP(Registros[[#This Row],[Cliente]],Cliente_Region[],2,FALSE)</f>
        <v>Peru</v>
      </c>
      <c r="H2217" s="3" t="str">
        <f>VLOOKUP(Registros[[#This Row],[Producto]],Producto[],2,FALSE)</f>
        <v>QUOKAR</v>
      </c>
    </row>
    <row r="2218" spans="1:8" ht="20.100000000000001" customHeight="1" x14ac:dyDescent="0.25">
      <c r="A2218" s="3" t="s">
        <v>292</v>
      </c>
      <c r="B2218" s="3" t="s">
        <v>372</v>
      </c>
      <c r="C2218" s="3">
        <v>2022</v>
      </c>
      <c r="D2218" s="4">
        <v>3</v>
      </c>
      <c r="E2218" s="5">
        <v>72</v>
      </c>
      <c r="F2218" s="5">
        <v>36.15</v>
      </c>
      <c r="G2218" s="3" t="str">
        <f>VLOOKUP(Registros[[#This Row],[Cliente]],Cliente_Region[],2,FALSE)</f>
        <v>Peru</v>
      </c>
      <c r="H2218" s="3" t="str">
        <f>VLOOKUP(Registros[[#This Row],[Producto]],Producto[],2,FALSE)</f>
        <v>QUOKAR</v>
      </c>
    </row>
    <row r="2219" spans="1:8" ht="20.100000000000001" customHeight="1" x14ac:dyDescent="0.25">
      <c r="A2219" s="3" t="s">
        <v>292</v>
      </c>
      <c r="B2219" s="3" t="s">
        <v>372</v>
      </c>
      <c r="C2219" s="3">
        <v>2022</v>
      </c>
      <c r="D2219" s="4">
        <v>4</v>
      </c>
      <c r="E2219" s="5">
        <v>85</v>
      </c>
      <c r="F2219" s="5">
        <v>43.17</v>
      </c>
      <c r="G2219" s="3" t="str">
        <f>VLOOKUP(Registros[[#This Row],[Cliente]],Cliente_Region[],2,FALSE)</f>
        <v>Peru</v>
      </c>
      <c r="H2219" s="3" t="str">
        <f>VLOOKUP(Registros[[#This Row],[Producto]],Producto[],2,FALSE)</f>
        <v>QUOKAR</v>
      </c>
    </row>
    <row r="2220" spans="1:8" ht="20.100000000000001" customHeight="1" x14ac:dyDescent="0.25">
      <c r="A2220" s="3" t="s">
        <v>292</v>
      </c>
      <c r="B2220" s="3" t="s">
        <v>372</v>
      </c>
      <c r="C2220" s="3">
        <v>2022</v>
      </c>
      <c r="D2220" s="4">
        <v>5</v>
      </c>
      <c r="E2220" s="5">
        <v>125</v>
      </c>
      <c r="F2220" s="5">
        <v>65.25</v>
      </c>
      <c r="G2220" s="3" t="str">
        <f>VLOOKUP(Registros[[#This Row],[Cliente]],Cliente_Region[],2,FALSE)</f>
        <v>Peru</v>
      </c>
      <c r="H2220" s="3" t="str">
        <f>VLOOKUP(Registros[[#This Row],[Producto]],Producto[],2,FALSE)</f>
        <v>QUOKAR</v>
      </c>
    </row>
    <row r="2221" spans="1:8" ht="20.100000000000001" customHeight="1" x14ac:dyDescent="0.25">
      <c r="A2221" s="3" t="s">
        <v>292</v>
      </c>
      <c r="B2221" s="3" t="s">
        <v>372</v>
      </c>
      <c r="C2221" s="3">
        <v>2022</v>
      </c>
      <c r="D2221" s="4">
        <v>6</v>
      </c>
      <c r="E2221" s="5">
        <v>100</v>
      </c>
      <c r="F2221" s="5">
        <v>52.2</v>
      </c>
      <c r="G2221" s="3" t="str">
        <f>VLOOKUP(Registros[[#This Row],[Cliente]],Cliente_Region[],2,FALSE)</f>
        <v>Peru</v>
      </c>
      <c r="H2221" s="3" t="str">
        <f>VLOOKUP(Registros[[#This Row],[Producto]],Producto[],2,FALSE)</f>
        <v>QUOKAR</v>
      </c>
    </row>
    <row r="2222" spans="1:8" ht="20.100000000000001" customHeight="1" x14ac:dyDescent="0.25">
      <c r="A2222" s="3" t="s">
        <v>293</v>
      </c>
      <c r="B2222" s="3" t="s">
        <v>372</v>
      </c>
      <c r="C2222" s="3">
        <v>2022</v>
      </c>
      <c r="D2222" s="4">
        <v>6</v>
      </c>
      <c r="E2222" s="5">
        <v>24.76</v>
      </c>
      <c r="F2222" s="5">
        <v>5.16</v>
      </c>
      <c r="G2222" s="3" t="str">
        <f>VLOOKUP(Registros[[#This Row],[Cliente]],Cliente_Region[],2,FALSE)</f>
        <v>Peru</v>
      </c>
      <c r="H2222" s="3" t="str">
        <f>VLOOKUP(Registros[[#This Row],[Producto]],Producto[],2,FALSE)</f>
        <v>QUOKAR</v>
      </c>
    </row>
    <row r="2223" spans="1:8" ht="20.100000000000001" customHeight="1" x14ac:dyDescent="0.25">
      <c r="A2223" s="3" t="s">
        <v>304</v>
      </c>
      <c r="B2223" s="3" t="s">
        <v>372</v>
      </c>
      <c r="C2223" s="3">
        <v>2022</v>
      </c>
      <c r="D2223" s="4">
        <v>1</v>
      </c>
      <c r="E2223" s="5">
        <v>148.5</v>
      </c>
      <c r="F2223" s="5">
        <v>99.11</v>
      </c>
      <c r="G2223" s="3" t="str">
        <f>VLOOKUP(Registros[[#This Row],[Cliente]],Cliente_Region[],2,FALSE)</f>
        <v>Peru</v>
      </c>
      <c r="H2223" s="3" t="str">
        <f>VLOOKUP(Registros[[#This Row],[Producto]],Producto[],2,FALSE)</f>
        <v>QUOKAR</v>
      </c>
    </row>
    <row r="2224" spans="1:8" ht="20.100000000000001" customHeight="1" x14ac:dyDescent="0.25">
      <c r="A2224" s="3" t="s">
        <v>305</v>
      </c>
      <c r="B2224" s="3" t="s">
        <v>372</v>
      </c>
      <c r="C2224" s="3">
        <v>2022</v>
      </c>
      <c r="D2224" s="4">
        <v>2</v>
      </c>
      <c r="E2224" s="5">
        <v>139.80000000000001</v>
      </c>
      <c r="F2224" s="5">
        <v>94.9</v>
      </c>
      <c r="G2224" s="3" t="str">
        <f>VLOOKUP(Registros[[#This Row],[Cliente]],Cliente_Region[],2,FALSE)</f>
        <v>Peru</v>
      </c>
      <c r="H2224" s="3" t="str">
        <f>VLOOKUP(Registros[[#This Row],[Producto]],Producto[],2,FALSE)</f>
        <v>DAWNE</v>
      </c>
    </row>
    <row r="2225" spans="1:8" ht="20.100000000000001" customHeight="1" x14ac:dyDescent="0.25">
      <c r="A2225" s="3" t="s">
        <v>305</v>
      </c>
      <c r="B2225" s="3" t="s">
        <v>372</v>
      </c>
      <c r="C2225" s="3">
        <v>2022</v>
      </c>
      <c r="D2225" s="4">
        <v>3</v>
      </c>
      <c r="E2225" s="5">
        <v>94.5</v>
      </c>
      <c r="F2225" s="5">
        <v>63.07</v>
      </c>
      <c r="G2225" s="3" t="str">
        <f>VLOOKUP(Registros[[#This Row],[Cliente]],Cliente_Region[],2,FALSE)</f>
        <v>Peru</v>
      </c>
      <c r="H2225" s="3" t="str">
        <f>VLOOKUP(Registros[[#This Row],[Producto]],Producto[],2,FALSE)</f>
        <v>DAWNE</v>
      </c>
    </row>
    <row r="2226" spans="1:8" ht="20.100000000000001" customHeight="1" x14ac:dyDescent="0.25">
      <c r="A2226" s="3" t="s">
        <v>305</v>
      </c>
      <c r="B2226" s="3" t="s">
        <v>372</v>
      </c>
      <c r="C2226" s="3">
        <v>2022</v>
      </c>
      <c r="D2226" s="4">
        <v>4</v>
      </c>
      <c r="E2226" s="5">
        <v>110</v>
      </c>
      <c r="F2226" s="5">
        <v>74.08</v>
      </c>
      <c r="G2226" s="3" t="str">
        <f>VLOOKUP(Registros[[#This Row],[Cliente]],Cliente_Region[],2,FALSE)</f>
        <v>Peru</v>
      </c>
      <c r="H2226" s="3" t="str">
        <f>VLOOKUP(Registros[[#This Row],[Producto]],Producto[],2,FALSE)</f>
        <v>DAWNE</v>
      </c>
    </row>
    <row r="2227" spans="1:8" ht="20.100000000000001" customHeight="1" x14ac:dyDescent="0.25">
      <c r="A2227" s="3" t="s">
        <v>305</v>
      </c>
      <c r="B2227" s="3" t="s">
        <v>372</v>
      </c>
      <c r="C2227" s="3">
        <v>2022</v>
      </c>
      <c r="D2227" s="4">
        <v>5</v>
      </c>
      <c r="E2227" s="5">
        <v>145</v>
      </c>
      <c r="F2227" s="5">
        <v>100.1</v>
      </c>
      <c r="G2227" s="3" t="str">
        <f>VLOOKUP(Registros[[#This Row],[Cliente]],Cliente_Region[],2,FALSE)</f>
        <v>Peru</v>
      </c>
      <c r="H2227" s="3" t="str">
        <f>VLOOKUP(Registros[[#This Row],[Producto]],Producto[],2,FALSE)</f>
        <v>DAWNE</v>
      </c>
    </row>
    <row r="2228" spans="1:8" ht="20.100000000000001" customHeight="1" x14ac:dyDescent="0.25">
      <c r="A2228" s="3" t="s">
        <v>305</v>
      </c>
      <c r="B2228" s="3" t="s">
        <v>372</v>
      </c>
      <c r="C2228" s="3">
        <v>2022</v>
      </c>
      <c r="D2228" s="4">
        <v>6</v>
      </c>
      <c r="E2228" s="5">
        <v>116</v>
      </c>
      <c r="F2228" s="5">
        <v>80.08</v>
      </c>
      <c r="G2228" s="3" t="str">
        <f>VLOOKUP(Registros[[#This Row],[Cliente]],Cliente_Region[],2,FALSE)</f>
        <v>Peru</v>
      </c>
      <c r="H2228" s="3" t="str">
        <f>VLOOKUP(Registros[[#This Row],[Producto]],Producto[],2,FALSE)</f>
        <v>DAWNE</v>
      </c>
    </row>
    <row r="2229" spans="1:8" ht="20.100000000000001" customHeight="1" x14ac:dyDescent="0.25">
      <c r="A2229" s="3" t="s">
        <v>44</v>
      </c>
      <c r="B2229" s="3" t="s">
        <v>372</v>
      </c>
      <c r="C2229" s="3">
        <v>2022</v>
      </c>
      <c r="D2229" s="4">
        <v>6</v>
      </c>
      <c r="E2229" s="5">
        <v>12</v>
      </c>
      <c r="F2229" s="5">
        <v>-1.23</v>
      </c>
      <c r="G2229" s="3" t="str">
        <f>VLOOKUP(Registros[[#This Row],[Cliente]],Cliente_Region[],2,FALSE)</f>
        <v>Peru</v>
      </c>
      <c r="H2229" s="3" t="str">
        <f>VLOOKUP(Registros[[#This Row],[Producto]],Producto[],2,FALSE)</f>
        <v>DAWNE</v>
      </c>
    </row>
    <row r="2230" spans="1:8" ht="20.100000000000001" customHeight="1" x14ac:dyDescent="0.25">
      <c r="A2230" s="3" t="s">
        <v>282</v>
      </c>
      <c r="B2230" s="3" t="s">
        <v>372</v>
      </c>
      <c r="C2230" s="3">
        <v>2022</v>
      </c>
      <c r="D2230" s="4">
        <v>1</v>
      </c>
      <c r="E2230" s="5">
        <v>181.5</v>
      </c>
      <c r="F2230" s="5">
        <v>104.34</v>
      </c>
      <c r="G2230" s="3" t="str">
        <f>VLOOKUP(Registros[[#This Row],[Cliente]],Cliente_Region[],2,FALSE)</f>
        <v>Peru</v>
      </c>
      <c r="H2230" s="3" t="str">
        <f>VLOOKUP(Registros[[#This Row],[Producto]],Producto[],2,FALSE)</f>
        <v>DAWNE</v>
      </c>
    </row>
    <row r="2231" spans="1:8" ht="20.100000000000001" customHeight="1" x14ac:dyDescent="0.25">
      <c r="A2231" s="3" t="s">
        <v>114</v>
      </c>
      <c r="B2231" s="3" t="s">
        <v>372</v>
      </c>
      <c r="C2231" s="3">
        <v>2022</v>
      </c>
      <c r="D2231" s="4">
        <v>2</v>
      </c>
      <c r="E2231" s="5">
        <v>165</v>
      </c>
      <c r="F2231" s="5">
        <v>94.85</v>
      </c>
      <c r="G2231" s="3" t="str">
        <f>VLOOKUP(Registros[[#This Row],[Cliente]],Cliente_Region[],2,FALSE)</f>
        <v>Peru</v>
      </c>
      <c r="H2231" s="3" t="str">
        <f>VLOOKUP(Registros[[#This Row],[Producto]],Producto[],2,FALSE)</f>
        <v>DAWNE</v>
      </c>
    </row>
    <row r="2232" spans="1:8" ht="20.100000000000001" customHeight="1" x14ac:dyDescent="0.25">
      <c r="A2232" s="3" t="s">
        <v>114</v>
      </c>
      <c r="B2232" s="3" t="s">
        <v>372</v>
      </c>
      <c r="C2232" s="3">
        <v>2022</v>
      </c>
      <c r="D2232" s="4">
        <v>3</v>
      </c>
      <c r="E2232" s="5">
        <v>115.5</v>
      </c>
      <c r="F2232" s="5">
        <v>66.400000000000006</v>
      </c>
      <c r="G2232" s="3" t="str">
        <f>VLOOKUP(Registros[[#This Row],[Cliente]],Cliente_Region[],2,FALSE)</f>
        <v>Peru</v>
      </c>
      <c r="H2232" s="3" t="str">
        <f>VLOOKUP(Registros[[#This Row],[Producto]],Producto[],2,FALSE)</f>
        <v>DAWNE</v>
      </c>
    </row>
    <row r="2233" spans="1:8" ht="20.100000000000001" customHeight="1" x14ac:dyDescent="0.25">
      <c r="A2233" s="3" t="s">
        <v>114</v>
      </c>
      <c r="B2233" s="3" t="s">
        <v>372</v>
      </c>
      <c r="C2233" s="3">
        <v>2022</v>
      </c>
      <c r="D2233" s="4">
        <v>4</v>
      </c>
      <c r="E2233" s="5">
        <v>115.5</v>
      </c>
      <c r="F2233" s="5">
        <v>66.400000000000006</v>
      </c>
      <c r="G2233" s="3" t="str">
        <f>VLOOKUP(Registros[[#This Row],[Cliente]],Cliente_Region[],2,FALSE)</f>
        <v>Peru</v>
      </c>
      <c r="H2233" s="3" t="str">
        <f>VLOOKUP(Registros[[#This Row],[Producto]],Producto[],2,FALSE)</f>
        <v>DAWNE</v>
      </c>
    </row>
    <row r="2234" spans="1:8" ht="20.100000000000001" customHeight="1" x14ac:dyDescent="0.25">
      <c r="A2234" s="3" t="s">
        <v>114</v>
      </c>
      <c r="B2234" s="3" t="s">
        <v>372</v>
      </c>
      <c r="C2234" s="3">
        <v>2022</v>
      </c>
      <c r="D2234" s="4">
        <v>5</v>
      </c>
      <c r="E2234" s="5">
        <v>165</v>
      </c>
      <c r="F2234" s="5">
        <v>94.85</v>
      </c>
      <c r="G2234" s="3" t="str">
        <f>VLOOKUP(Registros[[#This Row],[Cliente]],Cliente_Region[],2,FALSE)</f>
        <v>Peru</v>
      </c>
      <c r="H2234" s="3" t="str">
        <f>VLOOKUP(Registros[[#This Row],[Producto]],Producto[],2,FALSE)</f>
        <v>DAWNE</v>
      </c>
    </row>
    <row r="2235" spans="1:8" ht="20.100000000000001" customHeight="1" x14ac:dyDescent="0.25">
      <c r="A2235" s="3" t="s">
        <v>114</v>
      </c>
      <c r="B2235" s="3" t="s">
        <v>372</v>
      </c>
      <c r="C2235" s="3">
        <v>2022</v>
      </c>
      <c r="D2235" s="4">
        <v>6</v>
      </c>
      <c r="E2235" s="5">
        <v>148.5</v>
      </c>
      <c r="F2235" s="5">
        <v>85.37</v>
      </c>
      <c r="G2235" s="3" t="str">
        <f>VLOOKUP(Registros[[#This Row],[Cliente]],Cliente_Region[],2,FALSE)</f>
        <v>Peru</v>
      </c>
      <c r="H2235" s="3" t="str">
        <f>VLOOKUP(Registros[[#This Row],[Producto]],Producto[],2,FALSE)</f>
        <v>DAWNE</v>
      </c>
    </row>
    <row r="2236" spans="1:8" ht="20.100000000000001" customHeight="1" x14ac:dyDescent="0.25">
      <c r="A2236" s="3" t="s">
        <v>135</v>
      </c>
      <c r="B2236" s="3" t="s">
        <v>372</v>
      </c>
      <c r="C2236" s="3">
        <v>2022</v>
      </c>
      <c r="D2236" s="4">
        <v>1</v>
      </c>
      <c r="E2236" s="5">
        <v>276</v>
      </c>
      <c r="F2236" s="5">
        <v>193.84</v>
      </c>
      <c r="G2236" s="3" t="str">
        <f>VLOOKUP(Registros[[#This Row],[Cliente]],Cliente_Region[],2,FALSE)</f>
        <v>Peru</v>
      </c>
      <c r="H2236" s="3" t="str">
        <f>VLOOKUP(Registros[[#This Row],[Producto]],Producto[],2,FALSE)</f>
        <v>GAMBO</v>
      </c>
    </row>
    <row r="2237" spans="1:8" ht="20.100000000000001" customHeight="1" x14ac:dyDescent="0.25">
      <c r="A2237" s="3" t="s">
        <v>93</v>
      </c>
      <c r="B2237" s="3" t="s">
        <v>372</v>
      </c>
      <c r="C2237" s="3">
        <v>2022</v>
      </c>
      <c r="D2237" s="4">
        <v>2</v>
      </c>
      <c r="E2237" s="5">
        <v>241.38</v>
      </c>
      <c r="F2237" s="5">
        <v>173.98</v>
      </c>
      <c r="G2237" s="3" t="str">
        <f>VLOOKUP(Registros[[#This Row],[Cliente]],Cliente_Region[],2,FALSE)</f>
        <v>Peru</v>
      </c>
      <c r="H2237" s="3" t="str">
        <f>VLOOKUP(Registros[[#This Row],[Producto]],Producto[],2,FALSE)</f>
        <v>GAMBO</v>
      </c>
    </row>
    <row r="2238" spans="1:8" ht="20.100000000000001" customHeight="1" x14ac:dyDescent="0.25">
      <c r="A2238" s="3" t="s">
        <v>93</v>
      </c>
      <c r="B2238" s="3" t="s">
        <v>372</v>
      </c>
      <c r="C2238" s="3">
        <v>2022</v>
      </c>
      <c r="D2238" s="4">
        <v>3</v>
      </c>
      <c r="E2238" s="5">
        <v>175.5</v>
      </c>
      <c r="F2238" s="5">
        <v>114.84</v>
      </c>
      <c r="G2238" s="3" t="str">
        <f>VLOOKUP(Registros[[#This Row],[Cliente]],Cliente_Region[],2,FALSE)</f>
        <v>Peru</v>
      </c>
      <c r="H2238" s="3" t="str">
        <f>VLOOKUP(Registros[[#This Row],[Producto]],Producto[],2,FALSE)</f>
        <v>GAMBO</v>
      </c>
    </row>
    <row r="2239" spans="1:8" ht="20.100000000000001" customHeight="1" x14ac:dyDescent="0.25">
      <c r="A2239" s="3" t="s">
        <v>93</v>
      </c>
      <c r="B2239" s="3" t="s">
        <v>372</v>
      </c>
      <c r="C2239" s="3">
        <v>2022</v>
      </c>
      <c r="D2239" s="4">
        <v>4</v>
      </c>
      <c r="E2239" s="5">
        <v>181.5</v>
      </c>
      <c r="F2239" s="5">
        <v>120.84</v>
      </c>
      <c r="G2239" s="3" t="str">
        <f>VLOOKUP(Registros[[#This Row],[Cliente]],Cliente_Region[],2,FALSE)</f>
        <v>Peru</v>
      </c>
      <c r="H2239" s="3" t="str">
        <f>VLOOKUP(Registros[[#This Row],[Producto]],Producto[],2,FALSE)</f>
        <v>GAMBO</v>
      </c>
    </row>
    <row r="2240" spans="1:8" ht="20.100000000000001" customHeight="1" x14ac:dyDescent="0.25">
      <c r="A2240" s="3" t="s">
        <v>93</v>
      </c>
      <c r="B2240" s="3" t="s">
        <v>372</v>
      </c>
      <c r="C2240" s="3">
        <v>2022</v>
      </c>
      <c r="D2240" s="4">
        <v>5</v>
      </c>
      <c r="E2240" s="5">
        <v>315</v>
      </c>
      <c r="F2240" s="5">
        <v>220.64</v>
      </c>
      <c r="G2240" s="3" t="str">
        <f>VLOOKUP(Registros[[#This Row],[Cliente]],Cliente_Region[],2,FALSE)</f>
        <v>Peru</v>
      </c>
      <c r="H2240" s="3" t="str">
        <f>VLOOKUP(Registros[[#This Row],[Producto]],Producto[],2,FALSE)</f>
        <v>GAMBO</v>
      </c>
    </row>
    <row r="2241" spans="1:8" ht="20.100000000000001" customHeight="1" x14ac:dyDescent="0.25">
      <c r="A2241" s="3" t="s">
        <v>93</v>
      </c>
      <c r="B2241" s="3" t="s">
        <v>372</v>
      </c>
      <c r="C2241" s="3">
        <v>2022</v>
      </c>
      <c r="D2241" s="4">
        <v>6</v>
      </c>
      <c r="E2241" s="5">
        <v>180</v>
      </c>
      <c r="F2241" s="5">
        <v>126.08</v>
      </c>
      <c r="G2241" s="3" t="str">
        <f>VLOOKUP(Registros[[#This Row],[Cliente]],Cliente_Region[],2,FALSE)</f>
        <v>Peru</v>
      </c>
      <c r="H2241" s="3" t="str">
        <f>VLOOKUP(Registros[[#This Row],[Producto]],Producto[],2,FALSE)</f>
        <v>GAMBO</v>
      </c>
    </row>
    <row r="2242" spans="1:8" ht="20.100000000000001" customHeight="1" x14ac:dyDescent="0.25">
      <c r="A2242" s="3" t="s">
        <v>136</v>
      </c>
      <c r="B2242" s="3" t="s">
        <v>372</v>
      </c>
      <c r="C2242" s="3">
        <v>2022</v>
      </c>
      <c r="D2242" s="4">
        <v>1</v>
      </c>
      <c r="E2242" s="5">
        <v>268.25</v>
      </c>
      <c r="F2242" s="5">
        <v>131.22</v>
      </c>
      <c r="G2242" s="3" t="str">
        <f>VLOOKUP(Registros[[#This Row],[Cliente]],Cliente_Region[],2,FALSE)</f>
        <v>Peru</v>
      </c>
      <c r="H2242" s="3" t="str">
        <f>VLOOKUP(Registros[[#This Row],[Producto]],Producto[],2,FALSE)</f>
        <v>CHOTUS</v>
      </c>
    </row>
    <row r="2243" spans="1:8" ht="20.100000000000001" customHeight="1" x14ac:dyDescent="0.25">
      <c r="A2243" s="3" t="s">
        <v>137</v>
      </c>
      <c r="B2243" s="3" t="s">
        <v>372</v>
      </c>
      <c r="C2243" s="3">
        <v>2022</v>
      </c>
      <c r="D2243" s="4">
        <v>2</v>
      </c>
      <c r="E2243" s="5">
        <v>191.95</v>
      </c>
      <c r="F2243" s="5">
        <v>104.7</v>
      </c>
      <c r="G2243" s="3" t="str">
        <f>VLOOKUP(Registros[[#This Row],[Cliente]],Cliente_Region[],2,FALSE)</f>
        <v>Peru</v>
      </c>
      <c r="H2243" s="3" t="str">
        <f>VLOOKUP(Registros[[#This Row],[Producto]],Producto[],2,FALSE)</f>
        <v>QUOKAR</v>
      </c>
    </row>
    <row r="2244" spans="1:8" ht="20.100000000000001" customHeight="1" x14ac:dyDescent="0.25">
      <c r="A2244" s="3" t="s">
        <v>137</v>
      </c>
      <c r="B2244" s="3" t="s">
        <v>372</v>
      </c>
      <c r="C2244" s="3">
        <v>2022</v>
      </c>
      <c r="D2244" s="4">
        <v>3</v>
      </c>
      <c r="E2244" s="5">
        <v>132</v>
      </c>
      <c r="F2244" s="5">
        <v>57.22</v>
      </c>
      <c r="G2244" s="3" t="str">
        <f>VLOOKUP(Registros[[#This Row],[Cliente]],Cliente_Region[],2,FALSE)</f>
        <v>Peru</v>
      </c>
      <c r="H2244" s="3" t="str">
        <f>VLOOKUP(Registros[[#This Row],[Producto]],Producto[],2,FALSE)</f>
        <v>QUOKAR</v>
      </c>
    </row>
    <row r="2245" spans="1:8" ht="20.100000000000001" customHeight="1" x14ac:dyDescent="0.25">
      <c r="A2245" s="3" t="s">
        <v>137</v>
      </c>
      <c r="B2245" s="3" t="s">
        <v>372</v>
      </c>
      <c r="C2245" s="3">
        <v>2022</v>
      </c>
      <c r="D2245" s="4">
        <v>4</v>
      </c>
      <c r="E2245" s="5">
        <v>110</v>
      </c>
      <c r="F2245" s="5">
        <v>47.69</v>
      </c>
      <c r="G2245" s="3" t="str">
        <f>VLOOKUP(Registros[[#This Row],[Cliente]],Cliente_Region[],2,FALSE)</f>
        <v>Peru</v>
      </c>
      <c r="H2245" s="3" t="str">
        <f>VLOOKUP(Registros[[#This Row],[Producto]],Producto[],2,FALSE)</f>
        <v>QUOKAR</v>
      </c>
    </row>
    <row r="2246" spans="1:8" ht="20.100000000000001" customHeight="1" x14ac:dyDescent="0.25">
      <c r="A2246" s="3" t="s">
        <v>137</v>
      </c>
      <c r="B2246" s="3" t="s">
        <v>372</v>
      </c>
      <c r="C2246" s="3">
        <v>2022</v>
      </c>
      <c r="D2246" s="4">
        <v>5</v>
      </c>
      <c r="E2246" s="5">
        <v>198</v>
      </c>
      <c r="F2246" s="5">
        <v>85.82</v>
      </c>
      <c r="G2246" s="3" t="str">
        <f>VLOOKUP(Registros[[#This Row],[Cliente]],Cliente_Region[],2,FALSE)</f>
        <v>Peru</v>
      </c>
      <c r="H2246" s="3" t="str">
        <f>VLOOKUP(Registros[[#This Row],[Producto]],Producto[],2,FALSE)</f>
        <v>QUOKAR</v>
      </c>
    </row>
    <row r="2247" spans="1:8" ht="20.100000000000001" customHeight="1" x14ac:dyDescent="0.25">
      <c r="A2247" s="3" t="s">
        <v>137</v>
      </c>
      <c r="B2247" s="3" t="s">
        <v>372</v>
      </c>
      <c r="C2247" s="3">
        <v>2022</v>
      </c>
      <c r="D2247" s="4">
        <v>6</v>
      </c>
      <c r="E2247" s="5">
        <v>154</v>
      </c>
      <c r="F2247" s="5">
        <v>66.760000000000005</v>
      </c>
      <c r="G2247" s="3" t="str">
        <f>VLOOKUP(Registros[[#This Row],[Cliente]],Cliente_Region[],2,FALSE)</f>
        <v>Peru</v>
      </c>
      <c r="H2247" s="3" t="str">
        <f>VLOOKUP(Registros[[#This Row],[Producto]],Producto[],2,FALSE)</f>
        <v>QUOKAR</v>
      </c>
    </row>
    <row r="2248" spans="1:8" ht="20.100000000000001" customHeight="1" x14ac:dyDescent="0.25">
      <c r="A2248" s="3" t="s">
        <v>86</v>
      </c>
      <c r="B2248" s="3" t="s">
        <v>372</v>
      </c>
      <c r="C2248" s="3">
        <v>2022</v>
      </c>
      <c r="D2248" s="4">
        <v>2</v>
      </c>
      <c r="E2248" s="5">
        <v>14.58</v>
      </c>
      <c r="F2248" s="5">
        <v>9.25</v>
      </c>
      <c r="G2248" s="3" t="str">
        <f>VLOOKUP(Registros[[#This Row],[Cliente]],Cliente_Region[],2,FALSE)</f>
        <v>Peru</v>
      </c>
      <c r="H2248" s="3" t="str">
        <f>VLOOKUP(Registros[[#This Row],[Producto]],Producto[],2,FALSE)</f>
        <v>GAMBO</v>
      </c>
    </row>
    <row r="2249" spans="1:8" ht="20.100000000000001" customHeight="1" x14ac:dyDescent="0.25">
      <c r="A2249" s="3" t="s">
        <v>77</v>
      </c>
      <c r="B2249" s="3" t="s">
        <v>372</v>
      </c>
      <c r="C2249" s="3">
        <v>2022</v>
      </c>
      <c r="D2249" s="4">
        <v>1</v>
      </c>
      <c r="E2249" s="5">
        <v>29.5</v>
      </c>
      <c r="F2249" s="5">
        <v>19.53</v>
      </c>
      <c r="G2249" s="3" t="str">
        <f>VLOOKUP(Registros[[#This Row],[Cliente]],Cliente_Region[],2,FALSE)</f>
        <v>Peru</v>
      </c>
      <c r="H2249" s="3" t="str">
        <f>VLOOKUP(Registros[[#This Row],[Producto]],Producto[],2,FALSE)</f>
        <v>LAX</v>
      </c>
    </row>
    <row r="2250" spans="1:8" ht="20.100000000000001" customHeight="1" x14ac:dyDescent="0.25">
      <c r="A2250" s="3" t="s">
        <v>92</v>
      </c>
      <c r="B2250" s="3" t="s">
        <v>372</v>
      </c>
      <c r="C2250" s="3">
        <v>2022</v>
      </c>
      <c r="D2250" s="4">
        <v>4</v>
      </c>
      <c r="E2250" s="5">
        <v>44.8</v>
      </c>
      <c r="F2250" s="5">
        <v>26.07</v>
      </c>
      <c r="G2250" s="3" t="str">
        <f>VLOOKUP(Registros[[#This Row],[Cliente]],Cliente_Region[],2,FALSE)</f>
        <v>Peru</v>
      </c>
      <c r="H2250" s="3" t="str">
        <f>VLOOKUP(Registros[[#This Row],[Producto]],Producto[],2,FALSE)</f>
        <v>MOC</v>
      </c>
    </row>
    <row r="2251" spans="1:8" ht="20.100000000000001" customHeight="1" x14ac:dyDescent="0.25">
      <c r="A2251" s="3" t="s">
        <v>299</v>
      </c>
      <c r="B2251" s="3" t="s">
        <v>372</v>
      </c>
      <c r="C2251" s="3">
        <v>2022</v>
      </c>
      <c r="D2251" s="4">
        <v>4</v>
      </c>
      <c r="E2251" s="5">
        <v>95</v>
      </c>
      <c r="F2251" s="5">
        <v>52.9</v>
      </c>
      <c r="G2251" s="3" t="str">
        <f>VLOOKUP(Registros[[#This Row],[Cliente]],Cliente_Region[],2,FALSE)</f>
        <v>Peru</v>
      </c>
      <c r="H2251" s="3" t="str">
        <f>VLOOKUP(Registros[[#This Row],[Producto]],Producto[],2,FALSE)</f>
        <v>SALF</v>
      </c>
    </row>
    <row r="2252" spans="1:8" ht="20.100000000000001" customHeight="1" x14ac:dyDescent="0.25">
      <c r="A2252" s="3" t="s">
        <v>81</v>
      </c>
      <c r="B2252" s="3" t="s">
        <v>372</v>
      </c>
      <c r="C2252" s="3">
        <v>2022</v>
      </c>
      <c r="D2252" s="4">
        <v>1</v>
      </c>
      <c r="E2252" s="5">
        <v>25</v>
      </c>
      <c r="F2252" s="5">
        <v>10.98</v>
      </c>
      <c r="G2252" s="3" t="str">
        <f>VLOOKUP(Registros[[#This Row],[Cliente]],Cliente_Region[],2,FALSE)</f>
        <v>Peru</v>
      </c>
      <c r="H2252" s="3" t="str">
        <f>VLOOKUP(Registros[[#This Row],[Producto]],Producto[],2,FALSE)</f>
        <v>QUOKAR</v>
      </c>
    </row>
    <row r="2253" spans="1:8" ht="20.100000000000001" customHeight="1" x14ac:dyDescent="0.25">
      <c r="A2253" s="3" t="s">
        <v>82</v>
      </c>
      <c r="B2253" s="3" t="s">
        <v>372</v>
      </c>
      <c r="C2253" s="3">
        <v>2022</v>
      </c>
      <c r="D2253" s="4">
        <v>2</v>
      </c>
      <c r="E2253" s="5">
        <v>23.93</v>
      </c>
      <c r="F2253" s="5">
        <v>9.9499999999999993</v>
      </c>
      <c r="G2253" s="3" t="str">
        <f>VLOOKUP(Registros[[#This Row],[Cliente]],Cliente_Region[],2,FALSE)</f>
        <v>Peru</v>
      </c>
      <c r="H2253" s="3" t="str">
        <f>VLOOKUP(Registros[[#This Row],[Producto]],Producto[],2,FALSE)</f>
        <v>LAX</v>
      </c>
    </row>
    <row r="2254" spans="1:8" ht="20.100000000000001" customHeight="1" x14ac:dyDescent="0.25">
      <c r="A2254" s="3" t="s">
        <v>82</v>
      </c>
      <c r="B2254" s="3" t="s">
        <v>372</v>
      </c>
      <c r="C2254" s="3">
        <v>2022</v>
      </c>
      <c r="D2254" s="4">
        <v>6</v>
      </c>
      <c r="E2254" s="5">
        <v>23.93</v>
      </c>
      <c r="F2254" s="5">
        <v>9.9499999999999993</v>
      </c>
      <c r="G2254" s="3" t="str">
        <f>VLOOKUP(Registros[[#This Row],[Cliente]],Cliente_Region[],2,FALSE)</f>
        <v>Peru</v>
      </c>
      <c r="H2254" s="3" t="str">
        <f>VLOOKUP(Registros[[#This Row],[Producto]],Producto[],2,FALSE)</f>
        <v>LAX</v>
      </c>
    </row>
    <row r="2255" spans="1:8" ht="20.100000000000001" customHeight="1" x14ac:dyDescent="0.25">
      <c r="A2255" s="3" t="s">
        <v>338</v>
      </c>
      <c r="B2255" s="3" t="s">
        <v>372</v>
      </c>
      <c r="C2255" s="3">
        <v>2022</v>
      </c>
      <c r="D2255" s="4">
        <v>1</v>
      </c>
      <c r="E2255" s="5">
        <v>63.5</v>
      </c>
      <c r="F2255" s="5">
        <v>41.43</v>
      </c>
      <c r="G2255" s="3" t="str">
        <f>VLOOKUP(Registros[[#This Row],[Cliente]],Cliente_Region[],2,FALSE)</f>
        <v>Peru</v>
      </c>
      <c r="H2255" s="3" t="str">
        <f>VLOOKUP(Registros[[#This Row],[Producto]],Producto[],2,FALSE)</f>
        <v>DAWNE</v>
      </c>
    </row>
    <row r="2256" spans="1:8" ht="20.100000000000001" customHeight="1" x14ac:dyDescent="0.25">
      <c r="A2256" s="3" t="s">
        <v>339</v>
      </c>
      <c r="B2256" s="3" t="s">
        <v>372</v>
      </c>
      <c r="C2256" s="3">
        <v>2022</v>
      </c>
      <c r="D2256" s="4">
        <v>2</v>
      </c>
      <c r="E2256" s="5">
        <v>17.5</v>
      </c>
      <c r="F2256" s="5">
        <v>11.98</v>
      </c>
      <c r="G2256" s="3" t="str">
        <f>VLOOKUP(Registros[[#This Row],[Cliente]],Cliente_Region[],2,FALSE)</f>
        <v>Peru</v>
      </c>
      <c r="H2256" s="3" t="str">
        <f>VLOOKUP(Registros[[#This Row],[Producto]],Producto[],2,FALSE)</f>
        <v>LAX</v>
      </c>
    </row>
    <row r="2257" spans="1:8" ht="20.100000000000001" customHeight="1" x14ac:dyDescent="0.25">
      <c r="A2257" s="3" t="s">
        <v>339</v>
      </c>
      <c r="B2257" s="3" t="s">
        <v>372</v>
      </c>
      <c r="C2257" s="3">
        <v>2022</v>
      </c>
      <c r="D2257" s="4">
        <v>3</v>
      </c>
      <c r="E2257" s="5">
        <v>62</v>
      </c>
      <c r="F2257" s="5">
        <v>39.92</v>
      </c>
      <c r="G2257" s="3" t="str">
        <f>VLOOKUP(Registros[[#This Row],[Cliente]],Cliente_Region[],2,FALSE)</f>
        <v>Peru</v>
      </c>
      <c r="H2257" s="3" t="str">
        <f>VLOOKUP(Registros[[#This Row],[Producto]],Producto[],2,FALSE)</f>
        <v>LAX</v>
      </c>
    </row>
    <row r="2258" spans="1:8" ht="20.100000000000001" customHeight="1" x14ac:dyDescent="0.25">
      <c r="A2258" s="3" t="s">
        <v>339</v>
      </c>
      <c r="B2258" s="3" t="s">
        <v>372</v>
      </c>
      <c r="C2258" s="3">
        <v>2022</v>
      </c>
      <c r="D2258" s="4">
        <v>4</v>
      </c>
      <c r="E2258" s="5">
        <v>33</v>
      </c>
      <c r="F2258" s="5">
        <v>21.96</v>
      </c>
      <c r="G2258" s="3" t="str">
        <f>VLOOKUP(Registros[[#This Row],[Cliente]],Cliente_Region[],2,FALSE)</f>
        <v>Peru</v>
      </c>
      <c r="H2258" s="3" t="str">
        <f>VLOOKUP(Registros[[#This Row],[Producto]],Producto[],2,FALSE)</f>
        <v>LAX</v>
      </c>
    </row>
    <row r="2259" spans="1:8" ht="20.100000000000001" customHeight="1" x14ac:dyDescent="0.25">
      <c r="A2259" s="3" t="s">
        <v>339</v>
      </c>
      <c r="B2259" s="3" t="s">
        <v>372</v>
      </c>
      <c r="C2259" s="3">
        <v>2022</v>
      </c>
      <c r="D2259" s="4">
        <v>5</v>
      </c>
      <c r="E2259" s="5">
        <v>87.5</v>
      </c>
      <c r="F2259" s="5">
        <v>59.9</v>
      </c>
      <c r="G2259" s="3" t="str">
        <f>VLOOKUP(Registros[[#This Row],[Cliente]],Cliente_Region[],2,FALSE)</f>
        <v>Peru</v>
      </c>
      <c r="H2259" s="3" t="str">
        <f>VLOOKUP(Registros[[#This Row],[Producto]],Producto[],2,FALSE)</f>
        <v>LAX</v>
      </c>
    </row>
    <row r="2260" spans="1:8" ht="20.100000000000001" customHeight="1" x14ac:dyDescent="0.25">
      <c r="A2260" s="3" t="s">
        <v>339</v>
      </c>
      <c r="B2260" s="3" t="s">
        <v>372</v>
      </c>
      <c r="C2260" s="3">
        <v>2022</v>
      </c>
      <c r="D2260" s="4">
        <v>6</v>
      </c>
      <c r="E2260" s="5">
        <v>70</v>
      </c>
      <c r="F2260" s="5">
        <v>47.92</v>
      </c>
      <c r="G2260" s="3" t="str">
        <f>VLOOKUP(Registros[[#This Row],[Cliente]],Cliente_Region[],2,FALSE)</f>
        <v>Peru</v>
      </c>
      <c r="H2260" s="3" t="str">
        <f>VLOOKUP(Registros[[#This Row],[Producto]],Producto[],2,FALSE)</f>
        <v>LAX</v>
      </c>
    </row>
    <row r="2261" spans="1:8" ht="20.100000000000001" customHeight="1" x14ac:dyDescent="0.25">
      <c r="A2261" s="3" t="s">
        <v>58</v>
      </c>
      <c r="B2261" s="3" t="s">
        <v>372</v>
      </c>
      <c r="C2261" s="3">
        <v>2022</v>
      </c>
      <c r="D2261" s="4">
        <v>1</v>
      </c>
      <c r="E2261" s="5">
        <v>18</v>
      </c>
      <c r="F2261" s="5">
        <v>11.52</v>
      </c>
      <c r="G2261" s="3" t="str">
        <f>VLOOKUP(Registros[[#This Row],[Cliente]],Cliente_Region[],2,FALSE)</f>
        <v>Peru</v>
      </c>
      <c r="H2261" s="3" t="str">
        <f>VLOOKUP(Registros[[#This Row],[Producto]],Producto[],2,FALSE)</f>
        <v>MOC</v>
      </c>
    </row>
    <row r="2262" spans="1:8" ht="20.100000000000001" customHeight="1" x14ac:dyDescent="0.25">
      <c r="A2262" s="3" t="s">
        <v>59</v>
      </c>
      <c r="B2262" s="3" t="s">
        <v>372</v>
      </c>
      <c r="C2262" s="3">
        <v>2022</v>
      </c>
      <c r="D2262" s="4">
        <v>3</v>
      </c>
      <c r="E2262" s="5">
        <v>18</v>
      </c>
      <c r="F2262" s="5">
        <v>11.51</v>
      </c>
      <c r="G2262" s="3" t="str">
        <f>VLOOKUP(Registros[[#This Row],[Cliente]],Cliente_Region[],2,FALSE)</f>
        <v>Peru</v>
      </c>
      <c r="H2262" s="3" t="str">
        <f>VLOOKUP(Registros[[#This Row],[Producto]],Producto[],2,FALSE)</f>
        <v>QUOKAR</v>
      </c>
    </row>
    <row r="2263" spans="1:8" ht="20.100000000000001" customHeight="1" x14ac:dyDescent="0.25">
      <c r="A2263" s="3" t="s">
        <v>59</v>
      </c>
      <c r="B2263" s="3" t="s">
        <v>372</v>
      </c>
      <c r="C2263" s="3">
        <v>2022</v>
      </c>
      <c r="D2263" s="4">
        <v>4</v>
      </c>
      <c r="E2263" s="5">
        <v>18</v>
      </c>
      <c r="F2263" s="5">
        <v>11.51</v>
      </c>
      <c r="G2263" s="3" t="str">
        <f>VLOOKUP(Registros[[#This Row],[Cliente]],Cliente_Region[],2,FALSE)</f>
        <v>Peru</v>
      </c>
      <c r="H2263" s="3" t="str">
        <f>VLOOKUP(Registros[[#This Row],[Producto]],Producto[],2,FALSE)</f>
        <v>QUOKAR</v>
      </c>
    </row>
    <row r="2264" spans="1:8" ht="20.100000000000001" customHeight="1" x14ac:dyDescent="0.25">
      <c r="A2264" s="3" t="s">
        <v>59</v>
      </c>
      <c r="B2264" s="3" t="s">
        <v>372</v>
      </c>
      <c r="C2264" s="3">
        <v>2022</v>
      </c>
      <c r="D2264" s="4">
        <v>5</v>
      </c>
      <c r="E2264" s="5">
        <v>43</v>
      </c>
      <c r="F2264" s="5">
        <v>30.02</v>
      </c>
      <c r="G2264" s="3" t="str">
        <f>VLOOKUP(Registros[[#This Row],[Cliente]],Cliente_Region[],2,FALSE)</f>
        <v>Peru</v>
      </c>
      <c r="H2264" s="3" t="str">
        <f>VLOOKUP(Registros[[#This Row],[Producto]],Producto[],2,FALSE)</f>
        <v>QUOKAR</v>
      </c>
    </row>
    <row r="2265" spans="1:8" ht="20.100000000000001" customHeight="1" x14ac:dyDescent="0.25">
      <c r="A2265" s="3" t="s">
        <v>59</v>
      </c>
      <c r="B2265" s="3" t="s">
        <v>372</v>
      </c>
      <c r="C2265" s="3">
        <v>2022</v>
      </c>
      <c r="D2265" s="4">
        <v>6</v>
      </c>
      <c r="E2265" s="5">
        <v>61.98</v>
      </c>
      <c r="F2265" s="5">
        <v>42.52</v>
      </c>
      <c r="G2265" s="3" t="str">
        <f>VLOOKUP(Registros[[#This Row],[Cliente]],Cliente_Region[],2,FALSE)</f>
        <v>Peru</v>
      </c>
      <c r="H2265" s="3" t="str">
        <f>VLOOKUP(Registros[[#This Row],[Producto]],Producto[],2,FALSE)</f>
        <v>QUOKAR</v>
      </c>
    </row>
    <row r="2266" spans="1:8" ht="20.100000000000001" customHeight="1" x14ac:dyDescent="0.25">
      <c r="A2266" s="3" t="s">
        <v>164</v>
      </c>
      <c r="B2266" s="3" t="s">
        <v>373</v>
      </c>
      <c r="C2266" s="3">
        <v>2022</v>
      </c>
      <c r="D2266" s="4">
        <v>2</v>
      </c>
      <c r="E2266" s="5">
        <v>80</v>
      </c>
      <c r="F2266" s="5">
        <v>45.71</v>
      </c>
      <c r="G2266" s="3" t="str">
        <f>VLOOKUP(Registros[[#This Row],[Cliente]],Cliente_Region[],2,FALSE)</f>
        <v>Colombia</v>
      </c>
      <c r="H2266" s="3" t="str">
        <f>VLOOKUP(Registros[[#This Row],[Producto]],Producto[],2,FALSE)</f>
        <v>MOC</v>
      </c>
    </row>
    <row r="2267" spans="1:8" ht="20.100000000000001" customHeight="1" x14ac:dyDescent="0.25">
      <c r="A2267" s="3" t="s">
        <v>165</v>
      </c>
      <c r="B2267" s="3" t="s">
        <v>373</v>
      </c>
      <c r="C2267" s="3">
        <v>2022</v>
      </c>
      <c r="D2267" s="4">
        <v>4</v>
      </c>
      <c r="E2267" s="5">
        <v>160</v>
      </c>
      <c r="F2267" s="5">
        <v>91.36</v>
      </c>
      <c r="G2267" s="3" t="str">
        <f>VLOOKUP(Registros[[#This Row],[Cliente]],Cliente_Region[],2,FALSE)</f>
        <v>Colombia</v>
      </c>
      <c r="H2267" s="3" t="str">
        <f>VLOOKUP(Registros[[#This Row],[Producto]],Producto[],2,FALSE)</f>
        <v>DONANY</v>
      </c>
    </row>
    <row r="2268" spans="1:8" ht="20.100000000000001" customHeight="1" x14ac:dyDescent="0.25">
      <c r="A2268" s="3" t="s">
        <v>165</v>
      </c>
      <c r="B2268" s="3" t="s">
        <v>373</v>
      </c>
      <c r="C2268" s="3">
        <v>2022</v>
      </c>
      <c r="D2268" s="4">
        <v>5</v>
      </c>
      <c r="E2268" s="5">
        <v>100</v>
      </c>
      <c r="F2268" s="5">
        <v>57.04</v>
      </c>
      <c r="G2268" s="3" t="str">
        <f>VLOOKUP(Registros[[#This Row],[Cliente]],Cliente_Region[],2,FALSE)</f>
        <v>Colombia</v>
      </c>
      <c r="H2268" s="3" t="str">
        <f>VLOOKUP(Registros[[#This Row],[Producto]],Producto[],2,FALSE)</f>
        <v>DONANY</v>
      </c>
    </row>
    <row r="2269" spans="1:8" ht="20.100000000000001" customHeight="1" x14ac:dyDescent="0.25">
      <c r="A2269" s="3" t="s">
        <v>245</v>
      </c>
      <c r="B2269" s="3" t="s">
        <v>373</v>
      </c>
      <c r="C2269" s="3">
        <v>2022</v>
      </c>
      <c r="D2269" s="4">
        <v>2</v>
      </c>
      <c r="E2269" s="5">
        <v>260</v>
      </c>
      <c r="F2269" s="5">
        <v>69.11</v>
      </c>
      <c r="G2269" s="3" t="str">
        <f>VLOOKUP(Registros[[#This Row],[Cliente]],Cliente_Region[],2,FALSE)</f>
        <v>Colombia</v>
      </c>
      <c r="H2269" s="3" t="str">
        <f>VLOOKUP(Registros[[#This Row],[Producto]],Producto[],2,FALSE)</f>
        <v>CHOTUS</v>
      </c>
    </row>
    <row r="2270" spans="1:8" ht="20.100000000000001" customHeight="1" x14ac:dyDescent="0.25">
      <c r="A2270" s="3" t="s">
        <v>172</v>
      </c>
      <c r="B2270" s="3" t="s">
        <v>373</v>
      </c>
      <c r="C2270" s="3">
        <v>2022</v>
      </c>
      <c r="D2270" s="4">
        <v>5</v>
      </c>
      <c r="E2270" s="5">
        <v>720</v>
      </c>
      <c r="F2270" s="5">
        <v>397.4</v>
      </c>
      <c r="G2270" s="3" t="str">
        <f>VLOOKUP(Registros[[#This Row],[Cliente]],Cliente_Region[],2,FALSE)</f>
        <v>Colombia</v>
      </c>
      <c r="H2270" s="3" t="str">
        <f>VLOOKUP(Registros[[#This Row],[Producto]],Producto[],2,FALSE)</f>
        <v>SALF</v>
      </c>
    </row>
    <row r="2271" spans="1:8" ht="20.100000000000001" customHeight="1" x14ac:dyDescent="0.25">
      <c r="A2271" s="3" t="s">
        <v>253</v>
      </c>
      <c r="B2271" s="3" t="s">
        <v>374</v>
      </c>
      <c r="C2271" s="3">
        <v>2022</v>
      </c>
      <c r="D2271" s="4">
        <v>1</v>
      </c>
      <c r="E2271" s="5">
        <v>268.75</v>
      </c>
      <c r="F2271" s="5">
        <v>59.56</v>
      </c>
      <c r="G2271" s="3" t="str">
        <f>VLOOKUP(Registros[[#This Row],[Cliente]],Cliente_Region[],2,FALSE)</f>
        <v>Colombia</v>
      </c>
      <c r="H2271" s="3" t="str">
        <f>VLOOKUP(Registros[[#This Row],[Producto]],Producto[],2,FALSE)</f>
        <v>LAX</v>
      </c>
    </row>
    <row r="2272" spans="1:8" ht="20.100000000000001" customHeight="1" x14ac:dyDescent="0.25">
      <c r="A2272" s="3" t="s">
        <v>14</v>
      </c>
      <c r="B2272" s="3" t="s">
        <v>374</v>
      </c>
      <c r="C2272" s="3">
        <v>2022</v>
      </c>
      <c r="D2272" s="4">
        <v>2</v>
      </c>
      <c r="E2272" s="5">
        <v>185.9</v>
      </c>
      <c r="F2272" s="5">
        <v>55.76</v>
      </c>
      <c r="G2272" s="3" t="str">
        <f>VLOOKUP(Registros[[#This Row],[Cliente]],Cliente_Region[],2,FALSE)</f>
        <v>Colombia</v>
      </c>
      <c r="H2272" s="3" t="str">
        <f>VLOOKUP(Registros[[#This Row],[Producto]],Producto[],2,FALSE)</f>
        <v>SALF</v>
      </c>
    </row>
    <row r="2273" spans="1:8" ht="20.100000000000001" customHeight="1" x14ac:dyDescent="0.25">
      <c r="A2273" s="3" t="s">
        <v>14</v>
      </c>
      <c r="B2273" s="3" t="s">
        <v>374</v>
      </c>
      <c r="C2273" s="3">
        <v>2022</v>
      </c>
      <c r="D2273" s="4">
        <v>3</v>
      </c>
      <c r="E2273" s="5">
        <v>270.25</v>
      </c>
      <c r="F2273" s="5">
        <v>40.28</v>
      </c>
      <c r="G2273" s="3" t="str">
        <f>VLOOKUP(Registros[[#This Row],[Cliente]],Cliente_Region[],2,FALSE)</f>
        <v>Colombia</v>
      </c>
      <c r="H2273" s="3" t="str">
        <f>VLOOKUP(Registros[[#This Row],[Producto]],Producto[],2,FALSE)</f>
        <v>SALF</v>
      </c>
    </row>
    <row r="2274" spans="1:8" ht="20.100000000000001" customHeight="1" x14ac:dyDescent="0.25">
      <c r="A2274" s="3" t="s">
        <v>14</v>
      </c>
      <c r="B2274" s="3" t="s">
        <v>374</v>
      </c>
      <c r="C2274" s="3">
        <v>2022</v>
      </c>
      <c r="D2274" s="4">
        <v>4</v>
      </c>
      <c r="E2274" s="5">
        <v>47</v>
      </c>
      <c r="F2274" s="5">
        <v>7.13</v>
      </c>
      <c r="G2274" s="3" t="str">
        <f>VLOOKUP(Registros[[#This Row],[Cliente]],Cliente_Region[],2,FALSE)</f>
        <v>Colombia</v>
      </c>
      <c r="H2274" s="3" t="str">
        <f>VLOOKUP(Registros[[#This Row],[Producto]],Producto[],2,FALSE)</f>
        <v>SALF</v>
      </c>
    </row>
    <row r="2275" spans="1:8" ht="20.100000000000001" customHeight="1" x14ac:dyDescent="0.25">
      <c r="A2275" s="3" t="s">
        <v>13</v>
      </c>
      <c r="B2275" s="3" t="s">
        <v>374</v>
      </c>
      <c r="C2275" s="3">
        <v>2022</v>
      </c>
      <c r="D2275" s="4">
        <v>1</v>
      </c>
      <c r="E2275" s="5">
        <v>212.4</v>
      </c>
      <c r="F2275" s="5">
        <v>60.92</v>
      </c>
      <c r="G2275" s="3" t="str">
        <f>VLOOKUP(Registros[[#This Row],[Cliente]],Cliente_Region[],2,FALSE)</f>
        <v>Colombia</v>
      </c>
      <c r="H2275" s="3" t="str">
        <f>VLOOKUP(Registros[[#This Row],[Producto]],Producto[],2,FALSE)</f>
        <v>DAWNE</v>
      </c>
    </row>
    <row r="2276" spans="1:8" ht="20.100000000000001" customHeight="1" x14ac:dyDescent="0.25">
      <c r="A2276" s="3" t="s">
        <v>14</v>
      </c>
      <c r="B2276" s="3" t="s">
        <v>374</v>
      </c>
      <c r="C2276" s="3">
        <v>2022</v>
      </c>
      <c r="D2276" s="4">
        <v>2</v>
      </c>
      <c r="E2276" s="5">
        <v>155</v>
      </c>
      <c r="F2276" s="5">
        <v>59.25</v>
      </c>
      <c r="G2276" s="3" t="str">
        <f>VLOOKUP(Registros[[#This Row],[Cliente]],Cliente_Region[],2,FALSE)</f>
        <v>Colombia</v>
      </c>
      <c r="H2276" s="3" t="str">
        <f>VLOOKUP(Registros[[#This Row],[Producto]],Producto[],2,FALSE)</f>
        <v>SALF</v>
      </c>
    </row>
    <row r="2277" spans="1:8" ht="20.100000000000001" customHeight="1" x14ac:dyDescent="0.25">
      <c r="A2277" s="3" t="s">
        <v>14</v>
      </c>
      <c r="B2277" s="3" t="s">
        <v>374</v>
      </c>
      <c r="C2277" s="3">
        <v>2022</v>
      </c>
      <c r="D2277" s="4">
        <v>3</v>
      </c>
      <c r="E2277" s="5">
        <v>187.2</v>
      </c>
      <c r="F2277" s="5">
        <v>33.770000000000003</v>
      </c>
      <c r="G2277" s="3" t="str">
        <f>VLOOKUP(Registros[[#This Row],[Cliente]],Cliente_Region[],2,FALSE)</f>
        <v>Colombia</v>
      </c>
      <c r="H2277" s="3" t="str">
        <f>VLOOKUP(Registros[[#This Row],[Producto]],Producto[],2,FALSE)</f>
        <v>SALF</v>
      </c>
    </row>
    <row r="2278" spans="1:8" ht="20.100000000000001" customHeight="1" x14ac:dyDescent="0.25">
      <c r="A2278" s="3" t="s">
        <v>14</v>
      </c>
      <c r="B2278" s="3" t="s">
        <v>374</v>
      </c>
      <c r="C2278" s="3">
        <v>2022</v>
      </c>
      <c r="D2278" s="4">
        <v>4</v>
      </c>
      <c r="E2278" s="5">
        <v>23.4</v>
      </c>
      <c r="F2278" s="5">
        <v>4.09</v>
      </c>
      <c r="G2278" s="3" t="str">
        <f>VLOOKUP(Registros[[#This Row],[Cliente]],Cliente_Region[],2,FALSE)</f>
        <v>Colombia</v>
      </c>
      <c r="H2278" s="3" t="str">
        <f>VLOOKUP(Registros[[#This Row],[Producto]],Producto[],2,FALSE)</f>
        <v>SALF</v>
      </c>
    </row>
    <row r="2279" spans="1:8" ht="20.100000000000001" customHeight="1" x14ac:dyDescent="0.25">
      <c r="A2279" s="3" t="s">
        <v>335</v>
      </c>
      <c r="B2279" s="3" t="s">
        <v>374</v>
      </c>
      <c r="C2279" s="3">
        <v>2022</v>
      </c>
      <c r="D2279" s="4">
        <v>1</v>
      </c>
      <c r="E2279" s="5">
        <v>157.75</v>
      </c>
      <c r="F2279" s="5">
        <v>65.81</v>
      </c>
      <c r="G2279" s="3" t="str">
        <f>VLOOKUP(Registros[[#This Row],[Cliente]],Cliente_Region[],2,FALSE)</f>
        <v>Colombia</v>
      </c>
      <c r="H2279" s="3" t="str">
        <f>VLOOKUP(Registros[[#This Row],[Producto]],Producto[],2,FALSE)</f>
        <v>GAMBO</v>
      </c>
    </row>
    <row r="2280" spans="1:8" ht="20.100000000000001" customHeight="1" x14ac:dyDescent="0.25">
      <c r="A2280" s="3" t="s">
        <v>336</v>
      </c>
      <c r="B2280" s="3" t="s">
        <v>374</v>
      </c>
      <c r="C2280" s="3">
        <v>2022</v>
      </c>
      <c r="D2280" s="4">
        <v>2</v>
      </c>
      <c r="E2280" s="5">
        <v>51.99</v>
      </c>
      <c r="F2280" s="5">
        <v>24.58</v>
      </c>
      <c r="G2280" s="3" t="str">
        <f>VLOOKUP(Registros[[#This Row],[Cliente]],Cliente_Region[],2,FALSE)</f>
        <v>Colombia</v>
      </c>
      <c r="H2280" s="3" t="str">
        <f>VLOOKUP(Registros[[#This Row],[Producto]],Producto[],2,FALSE)</f>
        <v>LAX</v>
      </c>
    </row>
    <row r="2281" spans="1:8" ht="20.100000000000001" customHeight="1" x14ac:dyDescent="0.25">
      <c r="A2281" s="3" t="s">
        <v>336</v>
      </c>
      <c r="B2281" s="3" t="s">
        <v>374</v>
      </c>
      <c r="C2281" s="3">
        <v>2022</v>
      </c>
      <c r="D2281" s="4">
        <v>3</v>
      </c>
      <c r="E2281" s="5">
        <v>88.8</v>
      </c>
      <c r="F2281" s="5">
        <v>33.97</v>
      </c>
      <c r="G2281" s="3" t="str">
        <f>VLOOKUP(Registros[[#This Row],[Cliente]],Cliente_Region[],2,FALSE)</f>
        <v>Colombia</v>
      </c>
      <c r="H2281" s="3" t="str">
        <f>VLOOKUP(Registros[[#This Row],[Producto]],Producto[],2,FALSE)</f>
        <v>LAX</v>
      </c>
    </row>
    <row r="2282" spans="1:8" ht="20.100000000000001" customHeight="1" x14ac:dyDescent="0.25">
      <c r="A2282" s="3" t="s">
        <v>336</v>
      </c>
      <c r="B2282" s="3" t="s">
        <v>374</v>
      </c>
      <c r="C2282" s="3">
        <v>2022</v>
      </c>
      <c r="D2282" s="4">
        <v>4</v>
      </c>
      <c r="E2282" s="5">
        <v>14.8</v>
      </c>
      <c r="F2282" s="5">
        <v>5.66</v>
      </c>
      <c r="G2282" s="3" t="str">
        <f>VLOOKUP(Registros[[#This Row],[Cliente]],Cliente_Region[],2,FALSE)</f>
        <v>Colombia</v>
      </c>
      <c r="H2282" s="3" t="str">
        <f>VLOOKUP(Registros[[#This Row],[Producto]],Producto[],2,FALSE)</f>
        <v>LAX</v>
      </c>
    </row>
    <row r="2283" spans="1:8" ht="20.100000000000001" customHeight="1" x14ac:dyDescent="0.25">
      <c r="A2283" s="3" t="s">
        <v>234</v>
      </c>
      <c r="B2283" s="3" t="s">
        <v>374</v>
      </c>
      <c r="C2283" s="3">
        <v>2022</v>
      </c>
      <c r="D2283" s="4">
        <v>2</v>
      </c>
      <c r="E2283" s="5">
        <v>88</v>
      </c>
      <c r="F2283" s="5">
        <v>53.04</v>
      </c>
      <c r="G2283" s="3" t="str">
        <f>VLOOKUP(Registros[[#This Row],[Cliente]],Cliente_Region[],2,FALSE)</f>
        <v>Colombia</v>
      </c>
      <c r="H2283" s="3" t="str">
        <f>VLOOKUP(Registros[[#This Row],[Producto]],Producto[],2,FALSE)</f>
        <v>SALF</v>
      </c>
    </row>
    <row r="2284" spans="1:8" ht="20.100000000000001" customHeight="1" x14ac:dyDescent="0.25">
      <c r="A2284" s="3" t="s">
        <v>235</v>
      </c>
      <c r="B2284" s="3" t="s">
        <v>374</v>
      </c>
      <c r="C2284" s="3">
        <v>2022</v>
      </c>
      <c r="D2284" s="4">
        <v>4</v>
      </c>
      <c r="E2284" s="5">
        <v>40</v>
      </c>
      <c r="F2284" s="5">
        <v>21.85</v>
      </c>
      <c r="G2284" s="3" t="str">
        <f>VLOOKUP(Registros[[#This Row],[Cliente]],Cliente_Region[],2,FALSE)</f>
        <v>Colombia</v>
      </c>
      <c r="H2284" s="3" t="str">
        <f>VLOOKUP(Registros[[#This Row],[Producto]],Producto[],2,FALSE)</f>
        <v>SALF</v>
      </c>
    </row>
    <row r="2285" spans="1:8" ht="20.100000000000001" customHeight="1" x14ac:dyDescent="0.25">
      <c r="A2285" s="3" t="s">
        <v>240</v>
      </c>
      <c r="B2285" s="3" t="s">
        <v>374</v>
      </c>
      <c r="C2285" s="3">
        <v>2022</v>
      </c>
      <c r="D2285" s="4">
        <v>1</v>
      </c>
      <c r="E2285" s="5">
        <v>77.5</v>
      </c>
      <c r="F2285" s="5">
        <v>35.97</v>
      </c>
      <c r="G2285" s="3" t="str">
        <f>VLOOKUP(Registros[[#This Row],[Cliente]],Cliente_Region[],2,FALSE)</f>
        <v>Colombia</v>
      </c>
      <c r="H2285" s="3" t="str">
        <f>VLOOKUP(Registros[[#This Row],[Producto]],Producto[],2,FALSE)</f>
        <v>SALF</v>
      </c>
    </row>
    <row r="2286" spans="1:8" ht="20.100000000000001" customHeight="1" x14ac:dyDescent="0.25">
      <c r="A2286" s="3" t="s">
        <v>241</v>
      </c>
      <c r="B2286" s="3" t="s">
        <v>374</v>
      </c>
      <c r="C2286" s="3">
        <v>2022</v>
      </c>
      <c r="D2286" s="4">
        <v>2</v>
      </c>
      <c r="E2286" s="5">
        <v>15.5</v>
      </c>
      <c r="F2286" s="5">
        <v>7.2</v>
      </c>
      <c r="G2286" s="3" t="str">
        <f>VLOOKUP(Registros[[#This Row],[Cliente]],Cliente_Region[],2,FALSE)</f>
        <v>Colombia</v>
      </c>
      <c r="H2286" s="3" t="str">
        <f>VLOOKUP(Registros[[#This Row],[Producto]],Producto[],2,FALSE)</f>
        <v>CHOTUS</v>
      </c>
    </row>
    <row r="2287" spans="1:8" ht="20.100000000000001" customHeight="1" x14ac:dyDescent="0.25">
      <c r="A2287" s="3" t="s">
        <v>241</v>
      </c>
      <c r="B2287" s="3" t="s">
        <v>374</v>
      </c>
      <c r="C2287" s="3">
        <v>2022</v>
      </c>
      <c r="D2287" s="4">
        <v>3</v>
      </c>
      <c r="E2287" s="5">
        <v>62</v>
      </c>
      <c r="F2287" s="5">
        <v>28.8</v>
      </c>
      <c r="G2287" s="3" t="str">
        <f>VLOOKUP(Registros[[#This Row],[Cliente]],Cliente_Region[],2,FALSE)</f>
        <v>Colombia</v>
      </c>
      <c r="H2287" s="3" t="str">
        <f>VLOOKUP(Registros[[#This Row],[Producto]],Producto[],2,FALSE)</f>
        <v>CHOTUS</v>
      </c>
    </row>
    <row r="2288" spans="1:8" ht="20.100000000000001" customHeight="1" x14ac:dyDescent="0.25">
      <c r="A2288" s="3" t="s">
        <v>11</v>
      </c>
      <c r="B2288" s="3" t="s">
        <v>374</v>
      </c>
      <c r="C2288" s="3">
        <v>2022</v>
      </c>
      <c r="D2288" s="4">
        <v>1</v>
      </c>
      <c r="E2288" s="5">
        <v>301.25</v>
      </c>
      <c r="F2288" s="5">
        <v>139.91</v>
      </c>
      <c r="G2288" s="3" t="str">
        <f>VLOOKUP(Registros[[#This Row],[Cliente]],Cliente_Region[],2,FALSE)</f>
        <v>Colombia</v>
      </c>
      <c r="H2288" s="3" t="str">
        <f>VLOOKUP(Registros[[#This Row],[Producto]],Producto[],2,FALSE)</f>
        <v>DONANY</v>
      </c>
    </row>
    <row r="2289" spans="1:8" ht="20.100000000000001" customHeight="1" x14ac:dyDescent="0.25">
      <c r="A2289" s="3" t="s">
        <v>292</v>
      </c>
      <c r="B2289" s="3" t="s">
        <v>374</v>
      </c>
      <c r="C2289" s="3">
        <v>2022</v>
      </c>
      <c r="D2289" s="4">
        <v>2</v>
      </c>
      <c r="E2289" s="5">
        <v>235.22</v>
      </c>
      <c r="F2289" s="5">
        <v>121.69</v>
      </c>
      <c r="G2289" s="3" t="str">
        <f>VLOOKUP(Registros[[#This Row],[Cliente]],Cliente_Region[],2,FALSE)</f>
        <v>Colombia</v>
      </c>
      <c r="H2289" s="3" t="str">
        <f>VLOOKUP(Registros[[#This Row],[Producto]],Producto[],2,FALSE)</f>
        <v>QUOKAR</v>
      </c>
    </row>
    <row r="2290" spans="1:8" ht="20.100000000000001" customHeight="1" x14ac:dyDescent="0.25">
      <c r="A2290" s="3" t="s">
        <v>292</v>
      </c>
      <c r="B2290" s="3" t="s">
        <v>374</v>
      </c>
      <c r="C2290" s="3">
        <v>2022</v>
      </c>
      <c r="D2290" s="4">
        <v>3</v>
      </c>
      <c r="E2290" s="5">
        <v>328</v>
      </c>
      <c r="F2290" s="5">
        <v>136.79</v>
      </c>
      <c r="G2290" s="3" t="str">
        <f>VLOOKUP(Registros[[#This Row],[Cliente]],Cliente_Region[],2,FALSE)</f>
        <v>Colombia</v>
      </c>
      <c r="H2290" s="3" t="str">
        <f>VLOOKUP(Registros[[#This Row],[Producto]],Producto[],2,FALSE)</f>
        <v>QUOKAR</v>
      </c>
    </row>
    <row r="2291" spans="1:8" ht="20.100000000000001" customHeight="1" x14ac:dyDescent="0.25">
      <c r="A2291" s="3" t="s">
        <v>292</v>
      </c>
      <c r="B2291" s="3" t="s">
        <v>374</v>
      </c>
      <c r="C2291" s="3">
        <v>2022</v>
      </c>
      <c r="D2291" s="4">
        <v>4</v>
      </c>
      <c r="E2291" s="5">
        <v>61.5</v>
      </c>
      <c r="F2291" s="5">
        <v>25.65</v>
      </c>
      <c r="G2291" s="3" t="str">
        <f>VLOOKUP(Registros[[#This Row],[Cliente]],Cliente_Region[],2,FALSE)</f>
        <v>Colombia</v>
      </c>
      <c r="H2291" s="3" t="str">
        <f>VLOOKUP(Registros[[#This Row],[Producto]],Producto[],2,FALSE)</f>
        <v>QUOKAR</v>
      </c>
    </row>
    <row r="2292" spans="1:8" ht="20.100000000000001" customHeight="1" x14ac:dyDescent="0.25">
      <c r="A2292" s="3" t="s">
        <v>375</v>
      </c>
      <c r="B2292" s="3" t="s">
        <v>374</v>
      </c>
      <c r="C2292" s="3">
        <v>2022</v>
      </c>
      <c r="D2292" s="4">
        <v>1</v>
      </c>
      <c r="E2292" s="5">
        <v>72.599999999999994</v>
      </c>
      <c r="F2292" s="5">
        <v>35.4</v>
      </c>
      <c r="G2292" s="3" t="str">
        <f>VLOOKUP(Registros[[#This Row],[Cliente]],Cliente_Region[],2,FALSE)</f>
        <v>Colombia</v>
      </c>
      <c r="H2292" s="3" t="str">
        <f>VLOOKUP(Registros[[#This Row],[Producto]],Producto[],2,FALSE)</f>
        <v>DONANY</v>
      </c>
    </row>
    <row r="2293" spans="1:8" ht="20.100000000000001" customHeight="1" x14ac:dyDescent="0.25">
      <c r="A2293" s="3" t="s">
        <v>376</v>
      </c>
      <c r="B2293" s="3" t="s">
        <v>374</v>
      </c>
      <c r="C2293" s="3">
        <v>2022</v>
      </c>
      <c r="D2293" s="4">
        <v>2</v>
      </c>
      <c r="E2293" s="5">
        <v>50.25</v>
      </c>
      <c r="F2293" s="5">
        <v>22.35</v>
      </c>
      <c r="G2293" s="3" t="str">
        <f>VLOOKUP(Registros[[#This Row],[Cliente]],Cliente_Region[],2,FALSE)</f>
        <v>Colombia</v>
      </c>
      <c r="H2293" s="3" t="str">
        <f>VLOOKUP(Registros[[#This Row],[Producto]],Producto[],2,FALSE)</f>
        <v>QUOKAR</v>
      </c>
    </row>
    <row r="2294" spans="1:8" ht="20.100000000000001" customHeight="1" x14ac:dyDescent="0.25">
      <c r="A2294" s="3" t="s">
        <v>376</v>
      </c>
      <c r="B2294" s="3" t="s">
        <v>374</v>
      </c>
      <c r="C2294" s="3">
        <v>2022</v>
      </c>
      <c r="D2294" s="4">
        <v>3</v>
      </c>
      <c r="E2294" s="5">
        <v>69.2</v>
      </c>
      <c r="F2294" s="5">
        <v>32</v>
      </c>
      <c r="G2294" s="3" t="str">
        <f>VLOOKUP(Registros[[#This Row],[Cliente]],Cliente_Region[],2,FALSE)</f>
        <v>Colombia</v>
      </c>
      <c r="H2294" s="3" t="str">
        <f>VLOOKUP(Registros[[#This Row],[Producto]],Producto[],2,FALSE)</f>
        <v>QUOKAR</v>
      </c>
    </row>
    <row r="2295" spans="1:8" ht="20.100000000000001" customHeight="1" x14ac:dyDescent="0.25">
      <c r="A2295" s="3" t="s">
        <v>376</v>
      </c>
      <c r="B2295" s="3" t="s">
        <v>374</v>
      </c>
      <c r="C2295" s="3">
        <v>2022</v>
      </c>
      <c r="D2295" s="4">
        <v>4</v>
      </c>
      <c r="E2295" s="5">
        <v>18.5</v>
      </c>
      <c r="F2295" s="5">
        <v>9.1999999999999993</v>
      </c>
      <c r="G2295" s="3" t="str">
        <f>VLOOKUP(Registros[[#This Row],[Cliente]],Cliente_Region[],2,FALSE)</f>
        <v>Colombia</v>
      </c>
      <c r="H2295" s="3" t="str">
        <f>VLOOKUP(Registros[[#This Row],[Producto]],Producto[],2,FALSE)</f>
        <v>QUOKAR</v>
      </c>
    </row>
    <row r="2296" spans="1:8" ht="20.100000000000001" customHeight="1" x14ac:dyDescent="0.25">
      <c r="A2296" s="3" t="s">
        <v>136</v>
      </c>
      <c r="B2296" s="3" t="s">
        <v>377</v>
      </c>
      <c r="C2296" s="3">
        <v>2022</v>
      </c>
      <c r="D2296" s="4">
        <v>3</v>
      </c>
      <c r="E2296" s="5">
        <v>278.25</v>
      </c>
      <c r="F2296" s="5">
        <v>-68.239999999999995</v>
      </c>
      <c r="G2296" s="3" t="str">
        <f>VLOOKUP(Registros[[#This Row],[Cliente]],Cliente_Region[],2,FALSE)</f>
        <v>Mexico</v>
      </c>
      <c r="H2296" s="3" t="str">
        <f>VLOOKUP(Registros[[#This Row],[Producto]],Producto[],2,FALSE)</f>
        <v>CHOTUS</v>
      </c>
    </row>
    <row r="2297" spans="1:8" ht="20.100000000000001" customHeight="1" x14ac:dyDescent="0.25">
      <c r="A2297" s="3" t="s">
        <v>378</v>
      </c>
      <c r="B2297" s="3" t="s">
        <v>377</v>
      </c>
      <c r="C2297" s="3">
        <v>2022</v>
      </c>
      <c r="D2297" s="4">
        <v>3</v>
      </c>
      <c r="E2297" s="5">
        <v>52.5</v>
      </c>
      <c r="F2297" s="5">
        <v>30</v>
      </c>
      <c r="G2297" s="3" t="str">
        <f>VLOOKUP(Registros[[#This Row],[Cliente]],Cliente_Region[],2,FALSE)</f>
        <v>Mexico</v>
      </c>
      <c r="H2297" s="3" t="str">
        <f>VLOOKUP(Registros[[#This Row],[Producto]],Producto[],2,FALSE)</f>
        <v>QUOKAR</v>
      </c>
    </row>
    <row r="2298" spans="1:8" ht="20.100000000000001" customHeight="1" x14ac:dyDescent="0.25">
      <c r="A2298" s="3" t="s">
        <v>74</v>
      </c>
      <c r="B2298" s="3" t="s">
        <v>377</v>
      </c>
      <c r="C2298" s="3">
        <v>2022</v>
      </c>
      <c r="D2298" s="4">
        <v>3</v>
      </c>
      <c r="E2298" s="5">
        <v>27.75</v>
      </c>
      <c r="F2298" s="5">
        <v>-10.35</v>
      </c>
      <c r="G2298" s="3" t="str">
        <f>VLOOKUP(Registros[[#This Row],[Cliente]],Cliente_Region[],2,FALSE)</f>
        <v>Mexico</v>
      </c>
      <c r="H2298" s="3" t="str">
        <f>VLOOKUP(Registros[[#This Row],[Producto]],Producto[],2,FALSE)</f>
        <v>CHOTUS</v>
      </c>
    </row>
    <row r="2299" spans="1:8" ht="20.100000000000001" customHeight="1" x14ac:dyDescent="0.25">
      <c r="A2299" s="3" t="s">
        <v>11</v>
      </c>
      <c r="B2299" s="3" t="s">
        <v>379</v>
      </c>
      <c r="C2299" s="3">
        <v>2022</v>
      </c>
      <c r="D2299" s="4">
        <v>1</v>
      </c>
      <c r="E2299" s="5">
        <v>164.25</v>
      </c>
      <c r="F2299" s="5">
        <v>74.599999999999994</v>
      </c>
      <c r="G2299" s="3" t="str">
        <f>VLOOKUP(Registros[[#This Row],[Cliente]],Cliente_Region[],2,FALSE)</f>
        <v>Canada</v>
      </c>
      <c r="H2299" s="3" t="str">
        <f>VLOOKUP(Registros[[#This Row],[Producto]],Producto[],2,FALSE)</f>
        <v>DONANY</v>
      </c>
    </row>
    <row r="2300" spans="1:8" ht="20.100000000000001" customHeight="1" x14ac:dyDescent="0.25">
      <c r="A2300" s="3" t="s">
        <v>292</v>
      </c>
      <c r="B2300" s="3" t="s">
        <v>379</v>
      </c>
      <c r="C2300" s="3">
        <v>2022</v>
      </c>
      <c r="D2300" s="4">
        <v>2</v>
      </c>
      <c r="E2300" s="5">
        <v>148.56</v>
      </c>
      <c r="F2300" s="5">
        <v>76.84</v>
      </c>
      <c r="G2300" s="3" t="str">
        <f>VLOOKUP(Registros[[#This Row],[Cliente]],Cliente_Region[],2,FALSE)</f>
        <v>Canada</v>
      </c>
      <c r="H2300" s="3" t="str">
        <f>VLOOKUP(Registros[[#This Row],[Producto]],Producto[],2,FALSE)</f>
        <v>QUOKAR</v>
      </c>
    </row>
    <row r="2301" spans="1:8" ht="20.100000000000001" customHeight="1" x14ac:dyDescent="0.25">
      <c r="A2301" s="3" t="s">
        <v>292</v>
      </c>
      <c r="B2301" s="3" t="s">
        <v>379</v>
      </c>
      <c r="C2301" s="3">
        <v>2022</v>
      </c>
      <c r="D2301" s="4">
        <v>3</v>
      </c>
      <c r="E2301" s="5">
        <v>123</v>
      </c>
      <c r="F2301" s="5">
        <v>51.28</v>
      </c>
      <c r="G2301" s="3" t="str">
        <f>VLOOKUP(Registros[[#This Row],[Cliente]],Cliente_Region[],2,FALSE)</f>
        <v>Canada</v>
      </c>
      <c r="H2301" s="3" t="str">
        <f>VLOOKUP(Registros[[#This Row],[Producto]],Producto[],2,FALSE)</f>
        <v>QUOKAR</v>
      </c>
    </row>
    <row r="2302" spans="1:8" ht="20.100000000000001" customHeight="1" x14ac:dyDescent="0.25">
      <c r="A2302" s="3" t="s">
        <v>292</v>
      </c>
      <c r="B2302" s="3" t="s">
        <v>379</v>
      </c>
      <c r="C2302" s="3">
        <v>2022</v>
      </c>
      <c r="D2302" s="4">
        <v>4</v>
      </c>
      <c r="E2302" s="5">
        <v>143.25</v>
      </c>
      <c r="F2302" s="5">
        <v>71.53</v>
      </c>
      <c r="G2302" s="3" t="str">
        <f>VLOOKUP(Registros[[#This Row],[Cliente]],Cliente_Region[],2,FALSE)</f>
        <v>Canada</v>
      </c>
      <c r="H2302" s="3" t="str">
        <f>VLOOKUP(Registros[[#This Row],[Producto]],Producto[],2,FALSE)</f>
        <v>QUOKAR</v>
      </c>
    </row>
    <row r="2303" spans="1:8" ht="20.100000000000001" customHeight="1" x14ac:dyDescent="0.25">
      <c r="A2303" s="3" t="s">
        <v>292</v>
      </c>
      <c r="B2303" s="3" t="s">
        <v>379</v>
      </c>
      <c r="C2303" s="3">
        <v>2022</v>
      </c>
      <c r="D2303" s="4">
        <v>5</v>
      </c>
      <c r="E2303" s="5">
        <v>187.5</v>
      </c>
      <c r="F2303" s="5">
        <v>97.85</v>
      </c>
      <c r="G2303" s="3" t="str">
        <f>VLOOKUP(Registros[[#This Row],[Cliente]],Cliente_Region[],2,FALSE)</f>
        <v>Canada</v>
      </c>
      <c r="H2303" s="3" t="str">
        <f>VLOOKUP(Registros[[#This Row],[Producto]],Producto[],2,FALSE)</f>
        <v>QUOKAR</v>
      </c>
    </row>
    <row r="2304" spans="1:8" ht="20.100000000000001" customHeight="1" x14ac:dyDescent="0.25">
      <c r="A2304" s="3" t="s">
        <v>292</v>
      </c>
      <c r="B2304" s="3" t="s">
        <v>379</v>
      </c>
      <c r="C2304" s="3">
        <v>2022</v>
      </c>
      <c r="D2304" s="4">
        <v>6</v>
      </c>
      <c r="E2304" s="5">
        <v>150</v>
      </c>
      <c r="F2304" s="5">
        <v>78.28</v>
      </c>
      <c r="G2304" s="3" t="str">
        <f>VLOOKUP(Registros[[#This Row],[Cliente]],Cliente_Region[],2,FALSE)</f>
        <v>Canada</v>
      </c>
      <c r="H2304" s="3" t="str">
        <f>VLOOKUP(Registros[[#This Row],[Producto]],Producto[],2,FALSE)</f>
        <v>QUOKAR</v>
      </c>
    </row>
    <row r="2305" spans="1:8" ht="20.100000000000001" customHeight="1" x14ac:dyDescent="0.25">
      <c r="A2305" s="3" t="s">
        <v>293</v>
      </c>
      <c r="B2305" s="3" t="s">
        <v>379</v>
      </c>
      <c r="C2305" s="3">
        <v>2022</v>
      </c>
      <c r="D2305" s="4">
        <v>1</v>
      </c>
      <c r="E2305" s="5">
        <v>115.5</v>
      </c>
      <c r="F2305" s="5">
        <v>17.57</v>
      </c>
      <c r="G2305" s="3" t="str">
        <f>VLOOKUP(Registros[[#This Row],[Cliente]],Cliente_Region[],2,FALSE)</f>
        <v>Canada</v>
      </c>
      <c r="H2305" s="3" t="str">
        <f>VLOOKUP(Registros[[#This Row],[Producto]],Producto[],2,FALSE)</f>
        <v>QUOKAR</v>
      </c>
    </row>
    <row r="2306" spans="1:8" ht="20.100000000000001" customHeight="1" x14ac:dyDescent="0.25">
      <c r="A2306" s="3" t="s">
        <v>294</v>
      </c>
      <c r="B2306" s="3" t="s">
        <v>379</v>
      </c>
      <c r="C2306" s="3">
        <v>2022</v>
      </c>
      <c r="D2306" s="4">
        <v>2</v>
      </c>
      <c r="E2306" s="5">
        <v>99.04</v>
      </c>
      <c r="F2306" s="5">
        <v>20.76</v>
      </c>
      <c r="G2306" s="3" t="str">
        <f>VLOOKUP(Registros[[#This Row],[Cliente]],Cliente_Region[],2,FALSE)</f>
        <v>Canada</v>
      </c>
      <c r="H2306" s="3" t="str">
        <f>VLOOKUP(Registros[[#This Row],[Producto]],Producto[],2,FALSE)</f>
        <v>CHOTUS</v>
      </c>
    </row>
    <row r="2307" spans="1:8" ht="20.100000000000001" customHeight="1" x14ac:dyDescent="0.25">
      <c r="A2307" s="3" t="s">
        <v>294</v>
      </c>
      <c r="B2307" s="3" t="s">
        <v>379</v>
      </c>
      <c r="C2307" s="3">
        <v>2022</v>
      </c>
      <c r="D2307" s="4">
        <v>3</v>
      </c>
      <c r="E2307" s="5">
        <v>90</v>
      </c>
      <c r="F2307" s="5">
        <v>11.98</v>
      </c>
      <c r="G2307" s="3" t="str">
        <f>VLOOKUP(Registros[[#This Row],[Cliente]],Cliente_Region[],2,FALSE)</f>
        <v>Canada</v>
      </c>
      <c r="H2307" s="3" t="str">
        <f>VLOOKUP(Registros[[#This Row],[Producto]],Producto[],2,FALSE)</f>
        <v>CHOTUS</v>
      </c>
    </row>
    <row r="2308" spans="1:8" ht="20.100000000000001" customHeight="1" x14ac:dyDescent="0.25">
      <c r="A2308" s="3" t="s">
        <v>294</v>
      </c>
      <c r="B2308" s="3" t="s">
        <v>379</v>
      </c>
      <c r="C2308" s="3">
        <v>2022</v>
      </c>
      <c r="D2308" s="4">
        <v>4</v>
      </c>
      <c r="E2308" s="5">
        <v>100.5</v>
      </c>
      <c r="F2308" s="5">
        <v>23.84</v>
      </c>
      <c r="G2308" s="3" t="str">
        <f>VLOOKUP(Registros[[#This Row],[Cliente]],Cliente_Region[],2,FALSE)</f>
        <v>Canada</v>
      </c>
      <c r="H2308" s="3" t="str">
        <f>VLOOKUP(Registros[[#This Row],[Producto]],Producto[],2,FALSE)</f>
        <v>CHOTUS</v>
      </c>
    </row>
    <row r="2309" spans="1:8" ht="20.100000000000001" customHeight="1" x14ac:dyDescent="0.25">
      <c r="A2309" s="3" t="s">
        <v>294</v>
      </c>
      <c r="B2309" s="3" t="s">
        <v>379</v>
      </c>
      <c r="C2309" s="3">
        <v>2022</v>
      </c>
      <c r="D2309" s="4">
        <v>5</v>
      </c>
      <c r="E2309" s="5">
        <v>130</v>
      </c>
      <c r="F2309" s="5">
        <v>32.74</v>
      </c>
      <c r="G2309" s="3" t="str">
        <f>VLOOKUP(Registros[[#This Row],[Cliente]],Cliente_Region[],2,FALSE)</f>
        <v>Canada</v>
      </c>
      <c r="H2309" s="3" t="str">
        <f>VLOOKUP(Registros[[#This Row],[Producto]],Producto[],2,FALSE)</f>
        <v>CHOTUS</v>
      </c>
    </row>
    <row r="2310" spans="1:8" ht="20.100000000000001" customHeight="1" x14ac:dyDescent="0.25">
      <c r="A2310" s="3" t="s">
        <v>294</v>
      </c>
      <c r="B2310" s="3" t="s">
        <v>379</v>
      </c>
      <c r="C2310" s="3">
        <v>2022</v>
      </c>
      <c r="D2310" s="4">
        <v>6</v>
      </c>
      <c r="E2310" s="5">
        <v>104</v>
      </c>
      <c r="F2310" s="5">
        <v>25.61</v>
      </c>
      <c r="G2310" s="3" t="str">
        <f>VLOOKUP(Registros[[#This Row],[Cliente]],Cliente_Region[],2,FALSE)</f>
        <v>Canada</v>
      </c>
      <c r="H2310" s="3" t="str">
        <f>VLOOKUP(Registros[[#This Row],[Producto]],Producto[],2,FALSE)</f>
        <v>CHOTUS</v>
      </c>
    </row>
    <row r="2311" spans="1:8" ht="20.100000000000001" customHeight="1" x14ac:dyDescent="0.25">
      <c r="A2311" s="3" t="s">
        <v>304</v>
      </c>
      <c r="B2311" s="3" t="s">
        <v>379</v>
      </c>
      <c r="C2311" s="3">
        <v>2022</v>
      </c>
      <c r="D2311" s="4">
        <v>1</v>
      </c>
      <c r="E2311" s="5">
        <v>186.75</v>
      </c>
      <c r="F2311" s="5">
        <v>119.4</v>
      </c>
      <c r="G2311" s="3" t="str">
        <f>VLOOKUP(Registros[[#This Row],[Cliente]],Cliente_Region[],2,FALSE)</f>
        <v>Canada</v>
      </c>
      <c r="H2311" s="3" t="str">
        <f>VLOOKUP(Registros[[#This Row],[Producto]],Producto[],2,FALSE)</f>
        <v>QUOKAR</v>
      </c>
    </row>
    <row r="2312" spans="1:8" ht="20.100000000000001" customHeight="1" x14ac:dyDescent="0.25">
      <c r="A2312" s="3" t="s">
        <v>305</v>
      </c>
      <c r="B2312" s="3" t="s">
        <v>379</v>
      </c>
      <c r="C2312" s="3">
        <v>2022</v>
      </c>
      <c r="D2312" s="4">
        <v>2</v>
      </c>
      <c r="E2312" s="5">
        <v>171.6</v>
      </c>
      <c r="F2312" s="5">
        <v>117.72</v>
      </c>
      <c r="G2312" s="3" t="str">
        <f>VLOOKUP(Registros[[#This Row],[Cliente]],Cliente_Region[],2,FALSE)</f>
        <v>Canada</v>
      </c>
      <c r="H2312" s="3" t="str">
        <f>VLOOKUP(Registros[[#This Row],[Producto]],Producto[],2,FALSE)</f>
        <v>DAWNE</v>
      </c>
    </row>
    <row r="2313" spans="1:8" ht="20.100000000000001" customHeight="1" x14ac:dyDescent="0.25">
      <c r="A2313" s="3" t="s">
        <v>305</v>
      </c>
      <c r="B2313" s="3" t="s">
        <v>379</v>
      </c>
      <c r="C2313" s="3">
        <v>2022</v>
      </c>
      <c r="D2313" s="4">
        <v>3</v>
      </c>
      <c r="E2313" s="5">
        <v>141</v>
      </c>
      <c r="F2313" s="5">
        <v>87.12</v>
      </c>
      <c r="G2313" s="3" t="str">
        <f>VLOOKUP(Registros[[#This Row],[Cliente]],Cliente_Region[],2,FALSE)</f>
        <v>Canada</v>
      </c>
      <c r="H2313" s="3" t="str">
        <f>VLOOKUP(Registros[[#This Row],[Producto]],Producto[],2,FALSE)</f>
        <v>DAWNE</v>
      </c>
    </row>
    <row r="2314" spans="1:8" ht="20.100000000000001" customHeight="1" x14ac:dyDescent="0.25">
      <c r="A2314" s="3" t="s">
        <v>305</v>
      </c>
      <c r="B2314" s="3" t="s">
        <v>379</v>
      </c>
      <c r="C2314" s="3">
        <v>2022</v>
      </c>
      <c r="D2314" s="4">
        <v>4</v>
      </c>
      <c r="E2314" s="5">
        <v>165.75</v>
      </c>
      <c r="F2314" s="5">
        <v>111.87</v>
      </c>
      <c r="G2314" s="3" t="str">
        <f>VLOOKUP(Registros[[#This Row],[Cliente]],Cliente_Region[],2,FALSE)</f>
        <v>Canada</v>
      </c>
      <c r="H2314" s="3" t="str">
        <f>VLOOKUP(Registros[[#This Row],[Producto]],Producto[],2,FALSE)</f>
        <v>DAWNE</v>
      </c>
    </row>
    <row r="2315" spans="1:8" ht="20.100000000000001" customHeight="1" x14ac:dyDescent="0.25">
      <c r="A2315" s="3" t="s">
        <v>305</v>
      </c>
      <c r="B2315" s="3" t="s">
        <v>379</v>
      </c>
      <c r="C2315" s="3">
        <v>2022</v>
      </c>
      <c r="D2315" s="4">
        <v>5</v>
      </c>
      <c r="E2315" s="5">
        <v>217.5</v>
      </c>
      <c r="F2315" s="5">
        <v>150.15</v>
      </c>
      <c r="G2315" s="3" t="str">
        <f>VLOOKUP(Registros[[#This Row],[Cliente]],Cliente_Region[],2,FALSE)</f>
        <v>Canada</v>
      </c>
      <c r="H2315" s="3" t="str">
        <f>VLOOKUP(Registros[[#This Row],[Producto]],Producto[],2,FALSE)</f>
        <v>DAWNE</v>
      </c>
    </row>
    <row r="2316" spans="1:8" ht="20.100000000000001" customHeight="1" x14ac:dyDescent="0.25">
      <c r="A2316" s="3" t="s">
        <v>305</v>
      </c>
      <c r="B2316" s="3" t="s">
        <v>379</v>
      </c>
      <c r="C2316" s="3">
        <v>2022</v>
      </c>
      <c r="D2316" s="4">
        <v>6</v>
      </c>
      <c r="E2316" s="5">
        <v>174</v>
      </c>
      <c r="F2316" s="5">
        <v>120.12</v>
      </c>
      <c r="G2316" s="3" t="str">
        <f>VLOOKUP(Registros[[#This Row],[Cliente]],Cliente_Region[],2,FALSE)</f>
        <v>Canada</v>
      </c>
      <c r="H2316" s="3" t="str">
        <f>VLOOKUP(Registros[[#This Row],[Producto]],Producto[],2,FALSE)</f>
        <v>DAWNE</v>
      </c>
    </row>
    <row r="2317" spans="1:8" ht="20.100000000000001" customHeight="1" x14ac:dyDescent="0.25">
      <c r="A2317" s="3" t="s">
        <v>310</v>
      </c>
      <c r="B2317" s="3" t="s">
        <v>379</v>
      </c>
      <c r="C2317" s="3">
        <v>2022</v>
      </c>
      <c r="D2317" s="4">
        <v>1</v>
      </c>
      <c r="E2317" s="5">
        <v>76.5</v>
      </c>
      <c r="F2317" s="5">
        <v>48.9</v>
      </c>
      <c r="G2317" s="3" t="str">
        <f>VLOOKUP(Registros[[#This Row],[Cliente]],Cliente_Region[],2,FALSE)</f>
        <v>Canada</v>
      </c>
      <c r="H2317" s="3" t="str">
        <f>VLOOKUP(Registros[[#This Row],[Producto]],Producto[],2,FALSE)</f>
        <v>DONANY</v>
      </c>
    </row>
    <row r="2318" spans="1:8" ht="20.100000000000001" customHeight="1" x14ac:dyDescent="0.25">
      <c r="A2318" s="3" t="s">
        <v>311</v>
      </c>
      <c r="B2318" s="3" t="s">
        <v>379</v>
      </c>
      <c r="C2318" s="3">
        <v>2022</v>
      </c>
      <c r="D2318" s="4">
        <v>2</v>
      </c>
      <c r="E2318" s="5">
        <v>64.92</v>
      </c>
      <c r="F2318" s="5">
        <v>42.84</v>
      </c>
      <c r="G2318" s="3" t="str">
        <f>VLOOKUP(Registros[[#This Row],[Cliente]],Cliente_Region[],2,FALSE)</f>
        <v>Canada</v>
      </c>
      <c r="H2318" s="3" t="str">
        <f>VLOOKUP(Registros[[#This Row],[Producto]],Producto[],2,FALSE)</f>
        <v>CHOTUS</v>
      </c>
    </row>
    <row r="2319" spans="1:8" ht="20.100000000000001" customHeight="1" x14ac:dyDescent="0.25">
      <c r="A2319" s="3" t="s">
        <v>311</v>
      </c>
      <c r="B2319" s="3" t="s">
        <v>379</v>
      </c>
      <c r="C2319" s="3">
        <v>2022</v>
      </c>
      <c r="D2319" s="4">
        <v>3</v>
      </c>
      <c r="E2319" s="5">
        <v>58</v>
      </c>
      <c r="F2319" s="5">
        <v>35.92</v>
      </c>
      <c r="G2319" s="3" t="str">
        <f>VLOOKUP(Registros[[#This Row],[Cliente]],Cliente_Region[],2,FALSE)</f>
        <v>Canada</v>
      </c>
      <c r="H2319" s="3" t="str">
        <f>VLOOKUP(Registros[[#This Row],[Producto]],Producto[],2,FALSE)</f>
        <v>CHOTUS</v>
      </c>
    </row>
    <row r="2320" spans="1:8" ht="20.100000000000001" customHeight="1" x14ac:dyDescent="0.25">
      <c r="A2320" s="3" t="s">
        <v>311</v>
      </c>
      <c r="B2320" s="3" t="s">
        <v>379</v>
      </c>
      <c r="C2320" s="3">
        <v>2022</v>
      </c>
      <c r="D2320" s="4">
        <v>4</v>
      </c>
      <c r="E2320" s="5">
        <v>64</v>
      </c>
      <c r="F2320" s="5">
        <v>41.92</v>
      </c>
      <c r="G2320" s="3" t="str">
        <f>VLOOKUP(Registros[[#This Row],[Cliente]],Cliente_Region[],2,FALSE)</f>
        <v>Canada</v>
      </c>
      <c r="H2320" s="3" t="str">
        <f>VLOOKUP(Registros[[#This Row],[Producto]],Producto[],2,FALSE)</f>
        <v>CHOTUS</v>
      </c>
    </row>
    <row r="2321" spans="1:8" ht="20.100000000000001" customHeight="1" x14ac:dyDescent="0.25">
      <c r="A2321" s="3" t="s">
        <v>311</v>
      </c>
      <c r="B2321" s="3" t="s">
        <v>379</v>
      </c>
      <c r="C2321" s="3">
        <v>2022</v>
      </c>
      <c r="D2321" s="4">
        <v>5</v>
      </c>
      <c r="E2321" s="5">
        <v>82.5</v>
      </c>
      <c r="F2321" s="5">
        <v>54.9</v>
      </c>
      <c r="G2321" s="3" t="str">
        <f>VLOOKUP(Registros[[#This Row],[Cliente]],Cliente_Region[],2,FALSE)</f>
        <v>Canada</v>
      </c>
      <c r="H2321" s="3" t="str">
        <f>VLOOKUP(Registros[[#This Row],[Producto]],Producto[],2,FALSE)</f>
        <v>CHOTUS</v>
      </c>
    </row>
    <row r="2322" spans="1:8" ht="20.100000000000001" customHeight="1" x14ac:dyDescent="0.25">
      <c r="A2322" s="3" t="s">
        <v>311</v>
      </c>
      <c r="B2322" s="3" t="s">
        <v>379</v>
      </c>
      <c r="C2322" s="3">
        <v>2022</v>
      </c>
      <c r="D2322" s="4">
        <v>6</v>
      </c>
      <c r="E2322" s="5">
        <v>66</v>
      </c>
      <c r="F2322" s="5">
        <v>43.92</v>
      </c>
      <c r="G2322" s="3" t="str">
        <f>VLOOKUP(Registros[[#This Row],[Cliente]],Cliente_Region[],2,FALSE)</f>
        <v>Canada</v>
      </c>
      <c r="H2322" s="3" t="str">
        <f>VLOOKUP(Registros[[#This Row],[Producto]],Producto[],2,FALSE)</f>
        <v>CHOTUS</v>
      </c>
    </row>
    <row r="2323" spans="1:8" ht="20.100000000000001" customHeight="1" x14ac:dyDescent="0.25">
      <c r="A2323" s="3" t="s">
        <v>301</v>
      </c>
      <c r="B2323" s="3" t="s">
        <v>379</v>
      </c>
      <c r="C2323" s="3">
        <v>2022</v>
      </c>
      <c r="D2323" s="4">
        <v>1</v>
      </c>
      <c r="E2323" s="5">
        <v>92.5</v>
      </c>
      <c r="F2323" s="5">
        <v>46.8</v>
      </c>
      <c r="G2323" s="3" t="str">
        <f>VLOOKUP(Registros[[#This Row],[Cliente]],Cliente_Region[],2,FALSE)</f>
        <v>Canada</v>
      </c>
      <c r="H2323" s="3" t="str">
        <f>VLOOKUP(Registros[[#This Row],[Producto]],Producto[],2,FALSE)</f>
        <v>CHOTUS</v>
      </c>
    </row>
    <row r="2324" spans="1:8" ht="20.100000000000001" customHeight="1" x14ac:dyDescent="0.25">
      <c r="A2324" s="3" t="s">
        <v>302</v>
      </c>
      <c r="B2324" s="3" t="s">
        <v>379</v>
      </c>
      <c r="C2324" s="3">
        <v>2022</v>
      </c>
      <c r="D2324" s="4">
        <v>2</v>
      </c>
      <c r="E2324" s="5">
        <v>80</v>
      </c>
      <c r="F2324" s="5">
        <v>43.44</v>
      </c>
      <c r="G2324" s="3" t="str">
        <f>VLOOKUP(Registros[[#This Row],[Cliente]],Cliente_Region[],2,FALSE)</f>
        <v>Canada</v>
      </c>
      <c r="H2324" s="3" t="str">
        <f>VLOOKUP(Registros[[#This Row],[Producto]],Producto[],2,FALSE)</f>
        <v>CHOTUS</v>
      </c>
    </row>
    <row r="2325" spans="1:8" ht="20.100000000000001" customHeight="1" x14ac:dyDescent="0.25">
      <c r="A2325" s="3" t="s">
        <v>302</v>
      </c>
      <c r="B2325" s="3" t="s">
        <v>379</v>
      </c>
      <c r="C2325" s="3">
        <v>2022</v>
      </c>
      <c r="D2325" s="4">
        <v>3</v>
      </c>
      <c r="E2325" s="5">
        <v>70</v>
      </c>
      <c r="F2325" s="5">
        <v>33.44</v>
      </c>
      <c r="G2325" s="3" t="str">
        <f>VLOOKUP(Registros[[#This Row],[Cliente]],Cliente_Region[],2,FALSE)</f>
        <v>Canada</v>
      </c>
      <c r="H2325" s="3" t="str">
        <f>VLOOKUP(Registros[[#This Row],[Producto]],Producto[],2,FALSE)</f>
        <v>CHOTUS</v>
      </c>
    </row>
    <row r="2326" spans="1:8" ht="20.100000000000001" customHeight="1" x14ac:dyDescent="0.25">
      <c r="A2326" s="3" t="s">
        <v>302</v>
      </c>
      <c r="B2326" s="3" t="s">
        <v>379</v>
      </c>
      <c r="C2326" s="3">
        <v>2022</v>
      </c>
      <c r="D2326" s="4">
        <v>4</v>
      </c>
      <c r="E2326" s="5">
        <v>77.5</v>
      </c>
      <c r="F2326" s="5">
        <v>40.94</v>
      </c>
      <c r="G2326" s="3" t="str">
        <f>VLOOKUP(Registros[[#This Row],[Cliente]],Cliente_Region[],2,FALSE)</f>
        <v>Canada</v>
      </c>
      <c r="H2326" s="3" t="str">
        <f>VLOOKUP(Registros[[#This Row],[Producto]],Producto[],2,FALSE)</f>
        <v>CHOTUS</v>
      </c>
    </row>
    <row r="2327" spans="1:8" ht="20.100000000000001" customHeight="1" x14ac:dyDescent="0.25">
      <c r="A2327" s="3" t="s">
        <v>302</v>
      </c>
      <c r="B2327" s="3" t="s">
        <v>379</v>
      </c>
      <c r="C2327" s="3">
        <v>2022</v>
      </c>
      <c r="D2327" s="4">
        <v>5</v>
      </c>
      <c r="E2327" s="5">
        <v>100</v>
      </c>
      <c r="F2327" s="5">
        <v>54.3</v>
      </c>
      <c r="G2327" s="3" t="str">
        <f>VLOOKUP(Registros[[#This Row],[Cliente]],Cliente_Region[],2,FALSE)</f>
        <v>Canada</v>
      </c>
      <c r="H2327" s="3" t="str">
        <f>VLOOKUP(Registros[[#This Row],[Producto]],Producto[],2,FALSE)</f>
        <v>CHOTUS</v>
      </c>
    </row>
    <row r="2328" spans="1:8" ht="20.100000000000001" customHeight="1" x14ac:dyDescent="0.25">
      <c r="A2328" s="3" t="s">
        <v>302</v>
      </c>
      <c r="B2328" s="3" t="s">
        <v>379</v>
      </c>
      <c r="C2328" s="3">
        <v>2022</v>
      </c>
      <c r="D2328" s="4">
        <v>6</v>
      </c>
      <c r="E2328" s="5">
        <v>80</v>
      </c>
      <c r="F2328" s="5">
        <v>43.44</v>
      </c>
      <c r="G2328" s="3" t="str">
        <f>VLOOKUP(Registros[[#This Row],[Cliente]],Cliente_Region[],2,FALSE)</f>
        <v>Canada</v>
      </c>
      <c r="H2328" s="3" t="str">
        <f>VLOOKUP(Registros[[#This Row],[Producto]],Producto[],2,FALSE)</f>
        <v>CHOTUS</v>
      </c>
    </row>
    <row r="2329" spans="1:8" ht="20.100000000000001" customHeight="1" x14ac:dyDescent="0.25">
      <c r="A2329" s="3" t="s">
        <v>295</v>
      </c>
      <c r="B2329" s="3" t="s">
        <v>379</v>
      </c>
      <c r="C2329" s="3">
        <v>2022</v>
      </c>
      <c r="D2329" s="4">
        <v>1</v>
      </c>
      <c r="E2329" s="5">
        <v>60.5</v>
      </c>
      <c r="F2329" s="5">
        <v>32.9</v>
      </c>
      <c r="G2329" s="3" t="str">
        <f>VLOOKUP(Registros[[#This Row],[Cliente]],Cliente_Region[],2,FALSE)</f>
        <v>Canada</v>
      </c>
      <c r="H2329" s="3" t="str">
        <f>VLOOKUP(Registros[[#This Row],[Producto]],Producto[],2,FALSE)</f>
        <v>QUOKAR</v>
      </c>
    </row>
    <row r="2330" spans="1:8" ht="20.100000000000001" customHeight="1" x14ac:dyDescent="0.25">
      <c r="A2330" s="3" t="s">
        <v>296</v>
      </c>
      <c r="B2330" s="3" t="s">
        <v>379</v>
      </c>
      <c r="C2330" s="3">
        <v>2022</v>
      </c>
      <c r="D2330" s="4">
        <v>2</v>
      </c>
      <c r="E2330" s="5">
        <v>52.8</v>
      </c>
      <c r="F2330" s="5">
        <v>30.72</v>
      </c>
      <c r="G2330" s="3" t="str">
        <f>VLOOKUP(Registros[[#This Row],[Cliente]],Cliente_Region[],2,FALSE)</f>
        <v>Canada</v>
      </c>
      <c r="H2330" s="3" t="str">
        <f>VLOOKUP(Registros[[#This Row],[Producto]],Producto[],2,FALSE)</f>
        <v>SALF</v>
      </c>
    </row>
    <row r="2331" spans="1:8" ht="20.100000000000001" customHeight="1" x14ac:dyDescent="0.25">
      <c r="A2331" s="3" t="s">
        <v>296</v>
      </c>
      <c r="B2331" s="3" t="s">
        <v>379</v>
      </c>
      <c r="C2331" s="3">
        <v>2022</v>
      </c>
      <c r="D2331" s="4">
        <v>3</v>
      </c>
      <c r="E2331" s="5">
        <v>48.25</v>
      </c>
      <c r="F2331" s="5">
        <v>26.17</v>
      </c>
      <c r="G2331" s="3" t="str">
        <f>VLOOKUP(Registros[[#This Row],[Cliente]],Cliente_Region[],2,FALSE)</f>
        <v>Canada</v>
      </c>
      <c r="H2331" s="3" t="str">
        <f>VLOOKUP(Registros[[#This Row],[Producto]],Producto[],2,FALSE)</f>
        <v>SALF</v>
      </c>
    </row>
    <row r="2332" spans="1:8" ht="20.100000000000001" customHeight="1" x14ac:dyDescent="0.25">
      <c r="A2332" s="3" t="s">
        <v>296</v>
      </c>
      <c r="B2332" s="3" t="s">
        <v>379</v>
      </c>
      <c r="C2332" s="3">
        <v>2022</v>
      </c>
      <c r="D2332" s="4">
        <v>4</v>
      </c>
      <c r="E2332" s="5">
        <v>55</v>
      </c>
      <c r="F2332" s="5">
        <v>32.92</v>
      </c>
      <c r="G2332" s="3" t="str">
        <f>VLOOKUP(Registros[[#This Row],[Cliente]],Cliente_Region[],2,FALSE)</f>
        <v>Canada</v>
      </c>
      <c r="H2332" s="3" t="str">
        <f>VLOOKUP(Registros[[#This Row],[Producto]],Producto[],2,FALSE)</f>
        <v>SALF</v>
      </c>
    </row>
    <row r="2333" spans="1:8" ht="20.100000000000001" customHeight="1" x14ac:dyDescent="0.25">
      <c r="A2333" s="3" t="s">
        <v>296</v>
      </c>
      <c r="B2333" s="3" t="s">
        <v>379</v>
      </c>
      <c r="C2333" s="3">
        <v>2022</v>
      </c>
      <c r="D2333" s="4">
        <v>5</v>
      </c>
      <c r="E2333" s="5">
        <v>68.75</v>
      </c>
      <c r="F2333" s="5">
        <v>41.15</v>
      </c>
      <c r="G2333" s="3" t="str">
        <f>VLOOKUP(Registros[[#This Row],[Cliente]],Cliente_Region[],2,FALSE)</f>
        <v>Canada</v>
      </c>
      <c r="H2333" s="3" t="str">
        <f>VLOOKUP(Registros[[#This Row],[Producto]],Producto[],2,FALSE)</f>
        <v>SALF</v>
      </c>
    </row>
    <row r="2334" spans="1:8" ht="20.100000000000001" customHeight="1" x14ac:dyDescent="0.25">
      <c r="A2334" s="3" t="s">
        <v>296</v>
      </c>
      <c r="B2334" s="3" t="s">
        <v>379</v>
      </c>
      <c r="C2334" s="3">
        <v>2022</v>
      </c>
      <c r="D2334" s="4">
        <v>6</v>
      </c>
      <c r="E2334" s="5">
        <v>55</v>
      </c>
      <c r="F2334" s="5">
        <v>32.92</v>
      </c>
      <c r="G2334" s="3" t="str">
        <f>VLOOKUP(Registros[[#This Row],[Cliente]],Cliente_Region[],2,FALSE)</f>
        <v>Canada</v>
      </c>
      <c r="H2334" s="3" t="str">
        <f>VLOOKUP(Registros[[#This Row],[Producto]],Producto[],2,FALSE)</f>
        <v>SALF</v>
      </c>
    </row>
    <row r="2335" spans="1:8" ht="20.100000000000001" customHeight="1" x14ac:dyDescent="0.25">
      <c r="A2335" s="3" t="s">
        <v>282</v>
      </c>
      <c r="B2335" s="3" t="s">
        <v>379</v>
      </c>
      <c r="C2335" s="3">
        <v>2022</v>
      </c>
      <c r="D2335" s="4">
        <v>1</v>
      </c>
      <c r="E2335" s="5">
        <v>77.25</v>
      </c>
      <c r="F2335" s="5">
        <v>42.2</v>
      </c>
      <c r="G2335" s="3" t="str">
        <f>VLOOKUP(Registros[[#This Row],[Cliente]],Cliente_Region[],2,FALSE)</f>
        <v>Canada</v>
      </c>
      <c r="H2335" s="3" t="str">
        <f>VLOOKUP(Registros[[#This Row],[Producto]],Producto[],2,FALSE)</f>
        <v>DAWNE</v>
      </c>
    </row>
    <row r="2336" spans="1:8" ht="20.100000000000001" customHeight="1" x14ac:dyDescent="0.25">
      <c r="A2336" s="3" t="s">
        <v>114</v>
      </c>
      <c r="B2336" s="3" t="s">
        <v>379</v>
      </c>
      <c r="C2336" s="3">
        <v>2022</v>
      </c>
      <c r="D2336" s="4">
        <v>2</v>
      </c>
      <c r="E2336" s="5">
        <v>66</v>
      </c>
      <c r="F2336" s="5">
        <v>37.96</v>
      </c>
      <c r="G2336" s="3" t="str">
        <f>VLOOKUP(Registros[[#This Row],[Cliente]],Cliente_Region[],2,FALSE)</f>
        <v>Canada</v>
      </c>
      <c r="H2336" s="3" t="str">
        <f>VLOOKUP(Registros[[#This Row],[Producto]],Producto[],2,FALSE)</f>
        <v>DAWNE</v>
      </c>
    </row>
    <row r="2337" spans="1:8" ht="20.100000000000001" customHeight="1" x14ac:dyDescent="0.25">
      <c r="A2337" s="3" t="s">
        <v>114</v>
      </c>
      <c r="B2337" s="3" t="s">
        <v>379</v>
      </c>
      <c r="C2337" s="3">
        <v>2022</v>
      </c>
      <c r="D2337" s="4">
        <v>3</v>
      </c>
      <c r="E2337" s="5">
        <v>59</v>
      </c>
      <c r="F2337" s="5">
        <v>30.96</v>
      </c>
      <c r="G2337" s="3" t="str">
        <f>VLOOKUP(Registros[[#This Row],[Cliente]],Cliente_Region[],2,FALSE)</f>
        <v>Canada</v>
      </c>
      <c r="H2337" s="3" t="str">
        <f>VLOOKUP(Registros[[#This Row],[Producto]],Producto[],2,FALSE)</f>
        <v>DAWNE</v>
      </c>
    </row>
    <row r="2338" spans="1:8" ht="20.100000000000001" customHeight="1" x14ac:dyDescent="0.25">
      <c r="A2338" s="3" t="s">
        <v>114</v>
      </c>
      <c r="B2338" s="3" t="s">
        <v>379</v>
      </c>
      <c r="C2338" s="3">
        <v>2022</v>
      </c>
      <c r="D2338" s="4">
        <v>4</v>
      </c>
      <c r="E2338" s="5">
        <v>64.25</v>
      </c>
      <c r="F2338" s="5">
        <v>36.21</v>
      </c>
      <c r="G2338" s="3" t="str">
        <f>VLOOKUP(Registros[[#This Row],[Cliente]],Cliente_Region[],2,FALSE)</f>
        <v>Canada</v>
      </c>
      <c r="H2338" s="3" t="str">
        <f>VLOOKUP(Registros[[#This Row],[Producto]],Producto[],2,FALSE)</f>
        <v>DAWNE</v>
      </c>
    </row>
    <row r="2339" spans="1:8" ht="20.100000000000001" customHeight="1" x14ac:dyDescent="0.25">
      <c r="A2339" s="3" t="s">
        <v>114</v>
      </c>
      <c r="B2339" s="3" t="s">
        <v>379</v>
      </c>
      <c r="C2339" s="3">
        <v>2022</v>
      </c>
      <c r="D2339" s="4">
        <v>5</v>
      </c>
      <c r="E2339" s="5">
        <v>82.5</v>
      </c>
      <c r="F2339" s="5">
        <v>47.45</v>
      </c>
      <c r="G2339" s="3" t="str">
        <f>VLOOKUP(Registros[[#This Row],[Cliente]],Cliente_Region[],2,FALSE)</f>
        <v>Canada</v>
      </c>
      <c r="H2339" s="3" t="str">
        <f>VLOOKUP(Registros[[#This Row],[Producto]],Producto[],2,FALSE)</f>
        <v>DAWNE</v>
      </c>
    </row>
    <row r="2340" spans="1:8" ht="20.100000000000001" customHeight="1" x14ac:dyDescent="0.25">
      <c r="A2340" s="3" t="s">
        <v>114</v>
      </c>
      <c r="B2340" s="3" t="s">
        <v>379</v>
      </c>
      <c r="C2340" s="3">
        <v>2022</v>
      </c>
      <c r="D2340" s="4">
        <v>6</v>
      </c>
      <c r="E2340" s="5">
        <v>66</v>
      </c>
      <c r="F2340" s="5">
        <v>37.96</v>
      </c>
      <c r="G2340" s="3" t="str">
        <f>VLOOKUP(Registros[[#This Row],[Cliente]],Cliente_Region[],2,FALSE)</f>
        <v>Canada</v>
      </c>
      <c r="H2340" s="3" t="str">
        <f>VLOOKUP(Registros[[#This Row],[Producto]],Producto[],2,FALSE)</f>
        <v>DAWNE</v>
      </c>
    </row>
    <row r="2341" spans="1:8" ht="20.100000000000001" customHeight="1" x14ac:dyDescent="0.25">
      <c r="A2341" s="3" t="s">
        <v>135</v>
      </c>
      <c r="B2341" s="3" t="s">
        <v>379</v>
      </c>
      <c r="C2341" s="3">
        <v>2022</v>
      </c>
      <c r="D2341" s="4">
        <v>1</v>
      </c>
      <c r="E2341" s="5">
        <v>216</v>
      </c>
      <c r="F2341" s="5">
        <v>148.6</v>
      </c>
      <c r="G2341" s="3" t="str">
        <f>VLOOKUP(Registros[[#This Row],[Cliente]],Cliente_Region[],2,FALSE)</f>
        <v>Canada</v>
      </c>
      <c r="H2341" s="3" t="str">
        <f>VLOOKUP(Registros[[#This Row],[Producto]],Producto[],2,FALSE)</f>
        <v>GAMBO</v>
      </c>
    </row>
    <row r="2342" spans="1:8" ht="20.100000000000001" customHeight="1" x14ac:dyDescent="0.25">
      <c r="A2342" s="3" t="s">
        <v>93</v>
      </c>
      <c r="B2342" s="3" t="s">
        <v>379</v>
      </c>
      <c r="C2342" s="3">
        <v>2022</v>
      </c>
      <c r="D2342" s="4">
        <v>2</v>
      </c>
      <c r="E2342" s="5">
        <v>217.84</v>
      </c>
      <c r="F2342" s="5">
        <v>163.92</v>
      </c>
      <c r="G2342" s="3" t="str">
        <f>VLOOKUP(Registros[[#This Row],[Cliente]],Cliente_Region[],2,FALSE)</f>
        <v>Canada</v>
      </c>
      <c r="H2342" s="3" t="str">
        <f>VLOOKUP(Registros[[#This Row],[Producto]],Producto[],2,FALSE)</f>
        <v>GAMBO</v>
      </c>
    </row>
    <row r="2343" spans="1:8" ht="20.100000000000001" customHeight="1" x14ac:dyDescent="0.25">
      <c r="A2343" s="3" t="s">
        <v>93</v>
      </c>
      <c r="B2343" s="3" t="s">
        <v>379</v>
      </c>
      <c r="C2343" s="3">
        <v>2022</v>
      </c>
      <c r="D2343" s="4">
        <v>3</v>
      </c>
      <c r="E2343" s="5">
        <v>156</v>
      </c>
      <c r="F2343" s="5">
        <v>102.08</v>
      </c>
      <c r="G2343" s="3" t="str">
        <f>VLOOKUP(Registros[[#This Row],[Cliente]],Cliente_Region[],2,FALSE)</f>
        <v>Canada</v>
      </c>
      <c r="H2343" s="3" t="str">
        <f>VLOOKUP(Registros[[#This Row],[Producto]],Producto[],2,FALSE)</f>
        <v>GAMBO</v>
      </c>
    </row>
    <row r="2344" spans="1:8" ht="20.100000000000001" customHeight="1" x14ac:dyDescent="0.25">
      <c r="A2344" s="3" t="s">
        <v>93</v>
      </c>
      <c r="B2344" s="3" t="s">
        <v>379</v>
      </c>
      <c r="C2344" s="3">
        <v>2022</v>
      </c>
      <c r="D2344" s="4">
        <v>4</v>
      </c>
      <c r="E2344" s="5">
        <v>174</v>
      </c>
      <c r="F2344" s="5">
        <v>120.08</v>
      </c>
      <c r="G2344" s="3" t="str">
        <f>VLOOKUP(Registros[[#This Row],[Cliente]],Cliente_Region[],2,FALSE)</f>
        <v>Canada</v>
      </c>
      <c r="H2344" s="3" t="str">
        <f>VLOOKUP(Registros[[#This Row],[Producto]],Producto[],2,FALSE)</f>
        <v>GAMBO</v>
      </c>
    </row>
    <row r="2345" spans="1:8" ht="20.100000000000001" customHeight="1" x14ac:dyDescent="0.25">
      <c r="A2345" s="3" t="s">
        <v>93</v>
      </c>
      <c r="B2345" s="3" t="s">
        <v>379</v>
      </c>
      <c r="C2345" s="3">
        <v>2022</v>
      </c>
      <c r="D2345" s="4">
        <v>5</v>
      </c>
      <c r="E2345" s="5">
        <v>225</v>
      </c>
      <c r="F2345" s="5">
        <v>157.6</v>
      </c>
      <c r="G2345" s="3" t="str">
        <f>VLOOKUP(Registros[[#This Row],[Cliente]],Cliente_Region[],2,FALSE)</f>
        <v>Canada</v>
      </c>
      <c r="H2345" s="3" t="str">
        <f>VLOOKUP(Registros[[#This Row],[Producto]],Producto[],2,FALSE)</f>
        <v>GAMBO</v>
      </c>
    </row>
    <row r="2346" spans="1:8" ht="20.100000000000001" customHeight="1" x14ac:dyDescent="0.25">
      <c r="A2346" s="3" t="s">
        <v>93</v>
      </c>
      <c r="B2346" s="3" t="s">
        <v>379</v>
      </c>
      <c r="C2346" s="3">
        <v>2022</v>
      </c>
      <c r="D2346" s="4">
        <v>6</v>
      </c>
      <c r="E2346" s="5">
        <v>180</v>
      </c>
      <c r="F2346" s="5">
        <v>126.08</v>
      </c>
      <c r="G2346" s="3" t="str">
        <f>VLOOKUP(Registros[[#This Row],[Cliente]],Cliente_Region[],2,FALSE)</f>
        <v>Canada</v>
      </c>
      <c r="H2346" s="3" t="str">
        <f>VLOOKUP(Registros[[#This Row],[Producto]],Producto[],2,FALSE)</f>
        <v>GAMBO</v>
      </c>
    </row>
    <row r="2347" spans="1:8" ht="20.100000000000001" customHeight="1" x14ac:dyDescent="0.25">
      <c r="A2347" s="3" t="s">
        <v>136</v>
      </c>
      <c r="B2347" s="3" t="s">
        <v>379</v>
      </c>
      <c r="C2347" s="3">
        <v>2022</v>
      </c>
      <c r="D2347" s="4">
        <v>1</v>
      </c>
      <c r="E2347" s="5">
        <v>212.5</v>
      </c>
      <c r="F2347" s="5">
        <v>87.85</v>
      </c>
      <c r="G2347" s="3" t="str">
        <f>VLOOKUP(Registros[[#This Row],[Cliente]],Cliente_Region[],2,FALSE)</f>
        <v>Canada</v>
      </c>
      <c r="H2347" s="3" t="str">
        <f>VLOOKUP(Registros[[#This Row],[Producto]],Producto[],2,FALSE)</f>
        <v>CHOTUS</v>
      </c>
    </row>
    <row r="2348" spans="1:8" ht="20.100000000000001" customHeight="1" x14ac:dyDescent="0.25">
      <c r="A2348" s="3" t="s">
        <v>137</v>
      </c>
      <c r="B2348" s="3" t="s">
        <v>379</v>
      </c>
      <c r="C2348" s="3">
        <v>2022</v>
      </c>
      <c r="D2348" s="4">
        <v>2</v>
      </c>
      <c r="E2348" s="5">
        <v>277.2</v>
      </c>
      <c r="F2348" s="5">
        <v>177.48</v>
      </c>
      <c r="G2348" s="3" t="str">
        <f>VLOOKUP(Registros[[#This Row],[Cliente]],Cliente_Region[],2,FALSE)</f>
        <v>Canada</v>
      </c>
      <c r="H2348" s="3" t="str">
        <f>VLOOKUP(Registros[[#This Row],[Producto]],Producto[],2,FALSE)</f>
        <v>QUOKAR</v>
      </c>
    </row>
    <row r="2349" spans="1:8" ht="20.100000000000001" customHeight="1" x14ac:dyDescent="0.25">
      <c r="A2349" s="3" t="s">
        <v>137</v>
      </c>
      <c r="B2349" s="3" t="s">
        <v>379</v>
      </c>
      <c r="C2349" s="3">
        <v>2022</v>
      </c>
      <c r="D2349" s="4">
        <v>3</v>
      </c>
      <c r="E2349" s="5">
        <v>146</v>
      </c>
      <c r="F2349" s="5">
        <v>46.28</v>
      </c>
      <c r="G2349" s="3" t="str">
        <f>VLOOKUP(Registros[[#This Row],[Cliente]],Cliente_Region[],2,FALSE)</f>
        <v>Canada</v>
      </c>
      <c r="H2349" s="3" t="str">
        <f>VLOOKUP(Registros[[#This Row],[Producto]],Producto[],2,FALSE)</f>
        <v>QUOKAR</v>
      </c>
    </row>
    <row r="2350" spans="1:8" ht="20.100000000000001" customHeight="1" x14ac:dyDescent="0.25">
      <c r="A2350" s="3" t="s">
        <v>137</v>
      </c>
      <c r="B2350" s="3" t="s">
        <v>379</v>
      </c>
      <c r="C2350" s="3">
        <v>2022</v>
      </c>
      <c r="D2350" s="4">
        <v>4</v>
      </c>
      <c r="E2350" s="5">
        <v>162.5</v>
      </c>
      <c r="F2350" s="5">
        <v>62.78</v>
      </c>
      <c r="G2350" s="3" t="str">
        <f>VLOOKUP(Registros[[#This Row],[Cliente]],Cliente_Region[],2,FALSE)</f>
        <v>Canada</v>
      </c>
      <c r="H2350" s="3" t="str">
        <f>VLOOKUP(Registros[[#This Row],[Producto]],Producto[],2,FALSE)</f>
        <v>QUOKAR</v>
      </c>
    </row>
    <row r="2351" spans="1:8" ht="20.100000000000001" customHeight="1" x14ac:dyDescent="0.25">
      <c r="A2351" s="3" t="s">
        <v>137</v>
      </c>
      <c r="B2351" s="3" t="s">
        <v>379</v>
      </c>
      <c r="C2351" s="3">
        <v>2022</v>
      </c>
      <c r="D2351" s="4">
        <v>5</v>
      </c>
      <c r="E2351" s="5">
        <v>210</v>
      </c>
      <c r="F2351" s="5">
        <v>85.35</v>
      </c>
      <c r="G2351" s="3" t="str">
        <f>VLOOKUP(Registros[[#This Row],[Cliente]],Cliente_Region[],2,FALSE)</f>
        <v>Canada</v>
      </c>
      <c r="H2351" s="3" t="str">
        <f>VLOOKUP(Registros[[#This Row],[Producto]],Producto[],2,FALSE)</f>
        <v>QUOKAR</v>
      </c>
    </row>
    <row r="2352" spans="1:8" ht="20.100000000000001" customHeight="1" x14ac:dyDescent="0.25">
      <c r="A2352" s="3" t="s">
        <v>137</v>
      </c>
      <c r="B2352" s="3" t="s">
        <v>379</v>
      </c>
      <c r="C2352" s="3">
        <v>2022</v>
      </c>
      <c r="D2352" s="4">
        <v>6</v>
      </c>
      <c r="E2352" s="5">
        <v>168</v>
      </c>
      <c r="F2352" s="5">
        <v>68.28</v>
      </c>
      <c r="G2352" s="3" t="str">
        <f>VLOOKUP(Registros[[#This Row],[Cliente]],Cliente_Region[],2,FALSE)</f>
        <v>Canada</v>
      </c>
      <c r="H2352" s="3" t="str">
        <f>VLOOKUP(Registros[[#This Row],[Producto]],Producto[],2,FALSE)</f>
        <v>QUOKAR</v>
      </c>
    </row>
    <row r="2353" spans="1:8" ht="20.100000000000001" customHeight="1" x14ac:dyDescent="0.25">
      <c r="A2353" s="3" t="s">
        <v>369</v>
      </c>
      <c r="B2353" s="3" t="s">
        <v>380</v>
      </c>
      <c r="C2353" s="3">
        <v>2022</v>
      </c>
      <c r="D2353" s="4">
        <v>2</v>
      </c>
      <c r="E2353" s="5">
        <v>15.13</v>
      </c>
      <c r="F2353" s="5">
        <v>9.74</v>
      </c>
      <c r="G2353" s="3" t="str">
        <f>VLOOKUP(Registros[[#This Row],[Cliente]],Cliente_Region[],2,FALSE)</f>
        <v>Argentina</v>
      </c>
      <c r="H2353" s="3" t="str">
        <f>VLOOKUP(Registros[[#This Row],[Producto]],Producto[],2,FALSE)</f>
        <v>LAX</v>
      </c>
    </row>
    <row r="2354" spans="1:8" ht="20.100000000000001" customHeight="1" x14ac:dyDescent="0.25">
      <c r="A2354" s="3" t="s">
        <v>194</v>
      </c>
      <c r="B2354" s="3" t="s">
        <v>380</v>
      </c>
      <c r="C2354" s="3">
        <v>2022</v>
      </c>
      <c r="D2354" s="4">
        <v>1</v>
      </c>
      <c r="E2354" s="5">
        <v>12</v>
      </c>
      <c r="F2354" s="5">
        <v>6.9</v>
      </c>
      <c r="G2354" s="3" t="str">
        <f>VLOOKUP(Registros[[#This Row],[Cliente]],Cliente_Region[],2,FALSE)</f>
        <v>Argentina</v>
      </c>
      <c r="H2354" s="3" t="str">
        <f>VLOOKUP(Registros[[#This Row],[Producto]],Producto[],2,FALSE)</f>
        <v>LAX</v>
      </c>
    </row>
    <row r="2355" spans="1:8" ht="20.100000000000001" customHeight="1" x14ac:dyDescent="0.25">
      <c r="A2355" s="3" t="s">
        <v>333</v>
      </c>
      <c r="B2355" s="3" t="s">
        <v>380</v>
      </c>
      <c r="C2355" s="3">
        <v>2022</v>
      </c>
      <c r="D2355" s="4">
        <v>2</v>
      </c>
      <c r="E2355" s="5">
        <v>12.38</v>
      </c>
      <c r="F2355" s="5">
        <v>7.28</v>
      </c>
      <c r="G2355" s="3" t="str">
        <f>VLOOKUP(Registros[[#This Row],[Cliente]],Cliente_Region[],2,FALSE)</f>
        <v>Argentina</v>
      </c>
      <c r="H2355" s="3" t="str">
        <f>VLOOKUP(Registros[[#This Row],[Producto]],Producto[],2,FALSE)</f>
        <v>GAMBO</v>
      </c>
    </row>
    <row r="2356" spans="1:8" ht="20.100000000000001" customHeight="1" x14ac:dyDescent="0.25">
      <c r="A2356" s="3" t="s">
        <v>333</v>
      </c>
      <c r="B2356" s="3" t="s">
        <v>380</v>
      </c>
      <c r="C2356" s="3">
        <v>2022</v>
      </c>
      <c r="D2356" s="4">
        <v>3</v>
      </c>
      <c r="E2356" s="5">
        <v>12</v>
      </c>
      <c r="F2356" s="5">
        <v>6.9</v>
      </c>
      <c r="G2356" s="3" t="str">
        <f>VLOOKUP(Registros[[#This Row],[Cliente]],Cliente_Region[],2,FALSE)</f>
        <v>Argentina</v>
      </c>
      <c r="H2356" s="3" t="str">
        <f>VLOOKUP(Registros[[#This Row],[Producto]],Producto[],2,FALSE)</f>
        <v>GAMBO</v>
      </c>
    </row>
    <row r="2357" spans="1:8" ht="20.100000000000001" customHeight="1" x14ac:dyDescent="0.25">
      <c r="A2357" s="3" t="s">
        <v>13</v>
      </c>
      <c r="B2357" s="3" t="s">
        <v>380</v>
      </c>
      <c r="C2357" s="3">
        <v>2022</v>
      </c>
      <c r="D2357" s="4">
        <v>1</v>
      </c>
      <c r="E2357" s="5">
        <v>93</v>
      </c>
      <c r="F2357" s="5">
        <v>35.450000000000003</v>
      </c>
      <c r="G2357" s="3" t="str">
        <f>VLOOKUP(Registros[[#This Row],[Cliente]],Cliente_Region[],2,FALSE)</f>
        <v>Argentina</v>
      </c>
      <c r="H2357" s="3" t="str">
        <f>VLOOKUP(Registros[[#This Row],[Producto]],Producto[],2,FALSE)</f>
        <v>DAWNE</v>
      </c>
    </row>
    <row r="2358" spans="1:8" ht="20.100000000000001" customHeight="1" x14ac:dyDescent="0.25">
      <c r="A2358" s="3" t="s">
        <v>175</v>
      </c>
      <c r="B2358" s="3" t="s">
        <v>380</v>
      </c>
      <c r="C2358" s="3">
        <v>2022</v>
      </c>
      <c r="D2358" s="4">
        <v>2</v>
      </c>
      <c r="E2358" s="5">
        <v>15.13</v>
      </c>
      <c r="F2358" s="5">
        <v>5.37</v>
      </c>
      <c r="G2358" s="3" t="str">
        <f>VLOOKUP(Registros[[#This Row],[Cliente]],Cliente_Region[],2,FALSE)</f>
        <v>Argentina</v>
      </c>
      <c r="H2358" s="3" t="str">
        <f>VLOOKUP(Registros[[#This Row],[Producto]],Producto[],2,FALSE)</f>
        <v>GAMBO</v>
      </c>
    </row>
    <row r="2359" spans="1:8" ht="20.100000000000001" customHeight="1" x14ac:dyDescent="0.25">
      <c r="A2359" s="3" t="s">
        <v>284</v>
      </c>
      <c r="B2359" s="3" t="s">
        <v>380</v>
      </c>
      <c r="C2359" s="3">
        <v>2022</v>
      </c>
      <c r="D2359" s="4">
        <v>1</v>
      </c>
      <c r="E2359" s="5">
        <v>12</v>
      </c>
      <c r="F2359" s="5">
        <v>7.52</v>
      </c>
      <c r="G2359" s="3" t="str">
        <f>VLOOKUP(Registros[[#This Row],[Cliente]],Cliente_Region[],2,FALSE)</f>
        <v>Argentina</v>
      </c>
      <c r="H2359" s="3" t="str">
        <f>VLOOKUP(Registros[[#This Row],[Producto]],Producto[],2,FALSE)</f>
        <v>DONANY</v>
      </c>
    </row>
    <row r="2360" spans="1:8" ht="20.100000000000001" customHeight="1" x14ac:dyDescent="0.25">
      <c r="A2360" s="3" t="s">
        <v>285</v>
      </c>
      <c r="B2360" s="3" t="s">
        <v>380</v>
      </c>
      <c r="C2360" s="3">
        <v>2022</v>
      </c>
      <c r="D2360" s="4">
        <v>2</v>
      </c>
      <c r="E2360" s="5">
        <v>13.2</v>
      </c>
      <c r="F2360" s="5">
        <v>8.7200000000000006</v>
      </c>
      <c r="G2360" s="3" t="str">
        <f>VLOOKUP(Registros[[#This Row],[Cliente]],Cliente_Region[],2,FALSE)</f>
        <v>Argentina</v>
      </c>
      <c r="H2360" s="3" t="str">
        <f>VLOOKUP(Registros[[#This Row],[Producto]],Producto[],2,FALSE)</f>
        <v>MOC</v>
      </c>
    </row>
    <row r="2361" spans="1:8" ht="20.100000000000001" customHeight="1" x14ac:dyDescent="0.25">
      <c r="A2361" s="3" t="s">
        <v>285</v>
      </c>
      <c r="B2361" s="3" t="s">
        <v>380</v>
      </c>
      <c r="C2361" s="3">
        <v>2022</v>
      </c>
      <c r="D2361" s="4">
        <v>3</v>
      </c>
      <c r="E2361" s="5">
        <v>12</v>
      </c>
      <c r="F2361" s="5">
        <v>7.52</v>
      </c>
      <c r="G2361" s="3" t="str">
        <f>VLOOKUP(Registros[[#This Row],[Cliente]],Cliente_Region[],2,FALSE)</f>
        <v>Argentina</v>
      </c>
      <c r="H2361" s="3" t="str">
        <f>VLOOKUP(Registros[[#This Row],[Producto]],Producto[],2,FALSE)</f>
        <v>MOC</v>
      </c>
    </row>
    <row r="2362" spans="1:8" ht="20.100000000000001" customHeight="1" x14ac:dyDescent="0.25">
      <c r="A2362" s="3" t="s">
        <v>268</v>
      </c>
      <c r="B2362" s="3" t="s">
        <v>380</v>
      </c>
      <c r="C2362" s="3">
        <v>2022</v>
      </c>
      <c r="D2362" s="4">
        <v>2</v>
      </c>
      <c r="E2362" s="5">
        <v>11.5</v>
      </c>
      <c r="F2362" s="5">
        <v>-0.42</v>
      </c>
      <c r="G2362" s="3" t="str">
        <f>VLOOKUP(Registros[[#This Row],[Cliente]],Cliente_Region[],2,FALSE)</f>
        <v>Argentina</v>
      </c>
      <c r="H2362" s="3" t="str">
        <f>VLOOKUP(Registros[[#This Row],[Producto]],Producto[],2,FALSE)</f>
        <v>GAMBO</v>
      </c>
    </row>
    <row r="2363" spans="1:8" ht="20.100000000000001" customHeight="1" x14ac:dyDescent="0.25">
      <c r="A2363" s="3" t="s">
        <v>36</v>
      </c>
      <c r="B2363" s="3" t="s">
        <v>380</v>
      </c>
      <c r="C2363" s="3">
        <v>2022</v>
      </c>
      <c r="D2363" s="4">
        <v>1</v>
      </c>
      <c r="E2363" s="5">
        <v>11.88</v>
      </c>
      <c r="F2363" s="5">
        <v>7.75</v>
      </c>
      <c r="G2363" s="3" t="str">
        <f>VLOOKUP(Registros[[#This Row],[Cliente]],Cliente_Region[],2,FALSE)</f>
        <v>Argentina</v>
      </c>
      <c r="H2363" s="3" t="str">
        <f>VLOOKUP(Registros[[#This Row],[Producto]],Producto[],2,FALSE)</f>
        <v>QUOKAR</v>
      </c>
    </row>
    <row r="2364" spans="1:8" ht="20.100000000000001" customHeight="1" x14ac:dyDescent="0.25">
      <c r="A2364" s="3" t="s">
        <v>37</v>
      </c>
      <c r="B2364" s="3" t="s">
        <v>380</v>
      </c>
      <c r="C2364" s="3">
        <v>2022</v>
      </c>
      <c r="D2364" s="4">
        <v>4</v>
      </c>
      <c r="E2364" s="5">
        <v>11.88</v>
      </c>
      <c r="F2364" s="5">
        <v>7.75</v>
      </c>
      <c r="G2364" s="3" t="str">
        <f>VLOOKUP(Registros[[#This Row],[Cliente]],Cliente_Region[],2,FALSE)</f>
        <v>Argentina</v>
      </c>
      <c r="H2364" s="3" t="str">
        <f>VLOOKUP(Registros[[#This Row],[Producto]],Producto[],2,FALSE)</f>
        <v>DONANY</v>
      </c>
    </row>
    <row r="2365" spans="1:8" ht="20.100000000000001" customHeight="1" x14ac:dyDescent="0.25">
      <c r="A2365" s="3" t="s">
        <v>11</v>
      </c>
      <c r="B2365" s="3" t="s">
        <v>380</v>
      </c>
      <c r="C2365" s="3">
        <v>2022</v>
      </c>
      <c r="D2365" s="4">
        <v>4</v>
      </c>
      <c r="E2365" s="5">
        <v>12.38</v>
      </c>
      <c r="F2365" s="5">
        <v>6.4</v>
      </c>
      <c r="G2365" s="3" t="str">
        <f>VLOOKUP(Registros[[#This Row],[Cliente]],Cliente_Region[],2,FALSE)</f>
        <v>Argentina</v>
      </c>
      <c r="H2365" s="3" t="str">
        <f>VLOOKUP(Registros[[#This Row],[Producto]],Producto[],2,FALSE)</f>
        <v>DONANY</v>
      </c>
    </row>
    <row r="2366" spans="1:8" ht="20.100000000000001" customHeight="1" x14ac:dyDescent="0.25">
      <c r="A2366" s="3" t="s">
        <v>304</v>
      </c>
      <c r="B2366" s="3" t="s">
        <v>380</v>
      </c>
      <c r="C2366" s="3">
        <v>2022</v>
      </c>
      <c r="D2366" s="4">
        <v>4</v>
      </c>
      <c r="E2366" s="5">
        <v>14.3</v>
      </c>
      <c r="F2366" s="5">
        <v>9.81</v>
      </c>
      <c r="G2366" s="3" t="str">
        <f>VLOOKUP(Registros[[#This Row],[Cliente]],Cliente_Region[],2,FALSE)</f>
        <v>Argentina</v>
      </c>
      <c r="H2366" s="3" t="str">
        <f>VLOOKUP(Registros[[#This Row],[Producto]],Producto[],2,FALSE)</f>
        <v>QUOKAR</v>
      </c>
    </row>
    <row r="2367" spans="1:8" ht="20.100000000000001" customHeight="1" x14ac:dyDescent="0.25">
      <c r="A2367" s="3" t="s">
        <v>40</v>
      </c>
      <c r="B2367" s="3" t="s">
        <v>380</v>
      </c>
      <c r="C2367" s="3">
        <v>2022</v>
      </c>
      <c r="D2367" s="4">
        <v>3</v>
      </c>
      <c r="E2367" s="5">
        <v>25.85</v>
      </c>
      <c r="F2367" s="5">
        <v>15.93</v>
      </c>
      <c r="G2367" s="3" t="str">
        <f>VLOOKUP(Registros[[#This Row],[Cliente]],Cliente_Region[],2,FALSE)</f>
        <v>Argentina</v>
      </c>
      <c r="H2367" s="3" t="str">
        <f>VLOOKUP(Registros[[#This Row],[Producto]],Producto[],2,FALSE)</f>
        <v>DAWNE</v>
      </c>
    </row>
    <row r="2368" spans="1:8" ht="20.100000000000001" customHeight="1" x14ac:dyDescent="0.25">
      <c r="A2368" s="3" t="s">
        <v>42</v>
      </c>
      <c r="B2368" s="3" t="s">
        <v>380</v>
      </c>
      <c r="C2368" s="3">
        <v>2022</v>
      </c>
      <c r="D2368" s="4">
        <v>3</v>
      </c>
      <c r="E2368" s="5">
        <v>27</v>
      </c>
      <c r="F2368" s="5">
        <v>15.85</v>
      </c>
      <c r="G2368" s="3" t="str">
        <f>VLOOKUP(Registros[[#This Row],[Cliente]],Cliente_Region[],2,FALSE)</f>
        <v>Argentina</v>
      </c>
      <c r="H2368" s="3" t="str">
        <f>VLOOKUP(Registros[[#This Row],[Producto]],Producto[],2,FALSE)</f>
        <v>GAMBO</v>
      </c>
    </row>
    <row r="2369" spans="1:8" ht="20.100000000000001" customHeight="1" x14ac:dyDescent="0.25">
      <c r="A2369" s="3" t="s">
        <v>43</v>
      </c>
      <c r="B2369" s="3" t="s">
        <v>380</v>
      </c>
      <c r="C2369" s="3">
        <v>2022</v>
      </c>
      <c r="D2369" s="4">
        <v>4</v>
      </c>
      <c r="E2369" s="5">
        <v>54</v>
      </c>
      <c r="F2369" s="5">
        <v>31.7</v>
      </c>
      <c r="G2369" s="3" t="str">
        <f>VLOOKUP(Registros[[#This Row],[Cliente]],Cliente_Region[],2,FALSE)</f>
        <v>Argentina</v>
      </c>
      <c r="H2369" s="3" t="str">
        <f>VLOOKUP(Registros[[#This Row],[Producto]],Producto[],2,FALSE)</f>
        <v>MOC</v>
      </c>
    </row>
    <row r="2370" spans="1:8" ht="20.100000000000001" customHeight="1" x14ac:dyDescent="0.25">
      <c r="A2370" s="3" t="s">
        <v>282</v>
      </c>
      <c r="B2370" s="3" t="s">
        <v>380</v>
      </c>
      <c r="C2370" s="3">
        <v>2022</v>
      </c>
      <c r="D2370" s="4">
        <v>1</v>
      </c>
      <c r="E2370" s="5">
        <v>33</v>
      </c>
      <c r="F2370" s="5">
        <v>18.97</v>
      </c>
      <c r="G2370" s="3" t="str">
        <f>VLOOKUP(Registros[[#This Row],[Cliente]],Cliente_Region[],2,FALSE)</f>
        <v>Argentina</v>
      </c>
      <c r="H2370" s="3" t="str">
        <f>VLOOKUP(Registros[[#This Row],[Producto]],Producto[],2,FALSE)</f>
        <v>DAWNE</v>
      </c>
    </row>
    <row r="2371" spans="1:8" ht="20.100000000000001" customHeight="1" x14ac:dyDescent="0.25">
      <c r="A2371" s="3" t="s">
        <v>114</v>
      </c>
      <c r="B2371" s="3" t="s">
        <v>380</v>
      </c>
      <c r="C2371" s="3">
        <v>2022</v>
      </c>
      <c r="D2371" s="4">
        <v>2</v>
      </c>
      <c r="E2371" s="5">
        <v>33</v>
      </c>
      <c r="F2371" s="5">
        <v>18.97</v>
      </c>
      <c r="G2371" s="3" t="str">
        <f>VLOOKUP(Registros[[#This Row],[Cliente]],Cliente_Region[],2,FALSE)</f>
        <v>Argentina</v>
      </c>
      <c r="H2371" s="3" t="str">
        <f>VLOOKUP(Registros[[#This Row],[Producto]],Producto[],2,FALSE)</f>
        <v>DAWNE</v>
      </c>
    </row>
    <row r="2372" spans="1:8" ht="20.100000000000001" customHeight="1" x14ac:dyDescent="0.25">
      <c r="A2372" s="3" t="s">
        <v>114</v>
      </c>
      <c r="B2372" s="3" t="s">
        <v>380</v>
      </c>
      <c r="C2372" s="3">
        <v>2022</v>
      </c>
      <c r="D2372" s="4">
        <v>3</v>
      </c>
      <c r="E2372" s="5">
        <v>33</v>
      </c>
      <c r="F2372" s="5">
        <v>18.97</v>
      </c>
      <c r="G2372" s="3" t="str">
        <f>VLOOKUP(Registros[[#This Row],[Cliente]],Cliente_Region[],2,FALSE)</f>
        <v>Argentina</v>
      </c>
      <c r="H2372" s="3" t="str">
        <f>VLOOKUP(Registros[[#This Row],[Producto]],Producto[],2,FALSE)</f>
        <v>DAWNE</v>
      </c>
    </row>
    <row r="2373" spans="1:8" ht="20.100000000000001" customHeight="1" x14ac:dyDescent="0.25">
      <c r="A2373" s="3" t="s">
        <v>114</v>
      </c>
      <c r="B2373" s="3" t="s">
        <v>380</v>
      </c>
      <c r="C2373" s="3">
        <v>2022</v>
      </c>
      <c r="D2373" s="4">
        <v>4</v>
      </c>
      <c r="E2373" s="5">
        <v>33</v>
      </c>
      <c r="F2373" s="5">
        <v>18.97</v>
      </c>
      <c r="G2373" s="3" t="str">
        <f>VLOOKUP(Registros[[#This Row],[Cliente]],Cliente_Region[],2,FALSE)</f>
        <v>Argentina</v>
      </c>
      <c r="H2373" s="3" t="str">
        <f>VLOOKUP(Registros[[#This Row],[Producto]],Producto[],2,FALSE)</f>
        <v>DAWNE</v>
      </c>
    </row>
    <row r="2374" spans="1:8" ht="20.100000000000001" customHeight="1" x14ac:dyDescent="0.25">
      <c r="A2374" s="3" t="s">
        <v>135</v>
      </c>
      <c r="B2374" s="3" t="s">
        <v>380</v>
      </c>
      <c r="C2374" s="3">
        <v>2022</v>
      </c>
      <c r="D2374" s="4">
        <v>1</v>
      </c>
      <c r="E2374" s="5">
        <v>22.5</v>
      </c>
      <c r="F2374" s="5">
        <v>15.76</v>
      </c>
      <c r="G2374" s="3" t="str">
        <f>VLOOKUP(Registros[[#This Row],[Cliente]],Cliente_Region[],2,FALSE)</f>
        <v>Argentina</v>
      </c>
      <c r="H2374" s="3" t="str">
        <f>VLOOKUP(Registros[[#This Row],[Producto]],Producto[],2,FALSE)</f>
        <v>GAMBO</v>
      </c>
    </row>
    <row r="2375" spans="1:8" ht="20.100000000000001" customHeight="1" x14ac:dyDescent="0.25">
      <c r="A2375" s="3" t="s">
        <v>93</v>
      </c>
      <c r="B2375" s="3" t="s">
        <v>380</v>
      </c>
      <c r="C2375" s="3">
        <v>2022</v>
      </c>
      <c r="D2375" s="4">
        <v>2</v>
      </c>
      <c r="E2375" s="5">
        <v>27.23</v>
      </c>
      <c r="F2375" s="5">
        <v>20.49</v>
      </c>
      <c r="G2375" s="3" t="str">
        <f>VLOOKUP(Registros[[#This Row],[Cliente]],Cliente_Region[],2,FALSE)</f>
        <v>Argentina</v>
      </c>
      <c r="H2375" s="3" t="str">
        <f>VLOOKUP(Registros[[#This Row],[Producto]],Producto[],2,FALSE)</f>
        <v>GAMBO</v>
      </c>
    </row>
    <row r="2376" spans="1:8" ht="20.100000000000001" customHeight="1" x14ac:dyDescent="0.25">
      <c r="A2376" s="3" t="s">
        <v>93</v>
      </c>
      <c r="B2376" s="3" t="s">
        <v>380</v>
      </c>
      <c r="C2376" s="3">
        <v>2022</v>
      </c>
      <c r="D2376" s="4">
        <v>3</v>
      </c>
      <c r="E2376" s="5">
        <v>45</v>
      </c>
      <c r="F2376" s="5">
        <v>31.52</v>
      </c>
      <c r="G2376" s="3" t="str">
        <f>VLOOKUP(Registros[[#This Row],[Cliente]],Cliente_Region[],2,FALSE)</f>
        <v>Argentina</v>
      </c>
      <c r="H2376" s="3" t="str">
        <f>VLOOKUP(Registros[[#This Row],[Producto]],Producto[],2,FALSE)</f>
        <v>GAMBO</v>
      </c>
    </row>
    <row r="2377" spans="1:8" ht="20.100000000000001" customHeight="1" x14ac:dyDescent="0.25">
      <c r="A2377" s="3" t="s">
        <v>93</v>
      </c>
      <c r="B2377" s="3" t="s">
        <v>380</v>
      </c>
      <c r="C2377" s="3">
        <v>2022</v>
      </c>
      <c r="D2377" s="4">
        <v>4</v>
      </c>
      <c r="E2377" s="5">
        <v>45</v>
      </c>
      <c r="F2377" s="5">
        <v>31.52</v>
      </c>
      <c r="G2377" s="3" t="str">
        <f>VLOOKUP(Registros[[#This Row],[Cliente]],Cliente_Region[],2,FALSE)</f>
        <v>Argentina</v>
      </c>
      <c r="H2377" s="3" t="str">
        <f>VLOOKUP(Registros[[#This Row],[Producto]],Producto[],2,FALSE)</f>
        <v>GAMBO</v>
      </c>
    </row>
    <row r="2378" spans="1:8" ht="20.100000000000001" customHeight="1" x14ac:dyDescent="0.25">
      <c r="A2378" s="3" t="s">
        <v>136</v>
      </c>
      <c r="B2378" s="3" t="s">
        <v>380</v>
      </c>
      <c r="C2378" s="3">
        <v>2022</v>
      </c>
      <c r="D2378" s="4">
        <v>1</v>
      </c>
      <c r="E2378" s="5">
        <v>22</v>
      </c>
      <c r="F2378" s="5">
        <v>9.5399999999999991</v>
      </c>
      <c r="G2378" s="3" t="str">
        <f>VLOOKUP(Registros[[#This Row],[Cliente]],Cliente_Region[],2,FALSE)</f>
        <v>Argentina</v>
      </c>
      <c r="H2378" s="3" t="str">
        <f>VLOOKUP(Registros[[#This Row],[Producto]],Producto[],2,FALSE)</f>
        <v>CHOTUS</v>
      </c>
    </row>
    <row r="2379" spans="1:8" ht="20.100000000000001" customHeight="1" x14ac:dyDescent="0.25">
      <c r="A2379" s="3" t="s">
        <v>137</v>
      </c>
      <c r="B2379" s="3" t="s">
        <v>380</v>
      </c>
      <c r="C2379" s="3">
        <v>2022</v>
      </c>
      <c r="D2379" s="4">
        <v>2</v>
      </c>
      <c r="E2379" s="5">
        <v>34.65</v>
      </c>
      <c r="F2379" s="5">
        <v>22.19</v>
      </c>
      <c r="G2379" s="3" t="str">
        <f>VLOOKUP(Registros[[#This Row],[Cliente]],Cliente_Region[],2,FALSE)</f>
        <v>Argentina</v>
      </c>
      <c r="H2379" s="3" t="str">
        <f>VLOOKUP(Registros[[#This Row],[Producto]],Producto[],2,FALSE)</f>
        <v>QUOKAR</v>
      </c>
    </row>
    <row r="2380" spans="1:8" ht="20.100000000000001" customHeight="1" x14ac:dyDescent="0.25">
      <c r="A2380" s="3" t="s">
        <v>137</v>
      </c>
      <c r="B2380" s="3" t="s">
        <v>380</v>
      </c>
      <c r="C2380" s="3">
        <v>2022</v>
      </c>
      <c r="D2380" s="4">
        <v>3</v>
      </c>
      <c r="E2380" s="5">
        <v>44</v>
      </c>
      <c r="F2380" s="5">
        <v>19.07</v>
      </c>
      <c r="G2380" s="3" t="str">
        <f>VLOOKUP(Registros[[#This Row],[Cliente]],Cliente_Region[],2,FALSE)</f>
        <v>Argentina</v>
      </c>
      <c r="H2380" s="3" t="str">
        <f>VLOOKUP(Registros[[#This Row],[Producto]],Producto[],2,FALSE)</f>
        <v>QUOKAR</v>
      </c>
    </row>
    <row r="2381" spans="1:8" ht="20.100000000000001" customHeight="1" x14ac:dyDescent="0.25">
      <c r="A2381" s="3" t="s">
        <v>137</v>
      </c>
      <c r="B2381" s="3" t="s">
        <v>380</v>
      </c>
      <c r="C2381" s="3">
        <v>2022</v>
      </c>
      <c r="D2381" s="4">
        <v>4</v>
      </c>
      <c r="E2381" s="5">
        <v>44</v>
      </c>
      <c r="F2381" s="5">
        <v>19.07</v>
      </c>
      <c r="G2381" s="3" t="str">
        <f>VLOOKUP(Registros[[#This Row],[Cliente]],Cliente_Region[],2,FALSE)</f>
        <v>Argentina</v>
      </c>
      <c r="H2381" s="3" t="str">
        <f>VLOOKUP(Registros[[#This Row],[Producto]],Producto[],2,FALSE)</f>
        <v>QUOKAR</v>
      </c>
    </row>
    <row r="2382" spans="1:8" ht="20.100000000000001" customHeight="1" x14ac:dyDescent="0.25">
      <c r="A2382" s="3" t="s">
        <v>234</v>
      </c>
      <c r="B2382" s="3" t="s">
        <v>381</v>
      </c>
      <c r="C2382" s="3">
        <v>2022</v>
      </c>
      <c r="D2382" s="4">
        <v>5</v>
      </c>
      <c r="E2382" s="5">
        <v>88</v>
      </c>
      <c r="F2382" s="5">
        <v>26.14</v>
      </c>
      <c r="G2382" s="3" t="str">
        <f>VLOOKUP(Registros[[#This Row],[Cliente]],Cliente_Region[],2,FALSE)</f>
        <v>Canada</v>
      </c>
      <c r="H2382" s="3" t="str">
        <f>VLOOKUP(Registros[[#This Row],[Producto]],Producto[],2,FALSE)</f>
        <v>SALF</v>
      </c>
    </row>
    <row r="2383" spans="1:8" ht="20.100000000000001" customHeight="1" x14ac:dyDescent="0.25">
      <c r="A2383" s="3" t="s">
        <v>268</v>
      </c>
      <c r="B2383" s="3" t="s">
        <v>381</v>
      </c>
      <c r="C2383" s="3">
        <v>2022</v>
      </c>
      <c r="D2383" s="4">
        <v>5</v>
      </c>
      <c r="E2383" s="5">
        <v>23</v>
      </c>
      <c r="F2383" s="5">
        <v>-0.84</v>
      </c>
      <c r="G2383" s="3" t="str">
        <f>VLOOKUP(Registros[[#This Row],[Cliente]],Cliente_Region[],2,FALSE)</f>
        <v>Canada</v>
      </c>
      <c r="H2383" s="3" t="str">
        <f>VLOOKUP(Registros[[#This Row],[Producto]],Producto[],2,FALSE)</f>
        <v>GAMBO</v>
      </c>
    </row>
    <row r="2384" spans="1:8" ht="20.100000000000001" customHeight="1" x14ac:dyDescent="0.25">
      <c r="A2384" s="3" t="s">
        <v>36</v>
      </c>
      <c r="B2384" s="3" t="s">
        <v>381</v>
      </c>
      <c r="C2384" s="3">
        <v>2022</v>
      </c>
      <c r="D2384" s="4">
        <v>2</v>
      </c>
      <c r="E2384" s="5">
        <v>23.76</v>
      </c>
      <c r="F2384" s="5">
        <v>15.49</v>
      </c>
      <c r="G2384" s="3" t="str">
        <f>VLOOKUP(Registros[[#This Row],[Cliente]],Cliente_Region[],2,FALSE)</f>
        <v>Canada</v>
      </c>
      <c r="H2384" s="3" t="str">
        <f>VLOOKUP(Registros[[#This Row],[Producto]],Producto[],2,FALSE)</f>
        <v>QUOKAR</v>
      </c>
    </row>
    <row r="2385" spans="1:8" ht="20.100000000000001" customHeight="1" x14ac:dyDescent="0.25">
      <c r="A2385" s="3" t="s">
        <v>37</v>
      </c>
      <c r="B2385" s="3" t="s">
        <v>381</v>
      </c>
      <c r="C2385" s="3">
        <v>2022</v>
      </c>
      <c r="D2385" s="4">
        <v>3</v>
      </c>
      <c r="E2385" s="5">
        <v>59.4</v>
      </c>
      <c r="F2385" s="5">
        <v>38.729999999999997</v>
      </c>
      <c r="G2385" s="3" t="str">
        <f>VLOOKUP(Registros[[#This Row],[Cliente]],Cliente_Region[],2,FALSE)</f>
        <v>Canada</v>
      </c>
      <c r="H2385" s="3" t="str">
        <f>VLOOKUP(Registros[[#This Row],[Producto]],Producto[],2,FALSE)</f>
        <v>DONANY</v>
      </c>
    </row>
    <row r="2386" spans="1:8" ht="20.100000000000001" customHeight="1" x14ac:dyDescent="0.25">
      <c r="A2386" s="3" t="s">
        <v>37</v>
      </c>
      <c r="B2386" s="3" t="s">
        <v>381</v>
      </c>
      <c r="C2386" s="3">
        <v>2022</v>
      </c>
      <c r="D2386" s="4">
        <v>4</v>
      </c>
      <c r="E2386" s="5">
        <v>35.64</v>
      </c>
      <c r="F2386" s="5">
        <v>23.24</v>
      </c>
      <c r="G2386" s="3" t="str">
        <f>VLOOKUP(Registros[[#This Row],[Cliente]],Cliente_Region[],2,FALSE)</f>
        <v>Canada</v>
      </c>
      <c r="H2386" s="3" t="str">
        <f>VLOOKUP(Registros[[#This Row],[Producto]],Producto[],2,FALSE)</f>
        <v>DONANY</v>
      </c>
    </row>
    <row r="2387" spans="1:8" ht="20.100000000000001" customHeight="1" x14ac:dyDescent="0.25">
      <c r="A2387" s="3" t="s">
        <v>37</v>
      </c>
      <c r="B2387" s="3" t="s">
        <v>381</v>
      </c>
      <c r="C2387" s="3">
        <v>2022</v>
      </c>
      <c r="D2387" s="4">
        <v>5</v>
      </c>
      <c r="E2387" s="5">
        <v>35.64</v>
      </c>
      <c r="F2387" s="5">
        <v>23.24</v>
      </c>
      <c r="G2387" s="3" t="str">
        <f>VLOOKUP(Registros[[#This Row],[Cliente]],Cliente_Region[],2,FALSE)</f>
        <v>Canada</v>
      </c>
      <c r="H2387" s="3" t="str">
        <f>VLOOKUP(Registros[[#This Row],[Producto]],Producto[],2,FALSE)</f>
        <v>DONANY</v>
      </c>
    </row>
    <row r="2388" spans="1:8" ht="20.100000000000001" customHeight="1" x14ac:dyDescent="0.25">
      <c r="A2388" s="3" t="s">
        <v>37</v>
      </c>
      <c r="B2388" s="3" t="s">
        <v>381</v>
      </c>
      <c r="C2388" s="3">
        <v>2022</v>
      </c>
      <c r="D2388" s="4">
        <v>6</v>
      </c>
      <c r="E2388" s="5">
        <v>59.4</v>
      </c>
      <c r="F2388" s="5">
        <v>38.729999999999997</v>
      </c>
      <c r="G2388" s="3" t="str">
        <f>VLOOKUP(Registros[[#This Row],[Cliente]],Cliente_Region[],2,FALSE)</f>
        <v>Canada</v>
      </c>
      <c r="H2388" s="3" t="str">
        <f>VLOOKUP(Registros[[#This Row],[Producto]],Producto[],2,FALSE)</f>
        <v>DONANY</v>
      </c>
    </row>
    <row r="2389" spans="1:8" ht="20.100000000000001" customHeight="1" x14ac:dyDescent="0.25">
      <c r="A2389" s="3" t="s">
        <v>308</v>
      </c>
      <c r="B2389" s="3" t="s">
        <v>381</v>
      </c>
      <c r="C2389" s="3">
        <v>2022</v>
      </c>
      <c r="D2389" s="4">
        <v>1</v>
      </c>
      <c r="E2389" s="5">
        <v>85</v>
      </c>
      <c r="F2389" s="5">
        <v>38.06</v>
      </c>
      <c r="G2389" s="3" t="str">
        <f>VLOOKUP(Registros[[#This Row],[Cliente]],Cliente_Region[],2,FALSE)</f>
        <v>Canada</v>
      </c>
      <c r="H2389" s="3" t="str">
        <f>VLOOKUP(Registros[[#This Row],[Producto]],Producto[],2,FALSE)</f>
        <v>SALF</v>
      </c>
    </row>
    <row r="2390" spans="1:8" ht="20.100000000000001" customHeight="1" x14ac:dyDescent="0.25">
      <c r="A2390" s="3" t="s">
        <v>309</v>
      </c>
      <c r="B2390" s="3" t="s">
        <v>381</v>
      </c>
      <c r="C2390" s="3">
        <v>2022</v>
      </c>
      <c r="D2390" s="4">
        <v>2</v>
      </c>
      <c r="E2390" s="5">
        <v>51.72</v>
      </c>
      <c r="F2390" s="5">
        <v>24.9</v>
      </c>
      <c r="G2390" s="3" t="str">
        <f>VLOOKUP(Registros[[#This Row],[Cliente]],Cliente_Region[],2,FALSE)</f>
        <v>Canada</v>
      </c>
      <c r="H2390" s="3" t="str">
        <f>VLOOKUP(Registros[[#This Row],[Producto]],Producto[],2,FALSE)</f>
        <v>SALF</v>
      </c>
    </row>
    <row r="2391" spans="1:8" ht="20.100000000000001" customHeight="1" x14ac:dyDescent="0.25">
      <c r="A2391" s="3" t="s">
        <v>309</v>
      </c>
      <c r="B2391" s="3" t="s">
        <v>381</v>
      </c>
      <c r="C2391" s="3">
        <v>2022</v>
      </c>
      <c r="D2391" s="4">
        <v>3</v>
      </c>
      <c r="E2391" s="5">
        <v>36</v>
      </c>
      <c r="F2391" s="5">
        <v>15.88</v>
      </c>
      <c r="G2391" s="3" t="str">
        <f>VLOOKUP(Registros[[#This Row],[Cliente]],Cliente_Region[],2,FALSE)</f>
        <v>Canada</v>
      </c>
      <c r="H2391" s="3" t="str">
        <f>VLOOKUP(Registros[[#This Row],[Producto]],Producto[],2,FALSE)</f>
        <v>SALF</v>
      </c>
    </row>
    <row r="2392" spans="1:8" ht="20.100000000000001" customHeight="1" x14ac:dyDescent="0.25">
      <c r="A2392" s="3" t="s">
        <v>309</v>
      </c>
      <c r="B2392" s="3" t="s">
        <v>381</v>
      </c>
      <c r="C2392" s="3">
        <v>2022</v>
      </c>
      <c r="D2392" s="4">
        <v>4</v>
      </c>
      <c r="E2392" s="5">
        <v>48</v>
      </c>
      <c r="F2392" s="5">
        <v>21.18</v>
      </c>
      <c r="G2392" s="3" t="str">
        <f>VLOOKUP(Registros[[#This Row],[Cliente]],Cliente_Region[],2,FALSE)</f>
        <v>Canada</v>
      </c>
      <c r="H2392" s="3" t="str">
        <f>VLOOKUP(Registros[[#This Row],[Producto]],Producto[],2,FALSE)</f>
        <v>SALF</v>
      </c>
    </row>
    <row r="2393" spans="1:8" ht="20.100000000000001" customHeight="1" x14ac:dyDescent="0.25">
      <c r="A2393" s="3" t="s">
        <v>309</v>
      </c>
      <c r="B2393" s="3" t="s">
        <v>381</v>
      </c>
      <c r="C2393" s="3">
        <v>2022</v>
      </c>
      <c r="D2393" s="4">
        <v>5</v>
      </c>
      <c r="E2393" s="5">
        <v>78</v>
      </c>
      <c r="F2393" s="5">
        <v>37.770000000000003</v>
      </c>
      <c r="G2393" s="3" t="str">
        <f>VLOOKUP(Registros[[#This Row],[Cliente]],Cliente_Region[],2,FALSE)</f>
        <v>Canada</v>
      </c>
      <c r="H2393" s="3" t="str">
        <f>VLOOKUP(Registros[[#This Row],[Producto]],Producto[],2,FALSE)</f>
        <v>SALF</v>
      </c>
    </row>
    <row r="2394" spans="1:8" ht="20.100000000000001" customHeight="1" x14ac:dyDescent="0.25">
      <c r="A2394" s="3" t="s">
        <v>309</v>
      </c>
      <c r="B2394" s="3" t="s">
        <v>381</v>
      </c>
      <c r="C2394" s="3">
        <v>2022</v>
      </c>
      <c r="D2394" s="4">
        <v>6</v>
      </c>
      <c r="E2394" s="5">
        <v>78</v>
      </c>
      <c r="F2394" s="5">
        <v>37.770000000000003</v>
      </c>
      <c r="G2394" s="3" t="str">
        <f>VLOOKUP(Registros[[#This Row],[Cliente]],Cliente_Region[],2,FALSE)</f>
        <v>Canada</v>
      </c>
      <c r="H2394" s="3" t="str">
        <f>VLOOKUP(Registros[[#This Row],[Producto]],Producto[],2,FALSE)</f>
        <v>SALF</v>
      </c>
    </row>
    <row r="2395" spans="1:8" ht="20.100000000000001" customHeight="1" x14ac:dyDescent="0.25">
      <c r="A2395" s="3" t="s">
        <v>11</v>
      </c>
      <c r="B2395" s="3" t="s">
        <v>381</v>
      </c>
      <c r="C2395" s="3">
        <v>2022</v>
      </c>
      <c r="D2395" s="4">
        <v>1</v>
      </c>
      <c r="E2395" s="5">
        <v>96</v>
      </c>
      <c r="F2395" s="5">
        <v>48.19</v>
      </c>
      <c r="G2395" s="3" t="str">
        <f>VLOOKUP(Registros[[#This Row],[Cliente]],Cliente_Region[],2,FALSE)</f>
        <v>Canada</v>
      </c>
      <c r="H2395" s="3" t="str">
        <f>VLOOKUP(Registros[[#This Row],[Producto]],Producto[],2,FALSE)</f>
        <v>DONANY</v>
      </c>
    </row>
    <row r="2396" spans="1:8" ht="20.100000000000001" customHeight="1" x14ac:dyDescent="0.25">
      <c r="A2396" s="3" t="s">
        <v>292</v>
      </c>
      <c r="B2396" s="3" t="s">
        <v>381</v>
      </c>
      <c r="C2396" s="3">
        <v>2022</v>
      </c>
      <c r="D2396" s="4">
        <v>2</v>
      </c>
      <c r="E2396" s="5">
        <v>61.9</v>
      </c>
      <c r="F2396" s="5">
        <v>32.020000000000003</v>
      </c>
      <c r="G2396" s="3" t="str">
        <f>VLOOKUP(Registros[[#This Row],[Cliente]],Cliente_Region[],2,FALSE)</f>
        <v>Canada</v>
      </c>
      <c r="H2396" s="3" t="str">
        <f>VLOOKUP(Registros[[#This Row],[Producto]],Producto[],2,FALSE)</f>
        <v>QUOKAR</v>
      </c>
    </row>
    <row r="2397" spans="1:8" ht="20.100000000000001" customHeight="1" x14ac:dyDescent="0.25">
      <c r="A2397" s="3" t="s">
        <v>292</v>
      </c>
      <c r="B2397" s="3" t="s">
        <v>381</v>
      </c>
      <c r="C2397" s="3">
        <v>2022</v>
      </c>
      <c r="D2397" s="4">
        <v>3</v>
      </c>
      <c r="E2397" s="5">
        <v>60</v>
      </c>
      <c r="F2397" s="5">
        <v>30.12</v>
      </c>
      <c r="G2397" s="3" t="str">
        <f>VLOOKUP(Registros[[#This Row],[Cliente]],Cliente_Region[],2,FALSE)</f>
        <v>Canada</v>
      </c>
      <c r="H2397" s="3" t="str">
        <f>VLOOKUP(Registros[[#This Row],[Producto]],Producto[],2,FALSE)</f>
        <v>QUOKAR</v>
      </c>
    </row>
    <row r="2398" spans="1:8" ht="20.100000000000001" customHeight="1" x14ac:dyDescent="0.25">
      <c r="A2398" s="3" t="s">
        <v>292</v>
      </c>
      <c r="B2398" s="3" t="s">
        <v>381</v>
      </c>
      <c r="C2398" s="3">
        <v>2022</v>
      </c>
      <c r="D2398" s="4">
        <v>4</v>
      </c>
      <c r="E2398" s="5">
        <v>96</v>
      </c>
      <c r="F2398" s="5">
        <v>48.19</v>
      </c>
      <c r="G2398" s="3" t="str">
        <f>VLOOKUP(Registros[[#This Row],[Cliente]],Cliente_Region[],2,FALSE)</f>
        <v>Canada</v>
      </c>
      <c r="H2398" s="3" t="str">
        <f>VLOOKUP(Registros[[#This Row],[Producto]],Producto[],2,FALSE)</f>
        <v>QUOKAR</v>
      </c>
    </row>
    <row r="2399" spans="1:8" ht="20.100000000000001" customHeight="1" x14ac:dyDescent="0.25">
      <c r="A2399" s="3" t="s">
        <v>292</v>
      </c>
      <c r="B2399" s="3" t="s">
        <v>381</v>
      </c>
      <c r="C2399" s="3">
        <v>2022</v>
      </c>
      <c r="D2399" s="4">
        <v>5</v>
      </c>
      <c r="E2399" s="5">
        <v>130.5</v>
      </c>
      <c r="F2399" s="5">
        <v>76.709999999999994</v>
      </c>
      <c r="G2399" s="3" t="str">
        <f>VLOOKUP(Registros[[#This Row],[Cliente]],Cliente_Region[],2,FALSE)</f>
        <v>Canada</v>
      </c>
      <c r="H2399" s="3" t="str">
        <f>VLOOKUP(Registros[[#This Row],[Producto]],Producto[],2,FALSE)</f>
        <v>QUOKAR</v>
      </c>
    </row>
    <row r="2400" spans="1:8" ht="20.100000000000001" customHeight="1" x14ac:dyDescent="0.25">
      <c r="A2400" s="3" t="s">
        <v>292</v>
      </c>
      <c r="B2400" s="3" t="s">
        <v>381</v>
      </c>
      <c r="C2400" s="3">
        <v>2022</v>
      </c>
      <c r="D2400" s="4">
        <v>6</v>
      </c>
      <c r="E2400" s="5">
        <v>116</v>
      </c>
      <c r="F2400" s="5">
        <v>68.19</v>
      </c>
      <c r="G2400" s="3" t="str">
        <f>VLOOKUP(Registros[[#This Row],[Cliente]],Cliente_Region[],2,FALSE)</f>
        <v>Canada</v>
      </c>
      <c r="H2400" s="3" t="str">
        <f>VLOOKUP(Registros[[#This Row],[Producto]],Producto[],2,FALSE)</f>
        <v>QUOKAR</v>
      </c>
    </row>
    <row r="2401" spans="1:8" ht="20.100000000000001" customHeight="1" x14ac:dyDescent="0.25">
      <c r="A2401" s="3" t="s">
        <v>293</v>
      </c>
      <c r="B2401" s="3" t="s">
        <v>381</v>
      </c>
      <c r="C2401" s="3">
        <v>2022</v>
      </c>
      <c r="D2401" s="4">
        <v>1</v>
      </c>
      <c r="E2401" s="5">
        <v>114</v>
      </c>
      <c r="F2401" s="5">
        <v>25.87</v>
      </c>
      <c r="G2401" s="3" t="str">
        <f>VLOOKUP(Registros[[#This Row],[Cliente]],Cliente_Region[],2,FALSE)</f>
        <v>Canada</v>
      </c>
      <c r="H2401" s="3" t="str">
        <f>VLOOKUP(Registros[[#This Row],[Producto]],Producto[],2,FALSE)</f>
        <v>QUOKAR</v>
      </c>
    </row>
    <row r="2402" spans="1:8" ht="20.100000000000001" customHeight="1" x14ac:dyDescent="0.25">
      <c r="A2402" s="3" t="s">
        <v>294</v>
      </c>
      <c r="B2402" s="3" t="s">
        <v>381</v>
      </c>
      <c r="C2402" s="3">
        <v>2022</v>
      </c>
      <c r="D2402" s="4">
        <v>2</v>
      </c>
      <c r="E2402" s="5">
        <v>111.42</v>
      </c>
      <c r="F2402" s="5">
        <v>23.22</v>
      </c>
      <c r="G2402" s="3" t="str">
        <f>VLOOKUP(Registros[[#This Row],[Cliente]],Cliente_Region[],2,FALSE)</f>
        <v>Canada</v>
      </c>
      <c r="H2402" s="3" t="str">
        <f>VLOOKUP(Registros[[#This Row],[Producto]],Producto[],2,FALSE)</f>
        <v>CHOTUS</v>
      </c>
    </row>
    <row r="2403" spans="1:8" ht="20.100000000000001" customHeight="1" x14ac:dyDescent="0.25">
      <c r="A2403" s="3" t="s">
        <v>294</v>
      </c>
      <c r="B2403" s="3" t="s">
        <v>381</v>
      </c>
      <c r="C2403" s="3">
        <v>2022</v>
      </c>
      <c r="D2403" s="4">
        <v>3</v>
      </c>
      <c r="E2403" s="5">
        <v>117</v>
      </c>
      <c r="F2403" s="5">
        <v>29.49</v>
      </c>
      <c r="G2403" s="3" t="str">
        <f>VLOOKUP(Registros[[#This Row],[Cliente]],Cliente_Region[],2,FALSE)</f>
        <v>Canada</v>
      </c>
      <c r="H2403" s="3" t="str">
        <f>VLOOKUP(Registros[[#This Row],[Producto]],Producto[],2,FALSE)</f>
        <v>CHOTUS</v>
      </c>
    </row>
    <row r="2404" spans="1:8" ht="20.100000000000001" customHeight="1" x14ac:dyDescent="0.25">
      <c r="A2404" s="3" t="s">
        <v>294</v>
      </c>
      <c r="B2404" s="3" t="s">
        <v>381</v>
      </c>
      <c r="C2404" s="3">
        <v>2022</v>
      </c>
      <c r="D2404" s="4">
        <v>4</v>
      </c>
      <c r="E2404" s="5">
        <v>117</v>
      </c>
      <c r="F2404" s="5">
        <v>29.68</v>
      </c>
      <c r="G2404" s="3" t="str">
        <f>VLOOKUP(Registros[[#This Row],[Cliente]],Cliente_Region[],2,FALSE)</f>
        <v>Canada</v>
      </c>
      <c r="H2404" s="3" t="str">
        <f>VLOOKUP(Registros[[#This Row],[Producto]],Producto[],2,FALSE)</f>
        <v>CHOTUS</v>
      </c>
    </row>
    <row r="2405" spans="1:8" ht="20.100000000000001" customHeight="1" x14ac:dyDescent="0.25">
      <c r="A2405" s="3" t="s">
        <v>294</v>
      </c>
      <c r="B2405" s="3" t="s">
        <v>381</v>
      </c>
      <c r="C2405" s="3">
        <v>2022</v>
      </c>
      <c r="D2405" s="4">
        <v>5</v>
      </c>
      <c r="E2405" s="5">
        <v>104</v>
      </c>
      <c r="F2405" s="5">
        <v>26.68</v>
      </c>
      <c r="G2405" s="3" t="str">
        <f>VLOOKUP(Registros[[#This Row],[Cliente]],Cliente_Region[],2,FALSE)</f>
        <v>Canada</v>
      </c>
      <c r="H2405" s="3" t="str">
        <f>VLOOKUP(Registros[[#This Row],[Producto]],Producto[],2,FALSE)</f>
        <v>CHOTUS</v>
      </c>
    </row>
    <row r="2406" spans="1:8" ht="20.100000000000001" customHeight="1" x14ac:dyDescent="0.25">
      <c r="A2406" s="3" t="s">
        <v>294</v>
      </c>
      <c r="B2406" s="3" t="s">
        <v>381</v>
      </c>
      <c r="C2406" s="3">
        <v>2022</v>
      </c>
      <c r="D2406" s="4">
        <v>6</v>
      </c>
      <c r="E2406" s="5">
        <v>117</v>
      </c>
      <c r="F2406" s="5">
        <v>28.82</v>
      </c>
      <c r="G2406" s="3" t="str">
        <f>VLOOKUP(Registros[[#This Row],[Cliente]],Cliente_Region[],2,FALSE)</f>
        <v>Canada</v>
      </c>
      <c r="H2406" s="3" t="str">
        <f>VLOOKUP(Registros[[#This Row],[Producto]],Producto[],2,FALSE)</f>
        <v>CHOTUS</v>
      </c>
    </row>
    <row r="2407" spans="1:8" ht="20.100000000000001" customHeight="1" x14ac:dyDescent="0.25">
      <c r="A2407" s="3" t="s">
        <v>304</v>
      </c>
      <c r="B2407" s="3" t="s">
        <v>381</v>
      </c>
      <c r="C2407" s="3">
        <v>2022</v>
      </c>
      <c r="D2407" s="4">
        <v>1</v>
      </c>
      <c r="E2407" s="5">
        <v>121.5</v>
      </c>
      <c r="F2407" s="5">
        <v>81.09</v>
      </c>
      <c r="G2407" s="3" t="str">
        <f>VLOOKUP(Registros[[#This Row],[Cliente]],Cliente_Region[],2,FALSE)</f>
        <v>Canada</v>
      </c>
      <c r="H2407" s="3" t="str">
        <f>VLOOKUP(Registros[[#This Row],[Producto]],Producto[],2,FALSE)</f>
        <v>QUOKAR</v>
      </c>
    </row>
    <row r="2408" spans="1:8" ht="20.100000000000001" customHeight="1" x14ac:dyDescent="0.25">
      <c r="A2408" s="3" t="s">
        <v>305</v>
      </c>
      <c r="B2408" s="3" t="s">
        <v>381</v>
      </c>
      <c r="C2408" s="3">
        <v>2022</v>
      </c>
      <c r="D2408" s="4">
        <v>2</v>
      </c>
      <c r="E2408" s="5">
        <v>128.69999999999999</v>
      </c>
      <c r="F2408" s="5">
        <v>88.29</v>
      </c>
      <c r="G2408" s="3" t="str">
        <f>VLOOKUP(Registros[[#This Row],[Cliente]],Cliente_Region[],2,FALSE)</f>
        <v>Canada</v>
      </c>
      <c r="H2408" s="3" t="str">
        <f>VLOOKUP(Registros[[#This Row],[Producto]],Producto[],2,FALSE)</f>
        <v>DAWNE</v>
      </c>
    </row>
    <row r="2409" spans="1:8" ht="20.100000000000001" customHeight="1" x14ac:dyDescent="0.25">
      <c r="A2409" s="3" t="s">
        <v>305</v>
      </c>
      <c r="B2409" s="3" t="s">
        <v>381</v>
      </c>
      <c r="C2409" s="3">
        <v>2022</v>
      </c>
      <c r="D2409" s="4">
        <v>3</v>
      </c>
      <c r="E2409" s="5">
        <v>123.9</v>
      </c>
      <c r="F2409" s="5">
        <v>83.49</v>
      </c>
      <c r="G2409" s="3" t="str">
        <f>VLOOKUP(Registros[[#This Row],[Cliente]],Cliente_Region[],2,FALSE)</f>
        <v>Canada</v>
      </c>
      <c r="H2409" s="3" t="str">
        <f>VLOOKUP(Registros[[#This Row],[Producto]],Producto[],2,FALSE)</f>
        <v>DAWNE</v>
      </c>
    </row>
    <row r="2410" spans="1:8" ht="20.100000000000001" customHeight="1" x14ac:dyDescent="0.25">
      <c r="A2410" s="3" t="s">
        <v>305</v>
      </c>
      <c r="B2410" s="3" t="s">
        <v>381</v>
      </c>
      <c r="C2410" s="3">
        <v>2022</v>
      </c>
      <c r="D2410" s="4">
        <v>4</v>
      </c>
      <c r="E2410" s="5">
        <v>121.5</v>
      </c>
      <c r="F2410" s="5">
        <v>81.09</v>
      </c>
      <c r="G2410" s="3" t="str">
        <f>VLOOKUP(Registros[[#This Row],[Cliente]],Cliente_Region[],2,FALSE)</f>
        <v>Canada</v>
      </c>
      <c r="H2410" s="3" t="str">
        <f>VLOOKUP(Registros[[#This Row],[Producto]],Producto[],2,FALSE)</f>
        <v>DAWNE</v>
      </c>
    </row>
    <row r="2411" spans="1:8" ht="20.100000000000001" customHeight="1" x14ac:dyDescent="0.25">
      <c r="A2411" s="3" t="s">
        <v>305</v>
      </c>
      <c r="B2411" s="3" t="s">
        <v>381</v>
      </c>
      <c r="C2411" s="3">
        <v>2022</v>
      </c>
      <c r="D2411" s="4">
        <v>5</v>
      </c>
      <c r="E2411" s="5">
        <v>130.5</v>
      </c>
      <c r="F2411" s="5">
        <v>90.09</v>
      </c>
      <c r="G2411" s="3" t="str">
        <f>VLOOKUP(Registros[[#This Row],[Cliente]],Cliente_Region[],2,FALSE)</f>
        <v>Canada</v>
      </c>
      <c r="H2411" s="3" t="str">
        <f>VLOOKUP(Registros[[#This Row],[Producto]],Producto[],2,FALSE)</f>
        <v>DAWNE</v>
      </c>
    </row>
    <row r="2412" spans="1:8" ht="20.100000000000001" customHeight="1" x14ac:dyDescent="0.25">
      <c r="A2412" s="3" t="s">
        <v>305</v>
      </c>
      <c r="B2412" s="3" t="s">
        <v>381</v>
      </c>
      <c r="C2412" s="3">
        <v>2022</v>
      </c>
      <c r="D2412" s="4">
        <v>6</v>
      </c>
      <c r="E2412" s="5">
        <v>130.5</v>
      </c>
      <c r="F2412" s="5">
        <v>90.09</v>
      </c>
      <c r="G2412" s="3" t="str">
        <f>VLOOKUP(Registros[[#This Row],[Cliente]],Cliente_Region[],2,FALSE)</f>
        <v>Canada</v>
      </c>
      <c r="H2412" s="3" t="str">
        <f>VLOOKUP(Registros[[#This Row],[Producto]],Producto[],2,FALSE)</f>
        <v>DAWNE</v>
      </c>
    </row>
    <row r="2413" spans="1:8" ht="20.100000000000001" customHeight="1" x14ac:dyDescent="0.25">
      <c r="A2413" s="3" t="s">
        <v>295</v>
      </c>
      <c r="B2413" s="3" t="s">
        <v>381</v>
      </c>
      <c r="C2413" s="3">
        <v>2022</v>
      </c>
      <c r="D2413" s="4">
        <v>1</v>
      </c>
      <c r="E2413" s="5">
        <v>65</v>
      </c>
      <c r="F2413" s="5">
        <v>37.42</v>
      </c>
      <c r="G2413" s="3" t="str">
        <f>VLOOKUP(Registros[[#This Row],[Cliente]],Cliente_Region[],2,FALSE)</f>
        <v>Canada</v>
      </c>
      <c r="H2413" s="3" t="str">
        <f>VLOOKUP(Registros[[#This Row],[Producto]],Producto[],2,FALSE)</f>
        <v>QUOKAR</v>
      </c>
    </row>
    <row r="2414" spans="1:8" ht="20.100000000000001" customHeight="1" x14ac:dyDescent="0.25">
      <c r="A2414" s="3" t="s">
        <v>296</v>
      </c>
      <c r="B2414" s="3" t="s">
        <v>381</v>
      </c>
      <c r="C2414" s="3">
        <v>2022</v>
      </c>
      <c r="D2414" s="4">
        <v>2</v>
      </c>
      <c r="E2414" s="5">
        <v>52.8</v>
      </c>
      <c r="F2414" s="5">
        <v>30.74</v>
      </c>
      <c r="G2414" s="3" t="str">
        <f>VLOOKUP(Registros[[#This Row],[Cliente]],Cliente_Region[],2,FALSE)</f>
        <v>Canada</v>
      </c>
      <c r="H2414" s="3" t="str">
        <f>VLOOKUP(Registros[[#This Row],[Producto]],Producto[],2,FALSE)</f>
        <v>SALF</v>
      </c>
    </row>
    <row r="2415" spans="1:8" ht="20.100000000000001" customHeight="1" x14ac:dyDescent="0.25">
      <c r="A2415" s="3" t="s">
        <v>296</v>
      </c>
      <c r="B2415" s="3" t="s">
        <v>381</v>
      </c>
      <c r="C2415" s="3">
        <v>2022</v>
      </c>
      <c r="D2415" s="4">
        <v>3</v>
      </c>
      <c r="E2415" s="5">
        <v>52.5</v>
      </c>
      <c r="F2415" s="5">
        <v>30.43</v>
      </c>
      <c r="G2415" s="3" t="str">
        <f>VLOOKUP(Registros[[#This Row],[Cliente]],Cliente_Region[],2,FALSE)</f>
        <v>Canada</v>
      </c>
      <c r="H2415" s="3" t="str">
        <f>VLOOKUP(Registros[[#This Row],[Producto]],Producto[],2,FALSE)</f>
        <v>SALF</v>
      </c>
    </row>
    <row r="2416" spans="1:8" ht="20.100000000000001" customHeight="1" x14ac:dyDescent="0.25">
      <c r="A2416" s="3" t="s">
        <v>296</v>
      </c>
      <c r="B2416" s="3" t="s">
        <v>381</v>
      </c>
      <c r="C2416" s="3">
        <v>2022</v>
      </c>
      <c r="D2416" s="4">
        <v>4</v>
      </c>
      <c r="E2416" s="5">
        <v>54</v>
      </c>
      <c r="F2416" s="5">
        <v>31.94</v>
      </c>
      <c r="G2416" s="3" t="str">
        <f>VLOOKUP(Registros[[#This Row],[Cliente]],Cliente_Region[],2,FALSE)</f>
        <v>Canada</v>
      </c>
      <c r="H2416" s="3" t="str">
        <f>VLOOKUP(Registros[[#This Row],[Producto]],Producto[],2,FALSE)</f>
        <v>SALF</v>
      </c>
    </row>
    <row r="2417" spans="1:8" ht="20.100000000000001" customHeight="1" x14ac:dyDescent="0.25">
      <c r="A2417" s="3" t="s">
        <v>296</v>
      </c>
      <c r="B2417" s="3" t="s">
        <v>381</v>
      </c>
      <c r="C2417" s="3">
        <v>2022</v>
      </c>
      <c r="D2417" s="4">
        <v>5</v>
      </c>
      <c r="E2417" s="5">
        <v>55</v>
      </c>
      <c r="F2417" s="5">
        <v>32.94</v>
      </c>
      <c r="G2417" s="3" t="str">
        <f>VLOOKUP(Registros[[#This Row],[Cliente]],Cliente_Region[],2,FALSE)</f>
        <v>Canada</v>
      </c>
      <c r="H2417" s="3" t="str">
        <f>VLOOKUP(Registros[[#This Row],[Producto]],Producto[],2,FALSE)</f>
        <v>SALF</v>
      </c>
    </row>
    <row r="2418" spans="1:8" ht="20.100000000000001" customHeight="1" x14ac:dyDescent="0.25">
      <c r="A2418" s="3" t="s">
        <v>296</v>
      </c>
      <c r="B2418" s="3" t="s">
        <v>381</v>
      </c>
      <c r="C2418" s="3">
        <v>2022</v>
      </c>
      <c r="D2418" s="4">
        <v>6</v>
      </c>
      <c r="E2418" s="5">
        <v>41.25</v>
      </c>
      <c r="F2418" s="5">
        <v>24.7</v>
      </c>
      <c r="G2418" s="3" t="str">
        <f>VLOOKUP(Registros[[#This Row],[Cliente]],Cliente_Region[],2,FALSE)</f>
        <v>Canada</v>
      </c>
      <c r="H2418" s="3" t="str">
        <f>VLOOKUP(Registros[[#This Row],[Producto]],Producto[],2,FALSE)</f>
        <v>SALF</v>
      </c>
    </row>
    <row r="2419" spans="1:8" ht="20.100000000000001" customHeight="1" x14ac:dyDescent="0.25">
      <c r="A2419" s="3" t="s">
        <v>280</v>
      </c>
      <c r="B2419" s="3" t="s">
        <v>381</v>
      </c>
      <c r="C2419" s="3">
        <v>2022</v>
      </c>
      <c r="D2419" s="4">
        <v>1</v>
      </c>
      <c r="E2419" s="5">
        <v>100</v>
      </c>
      <c r="F2419" s="5">
        <v>53.18</v>
      </c>
      <c r="G2419" s="3" t="str">
        <f>VLOOKUP(Registros[[#This Row],[Cliente]],Cliente_Region[],2,FALSE)</f>
        <v>Canada</v>
      </c>
      <c r="H2419" s="3" t="str">
        <f>VLOOKUP(Registros[[#This Row],[Producto]],Producto[],2,FALSE)</f>
        <v>CHOTUS</v>
      </c>
    </row>
    <row r="2420" spans="1:8" ht="20.100000000000001" customHeight="1" x14ac:dyDescent="0.25">
      <c r="A2420" s="3" t="s">
        <v>281</v>
      </c>
      <c r="B2420" s="3" t="s">
        <v>381</v>
      </c>
      <c r="C2420" s="3">
        <v>2022</v>
      </c>
      <c r="D2420" s="4">
        <v>2</v>
      </c>
      <c r="E2420" s="5">
        <v>40.700000000000003</v>
      </c>
      <c r="F2420" s="5">
        <v>21.98</v>
      </c>
      <c r="G2420" s="3" t="str">
        <f>VLOOKUP(Registros[[#This Row],[Cliente]],Cliente_Region[],2,FALSE)</f>
        <v>Canada</v>
      </c>
      <c r="H2420" s="3" t="str">
        <f>VLOOKUP(Registros[[#This Row],[Producto]],Producto[],2,FALSE)</f>
        <v>SALF</v>
      </c>
    </row>
    <row r="2421" spans="1:8" ht="20.100000000000001" customHeight="1" x14ac:dyDescent="0.25">
      <c r="A2421" s="3" t="s">
        <v>281</v>
      </c>
      <c r="B2421" s="3" t="s">
        <v>381</v>
      </c>
      <c r="C2421" s="3">
        <v>2022</v>
      </c>
      <c r="D2421" s="4">
        <v>3</v>
      </c>
      <c r="E2421" s="5">
        <v>80.5</v>
      </c>
      <c r="F2421" s="5">
        <v>43.05</v>
      </c>
      <c r="G2421" s="3" t="str">
        <f>VLOOKUP(Registros[[#This Row],[Cliente]],Cliente_Region[],2,FALSE)</f>
        <v>Canada</v>
      </c>
      <c r="H2421" s="3" t="str">
        <f>VLOOKUP(Registros[[#This Row],[Producto]],Producto[],2,FALSE)</f>
        <v>SALF</v>
      </c>
    </row>
    <row r="2422" spans="1:8" ht="20.100000000000001" customHeight="1" x14ac:dyDescent="0.25">
      <c r="A2422" s="3" t="s">
        <v>281</v>
      </c>
      <c r="B2422" s="3" t="s">
        <v>381</v>
      </c>
      <c r="C2422" s="3">
        <v>2022</v>
      </c>
      <c r="D2422" s="4">
        <v>4</v>
      </c>
      <c r="E2422" s="5">
        <v>82</v>
      </c>
      <c r="F2422" s="5">
        <v>44.54</v>
      </c>
      <c r="G2422" s="3" t="str">
        <f>VLOOKUP(Registros[[#This Row],[Cliente]],Cliente_Region[],2,FALSE)</f>
        <v>Canada</v>
      </c>
      <c r="H2422" s="3" t="str">
        <f>VLOOKUP(Registros[[#This Row],[Producto]],Producto[],2,FALSE)</f>
        <v>SALF</v>
      </c>
    </row>
    <row r="2423" spans="1:8" ht="20.100000000000001" customHeight="1" x14ac:dyDescent="0.25">
      <c r="A2423" s="3" t="s">
        <v>281</v>
      </c>
      <c r="B2423" s="3" t="s">
        <v>381</v>
      </c>
      <c r="C2423" s="3">
        <v>2022</v>
      </c>
      <c r="D2423" s="4">
        <v>5</v>
      </c>
      <c r="E2423" s="5">
        <v>82</v>
      </c>
      <c r="F2423" s="5">
        <v>44.54</v>
      </c>
      <c r="G2423" s="3" t="str">
        <f>VLOOKUP(Registros[[#This Row],[Cliente]],Cliente_Region[],2,FALSE)</f>
        <v>Canada</v>
      </c>
      <c r="H2423" s="3" t="str">
        <f>VLOOKUP(Registros[[#This Row],[Producto]],Producto[],2,FALSE)</f>
        <v>SALF</v>
      </c>
    </row>
    <row r="2424" spans="1:8" ht="20.100000000000001" customHeight="1" x14ac:dyDescent="0.25">
      <c r="A2424" s="3" t="s">
        <v>281</v>
      </c>
      <c r="B2424" s="3" t="s">
        <v>381</v>
      </c>
      <c r="C2424" s="3">
        <v>2022</v>
      </c>
      <c r="D2424" s="4">
        <v>6</v>
      </c>
      <c r="E2424" s="5">
        <v>82</v>
      </c>
      <c r="F2424" s="5">
        <v>44.55</v>
      </c>
      <c r="G2424" s="3" t="str">
        <f>VLOOKUP(Registros[[#This Row],[Cliente]],Cliente_Region[],2,FALSE)</f>
        <v>Canada</v>
      </c>
      <c r="H2424" s="3" t="str">
        <f>VLOOKUP(Registros[[#This Row],[Producto]],Producto[],2,FALSE)</f>
        <v>SALF</v>
      </c>
    </row>
    <row r="2425" spans="1:8" ht="20.100000000000001" customHeight="1" x14ac:dyDescent="0.25">
      <c r="A2425" s="3" t="s">
        <v>136</v>
      </c>
      <c r="B2425" s="3" t="s">
        <v>381</v>
      </c>
      <c r="C2425" s="3">
        <v>2022</v>
      </c>
      <c r="D2425" s="4">
        <v>1</v>
      </c>
      <c r="E2425" s="5">
        <v>161.5</v>
      </c>
      <c r="F2425" s="5">
        <v>74.25</v>
      </c>
      <c r="G2425" s="3" t="str">
        <f>VLOOKUP(Registros[[#This Row],[Cliente]],Cliente_Region[],2,FALSE)</f>
        <v>Canada</v>
      </c>
      <c r="H2425" s="3" t="str">
        <f>VLOOKUP(Registros[[#This Row],[Producto]],Producto[],2,FALSE)</f>
        <v>CHOTUS</v>
      </c>
    </row>
    <row r="2426" spans="1:8" ht="20.100000000000001" customHeight="1" x14ac:dyDescent="0.25">
      <c r="A2426" s="3" t="s">
        <v>137</v>
      </c>
      <c r="B2426" s="3" t="s">
        <v>381</v>
      </c>
      <c r="C2426" s="3">
        <v>2022</v>
      </c>
      <c r="D2426" s="4">
        <v>2</v>
      </c>
      <c r="E2426" s="5">
        <v>207.9</v>
      </c>
      <c r="F2426" s="5">
        <v>133.11000000000001</v>
      </c>
      <c r="G2426" s="3" t="str">
        <f>VLOOKUP(Registros[[#This Row],[Cliente]],Cliente_Region[],2,FALSE)</f>
        <v>Canada</v>
      </c>
      <c r="H2426" s="3" t="str">
        <f>VLOOKUP(Registros[[#This Row],[Producto]],Producto[],2,FALSE)</f>
        <v>QUOKAR</v>
      </c>
    </row>
    <row r="2427" spans="1:8" ht="20.100000000000001" customHeight="1" x14ac:dyDescent="0.25">
      <c r="A2427" s="3" t="s">
        <v>137</v>
      </c>
      <c r="B2427" s="3" t="s">
        <v>381</v>
      </c>
      <c r="C2427" s="3">
        <v>2022</v>
      </c>
      <c r="D2427" s="4">
        <v>3</v>
      </c>
      <c r="E2427" s="5">
        <v>154</v>
      </c>
      <c r="F2427" s="5">
        <v>66.75</v>
      </c>
      <c r="G2427" s="3" t="str">
        <f>VLOOKUP(Registros[[#This Row],[Cliente]],Cliente_Region[],2,FALSE)</f>
        <v>Canada</v>
      </c>
      <c r="H2427" s="3" t="str">
        <f>VLOOKUP(Registros[[#This Row],[Producto]],Producto[],2,FALSE)</f>
        <v>QUOKAR</v>
      </c>
    </row>
    <row r="2428" spans="1:8" ht="20.100000000000001" customHeight="1" x14ac:dyDescent="0.25">
      <c r="A2428" s="3" t="s">
        <v>137</v>
      </c>
      <c r="B2428" s="3" t="s">
        <v>381</v>
      </c>
      <c r="C2428" s="3">
        <v>2022</v>
      </c>
      <c r="D2428" s="4">
        <v>4</v>
      </c>
      <c r="E2428" s="5">
        <v>132</v>
      </c>
      <c r="F2428" s="5">
        <v>57.21</v>
      </c>
      <c r="G2428" s="3" t="str">
        <f>VLOOKUP(Registros[[#This Row],[Cliente]],Cliente_Region[],2,FALSE)</f>
        <v>Canada</v>
      </c>
      <c r="H2428" s="3" t="str">
        <f>VLOOKUP(Registros[[#This Row],[Producto]],Producto[],2,FALSE)</f>
        <v>QUOKAR</v>
      </c>
    </row>
    <row r="2429" spans="1:8" ht="20.100000000000001" customHeight="1" x14ac:dyDescent="0.25">
      <c r="A2429" s="3" t="s">
        <v>137</v>
      </c>
      <c r="B2429" s="3" t="s">
        <v>381</v>
      </c>
      <c r="C2429" s="3">
        <v>2022</v>
      </c>
      <c r="D2429" s="4">
        <v>5</v>
      </c>
      <c r="E2429" s="5">
        <v>132</v>
      </c>
      <c r="F2429" s="5">
        <v>57.22</v>
      </c>
      <c r="G2429" s="3" t="str">
        <f>VLOOKUP(Registros[[#This Row],[Cliente]],Cliente_Region[],2,FALSE)</f>
        <v>Canada</v>
      </c>
      <c r="H2429" s="3" t="str">
        <f>VLOOKUP(Registros[[#This Row],[Producto]],Producto[],2,FALSE)</f>
        <v>QUOKAR</v>
      </c>
    </row>
    <row r="2430" spans="1:8" ht="20.100000000000001" customHeight="1" x14ac:dyDescent="0.25">
      <c r="A2430" s="3" t="s">
        <v>137</v>
      </c>
      <c r="B2430" s="3" t="s">
        <v>381</v>
      </c>
      <c r="C2430" s="3">
        <v>2022</v>
      </c>
      <c r="D2430" s="4">
        <v>6</v>
      </c>
      <c r="E2430" s="5">
        <v>132</v>
      </c>
      <c r="F2430" s="5">
        <v>57.21</v>
      </c>
      <c r="G2430" s="3" t="str">
        <f>VLOOKUP(Registros[[#This Row],[Cliente]],Cliente_Region[],2,FALSE)</f>
        <v>Canada</v>
      </c>
      <c r="H2430" s="3" t="str">
        <f>VLOOKUP(Registros[[#This Row],[Producto]],Producto[],2,FALSE)</f>
        <v>QUOKAR</v>
      </c>
    </row>
    <row r="2431" spans="1:8" ht="20.100000000000001" customHeight="1" x14ac:dyDescent="0.25">
      <c r="A2431" s="3" t="s">
        <v>77</v>
      </c>
      <c r="B2431" s="3" t="s">
        <v>381</v>
      </c>
      <c r="C2431" s="3">
        <v>2022</v>
      </c>
      <c r="D2431" s="4">
        <v>2</v>
      </c>
      <c r="E2431" s="5">
        <v>34.1</v>
      </c>
      <c r="F2431" s="5">
        <v>24.22</v>
      </c>
      <c r="G2431" s="3" t="str">
        <f>VLOOKUP(Registros[[#This Row],[Cliente]],Cliente_Region[],2,FALSE)</f>
        <v>Canada</v>
      </c>
      <c r="H2431" s="3" t="str">
        <f>VLOOKUP(Registros[[#This Row],[Producto]],Producto[],2,FALSE)</f>
        <v>LAX</v>
      </c>
    </row>
    <row r="2432" spans="1:8" ht="20.100000000000001" customHeight="1" x14ac:dyDescent="0.25">
      <c r="A2432" s="3" t="s">
        <v>78</v>
      </c>
      <c r="B2432" s="3" t="s">
        <v>381</v>
      </c>
      <c r="C2432" s="3">
        <v>2022</v>
      </c>
      <c r="D2432" s="4">
        <v>4</v>
      </c>
      <c r="E2432" s="5">
        <v>34.1</v>
      </c>
      <c r="F2432" s="5">
        <v>24.22</v>
      </c>
      <c r="G2432" s="3" t="str">
        <f>VLOOKUP(Registros[[#This Row],[Cliente]],Cliente_Region[],2,FALSE)</f>
        <v>Canada</v>
      </c>
      <c r="H2432" s="3" t="str">
        <f>VLOOKUP(Registros[[#This Row],[Producto]],Producto[],2,FALSE)</f>
        <v>MOC</v>
      </c>
    </row>
    <row r="2433" spans="1:8" ht="20.100000000000001" customHeight="1" x14ac:dyDescent="0.25">
      <c r="A2433" s="3" t="s">
        <v>338</v>
      </c>
      <c r="B2433" s="3" t="s">
        <v>381</v>
      </c>
      <c r="C2433" s="3">
        <v>2022</v>
      </c>
      <c r="D2433" s="4">
        <v>3</v>
      </c>
      <c r="E2433" s="5">
        <v>30</v>
      </c>
      <c r="F2433" s="5">
        <v>18.97</v>
      </c>
      <c r="G2433" s="3" t="str">
        <f>VLOOKUP(Registros[[#This Row],[Cliente]],Cliente_Region[],2,FALSE)</f>
        <v>Canada</v>
      </c>
      <c r="H2433" s="3" t="str">
        <f>VLOOKUP(Registros[[#This Row],[Producto]],Producto[],2,FALSE)</f>
        <v>DAWNE</v>
      </c>
    </row>
    <row r="2434" spans="1:8" ht="20.100000000000001" customHeight="1" x14ac:dyDescent="0.25">
      <c r="A2434" s="3" t="s">
        <v>339</v>
      </c>
      <c r="B2434" s="3" t="s">
        <v>381</v>
      </c>
      <c r="C2434" s="3">
        <v>2022</v>
      </c>
      <c r="D2434" s="4">
        <v>4</v>
      </c>
      <c r="E2434" s="5">
        <v>60</v>
      </c>
      <c r="F2434" s="5">
        <v>37.94</v>
      </c>
      <c r="G2434" s="3" t="str">
        <f>VLOOKUP(Registros[[#This Row],[Cliente]],Cliente_Region[],2,FALSE)</f>
        <v>Canada</v>
      </c>
      <c r="H2434" s="3" t="str">
        <f>VLOOKUP(Registros[[#This Row],[Producto]],Producto[],2,FALSE)</f>
        <v>LAX</v>
      </c>
    </row>
    <row r="2435" spans="1:8" ht="20.100000000000001" customHeight="1" x14ac:dyDescent="0.25">
      <c r="A2435" s="3" t="s">
        <v>339</v>
      </c>
      <c r="B2435" s="3" t="s">
        <v>381</v>
      </c>
      <c r="C2435" s="3">
        <v>2022</v>
      </c>
      <c r="D2435" s="4">
        <v>5</v>
      </c>
      <c r="E2435" s="5">
        <v>105</v>
      </c>
      <c r="F2435" s="5">
        <v>71.91</v>
      </c>
      <c r="G2435" s="3" t="str">
        <f>VLOOKUP(Registros[[#This Row],[Cliente]],Cliente_Region[],2,FALSE)</f>
        <v>Canada</v>
      </c>
      <c r="H2435" s="3" t="str">
        <f>VLOOKUP(Registros[[#This Row],[Producto]],Producto[],2,FALSE)</f>
        <v>LAX</v>
      </c>
    </row>
    <row r="2436" spans="1:8" ht="20.100000000000001" customHeight="1" x14ac:dyDescent="0.25">
      <c r="A2436" s="3" t="s">
        <v>339</v>
      </c>
      <c r="B2436" s="3" t="s">
        <v>381</v>
      </c>
      <c r="C2436" s="3">
        <v>2022</v>
      </c>
      <c r="D2436" s="4">
        <v>6</v>
      </c>
      <c r="E2436" s="5">
        <v>70</v>
      </c>
      <c r="F2436" s="5">
        <v>47.93</v>
      </c>
      <c r="G2436" s="3" t="str">
        <f>VLOOKUP(Registros[[#This Row],[Cliente]],Cliente_Region[],2,FALSE)</f>
        <v>Canada</v>
      </c>
      <c r="H2436" s="3" t="str">
        <f>VLOOKUP(Registros[[#This Row],[Producto]],Producto[],2,FALSE)</f>
        <v>LAX</v>
      </c>
    </row>
    <row r="2437" spans="1:8" ht="20.100000000000001" customHeight="1" x14ac:dyDescent="0.25">
      <c r="A2437" s="3" t="s">
        <v>340</v>
      </c>
      <c r="B2437" s="3" t="s">
        <v>381</v>
      </c>
      <c r="C2437" s="3">
        <v>2022</v>
      </c>
      <c r="D2437" s="4">
        <v>3</v>
      </c>
      <c r="E2437" s="5">
        <v>34</v>
      </c>
      <c r="F2437" s="5">
        <v>17.64</v>
      </c>
      <c r="G2437" s="3" t="str">
        <f>VLOOKUP(Registros[[#This Row],[Cliente]],Cliente_Region[],2,FALSE)</f>
        <v>Canada</v>
      </c>
      <c r="H2437" s="3" t="str">
        <f>VLOOKUP(Registros[[#This Row],[Producto]],Producto[],2,FALSE)</f>
        <v>CHOTUS</v>
      </c>
    </row>
    <row r="2438" spans="1:8" ht="20.100000000000001" customHeight="1" x14ac:dyDescent="0.25">
      <c r="A2438" s="3" t="s">
        <v>369</v>
      </c>
      <c r="B2438" s="3" t="s">
        <v>382</v>
      </c>
      <c r="C2438" s="3">
        <v>2022</v>
      </c>
      <c r="D2438" s="4">
        <v>1</v>
      </c>
      <c r="E2438" s="5">
        <v>93.75</v>
      </c>
      <c r="F2438" s="5">
        <v>50.63</v>
      </c>
      <c r="G2438" s="3" t="str">
        <f>VLOOKUP(Registros[[#This Row],[Cliente]],Cliente_Region[],2,FALSE)</f>
        <v>Canada</v>
      </c>
      <c r="H2438" s="3" t="str">
        <f>VLOOKUP(Registros[[#This Row],[Producto]],Producto[],2,FALSE)</f>
        <v>LAX</v>
      </c>
    </row>
    <row r="2439" spans="1:8" ht="20.100000000000001" customHeight="1" x14ac:dyDescent="0.25">
      <c r="A2439" s="3" t="s">
        <v>370</v>
      </c>
      <c r="B2439" s="3" t="s">
        <v>382</v>
      </c>
      <c r="C2439" s="3">
        <v>2022</v>
      </c>
      <c r="D2439" s="4">
        <v>2</v>
      </c>
      <c r="E2439" s="5">
        <v>99.5</v>
      </c>
      <c r="F2439" s="5">
        <v>56.38</v>
      </c>
      <c r="G2439" s="3" t="str">
        <f>VLOOKUP(Registros[[#This Row],[Cliente]],Cliente_Region[],2,FALSE)</f>
        <v>Canada</v>
      </c>
      <c r="H2439" s="3" t="str">
        <f>VLOOKUP(Registros[[#This Row],[Producto]],Producto[],2,FALSE)</f>
        <v>QUOKAR</v>
      </c>
    </row>
    <row r="2440" spans="1:8" ht="20.100000000000001" customHeight="1" x14ac:dyDescent="0.25">
      <c r="A2440" s="3" t="s">
        <v>370</v>
      </c>
      <c r="B2440" s="3" t="s">
        <v>382</v>
      </c>
      <c r="C2440" s="3">
        <v>2022</v>
      </c>
      <c r="D2440" s="4">
        <v>3</v>
      </c>
      <c r="E2440" s="5">
        <v>56.25</v>
      </c>
      <c r="F2440" s="5">
        <v>29.3</v>
      </c>
      <c r="G2440" s="3" t="str">
        <f>VLOOKUP(Registros[[#This Row],[Cliente]],Cliente_Region[],2,FALSE)</f>
        <v>Canada</v>
      </c>
      <c r="H2440" s="3" t="str">
        <f>VLOOKUP(Registros[[#This Row],[Producto]],Producto[],2,FALSE)</f>
        <v>QUOKAR</v>
      </c>
    </row>
    <row r="2441" spans="1:8" ht="20.100000000000001" customHeight="1" x14ac:dyDescent="0.25">
      <c r="A2441" s="3" t="s">
        <v>370</v>
      </c>
      <c r="B2441" s="3" t="s">
        <v>382</v>
      </c>
      <c r="C2441" s="3">
        <v>2022</v>
      </c>
      <c r="D2441" s="4">
        <v>4</v>
      </c>
      <c r="E2441" s="5">
        <v>101.25</v>
      </c>
      <c r="F2441" s="5">
        <v>63.52</v>
      </c>
      <c r="G2441" s="3" t="str">
        <f>VLOOKUP(Registros[[#This Row],[Cliente]],Cliente_Region[],2,FALSE)</f>
        <v>Canada</v>
      </c>
      <c r="H2441" s="3" t="str">
        <f>VLOOKUP(Registros[[#This Row],[Producto]],Producto[],2,FALSE)</f>
        <v>QUOKAR</v>
      </c>
    </row>
    <row r="2442" spans="1:8" ht="20.100000000000001" customHeight="1" x14ac:dyDescent="0.25">
      <c r="A2442" s="3" t="s">
        <v>370</v>
      </c>
      <c r="B2442" s="3" t="s">
        <v>382</v>
      </c>
      <c r="C2442" s="3">
        <v>2022</v>
      </c>
      <c r="D2442" s="4">
        <v>5</v>
      </c>
      <c r="E2442" s="5">
        <v>75</v>
      </c>
      <c r="F2442" s="5">
        <v>48.05</v>
      </c>
      <c r="G2442" s="3" t="str">
        <f>VLOOKUP(Registros[[#This Row],[Cliente]],Cliente_Region[],2,FALSE)</f>
        <v>Canada</v>
      </c>
      <c r="H2442" s="3" t="str">
        <f>VLOOKUP(Registros[[#This Row],[Producto]],Producto[],2,FALSE)</f>
        <v>QUOKAR</v>
      </c>
    </row>
    <row r="2443" spans="1:8" ht="20.100000000000001" customHeight="1" x14ac:dyDescent="0.25">
      <c r="A2443" s="3" t="s">
        <v>370</v>
      </c>
      <c r="B2443" s="3" t="s">
        <v>382</v>
      </c>
      <c r="C2443" s="3">
        <v>2022</v>
      </c>
      <c r="D2443" s="4">
        <v>6</v>
      </c>
      <c r="E2443" s="5">
        <v>60</v>
      </c>
      <c r="F2443" s="5">
        <v>38.44</v>
      </c>
      <c r="G2443" s="3" t="str">
        <f>VLOOKUP(Registros[[#This Row],[Cliente]],Cliente_Region[],2,FALSE)</f>
        <v>Canada</v>
      </c>
      <c r="H2443" s="3" t="str">
        <f>VLOOKUP(Registros[[#This Row],[Producto]],Producto[],2,FALSE)</f>
        <v>QUOKAR</v>
      </c>
    </row>
    <row r="2444" spans="1:8" ht="20.100000000000001" customHeight="1" x14ac:dyDescent="0.25">
      <c r="A2444" s="3" t="s">
        <v>383</v>
      </c>
      <c r="B2444" s="3" t="s">
        <v>382</v>
      </c>
      <c r="C2444" s="3">
        <v>2022</v>
      </c>
      <c r="D2444" s="4">
        <v>1</v>
      </c>
      <c r="E2444" s="5">
        <v>69</v>
      </c>
      <c r="F2444" s="5">
        <v>12.28</v>
      </c>
      <c r="G2444" s="3" t="str">
        <f>VLOOKUP(Registros[[#This Row],[Cliente]],Cliente_Region[],2,FALSE)</f>
        <v>Canada</v>
      </c>
      <c r="H2444" s="3" t="str">
        <f>VLOOKUP(Registros[[#This Row],[Producto]],Producto[],2,FALSE)</f>
        <v>MOC</v>
      </c>
    </row>
    <row r="2445" spans="1:8" ht="20.100000000000001" customHeight="1" x14ac:dyDescent="0.25">
      <c r="A2445" s="3" t="s">
        <v>384</v>
      </c>
      <c r="B2445" s="3" t="s">
        <v>382</v>
      </c>
      <c r="C2445" s="3">
        <v>2022</v>
      </c>
      <c r="D2445" s="4">
        <v>2</v>
      </c>
      <c r="E2445" s="5">
        <v>116.2</v>
      </c>
      <c r="F2445" s="5">
        <v>31.12</v>
      </c>
      <c r="G2445" s="3" t="str">
        <f>VLOOKUP(Registros[[#This Row],[Cliente]],Cliente_Region[],2,FALSE)</f>
        <v>Canada</v>
      </c>
      <c r="H2445" s="3" t="str">
        <f>VLOOKUP(Registros[[#This Row],[Producto]],Producto[],2,FALSE)</f>
        <v>SALF</v>
      </c>
    </row>
    <row r="2446" spans="1:8" ht="20.100000000000001" customHeight="1" x14ac:dyDescent="0.25">
      <c r="A2446" s="3" t="s">
        <v>384</v>
      </c>
      <c r="B2446" s="3" t="s">
        <v>382</v>
      </c>
      <c r="C2446" s="3">
        <v>2022</v>
      </c>
      <c r="D2446" s="4">
        <v>3</v>
      </c>
      <c r="E2446" s="5">
        <v>86.25</v>
      </c>
      <c r="F2446" s="5">
        <v>15.35</v>
      </c>
      <c r="G2446" s="3" t="str">
        <f>VLOOKUP(Registros[[#This Row],[Cliente]],Cliente_Region[],2,FALSE)</f>
        <v>Canada</v>
      </c>
      <c r="H2446" s="3" t="str">
        <f>VLOOKUP(Registros[[#This Row],[Producto]],Producto[],2,FALSE)</f>
        <v>SALF</v>
      </c>
    </row>
    <row r="2447" spans="1:8" ht="20.100000000000001" customHeight="1" x14ac:dyDescent="0.25">
      <c r="A2447" s="3" t="s">
        <v>384</v>
      </c>
      <c r="B2447" s="3" t="s">
        <v>382</v>
      </c>
      <c r="C2447" s="3">
        <v>2022</v>
      </c>
      <c r="D2447" s="4">
        <v>4</v>
      </c>
      <c r="E2447" s="5">
        <v>112.25</v>
      </c>
      <c r="F2447" s="5">
        <v>41.35</v>
      </c>
      <c r="G2447" s="3" t="str">
        <f>VLOOKUP(Registros[[#This Row],[Cliente]],Cliente_Region[],2,FALSE)</f>
        <v>Canada</v>
      </c>
      <c r="H2447" s="3" t="str">
        <f>VLOOKUP(Registros[[#This Row],[Producto]],Producto[],2,FALSE)</f>
        <v>SALF</v>
      </c>
    </row>
    <row r="2448" spans="1:8" ht="20.100000000000001" customHeight="1" x14ac:dyDescent="0.25">
      <c r="A2448" s="3" t="s">
        <v>384</v>
      </c>
      <c r="B2448" s="3" t="s">
        <v>382</v>
      </c>
      <c r="C2448" s="3">
        <v>2022</v>
      </c>
      <c r="D2448" s="4">
        <v>5</v>
      </c>
      <c r="E2448" s="5">
        <v>95</v>
      </c>
      <c r="F2448" s="5">
        <v>38.28</v>
      </c>
      <c r="G2448" s="3" t="str">
        <f>VLOOKUP(Registros[[#This Row],[Cliente]],Cliente_Region[],2,FALSE)</f>
        <v>Canada</v>
      </c>
      <c r="H2448" s="3" t="str">
        <f>VLOOKUP(Registros[[#This Row],[Producto]],Producto[],2,FALSE)</f>
        <v>SALF</v>
      </c>
    </row>
    <row r="2449" spans="1:8" ht="20.100000000000001" customHeight="1" x14ac:dyDescent="0.25">
      <c r="A2449" s="3" t="s">
        <v>384</v>
      </c>
      <c r="B2449" s="3" t="s">
        <v>382</v>
      </c>
      <c r="C2449" s="3">
        <v>2022</v>
      </c>
      <c r="D2449" s="4">
        <v>6</v>
      </c>
      <c r="E2449" s="5">
        <v>95</v>
      </c>
      <c r="F2449" s="5">
        <v>38.28</v>
      </c>
      <c r="G2449" s="3" t="str">
        <f>VLOOKUP(Registros[[#This Row],[Cliente]],Cliente_Region[],2,FALSE)</f>
        <v>Canada</v>
      </c>
      <c r="H2449" s="3" t="str">
        <f>VLOOKUP(Registros[[#This Row],[Producto]],Producto[],2,FALSE)</f>
        <v>SALF</v>
      </c>
    </row>
    <row r="2450" spans="1:8" ht="20.100000000000001" customHeight="1" x14ac:dyDescent="0.25">
      <c r="A2450" s="3" t="s">
        <v>194</v>
      </c>
      <c r="B2450" s="3" t="s">
        <v>382</v>
      </c>
      <c r="C2450" s="3">
        <v>2022</v>
      </c>
      <c r="D2450" s="4">
        <v>1</v>
      </c>
      <c r="E2450" s="5">
        <v>72</v>
      </c>
      <c r="F2450" s="5">
        <v>41.4</v>
      </c>
      <c r="G2450" s="3" t="str">
        <f>VLOOKUP(Registros[[#This Row],[Cliente]],Cliente_Region[],2,FALSE)</f>
        <v>Canada</v>
      </c>
      <c r="H2450" s="3" t="str">
        <f>VLOOKUP(Registros[[#This Row],[Producto]],Producto[],2,FALSE)</f>
        <v>LAX</v>
      </c>
    </row>
    <row r="2451" spans="1:8" ht="20.100000000000001" customHeight="1" x14ac:dyDescent="0.25">
      <c r="A2451" s="3" t="s">
        <v>333</v>
      </c>
      <c r="B2451" s="3" t="s">
        <v>382</v>
      </c>
      <c r="C2451" s="3">
        <v>2022</v>
      </c>
      <c r="D2451" s="4">
        <v>2</v>
      </c>
      <c r="E2451" s="5">
        <v>121.52</v>
      </c>
      <c r="F2451" s="5">
        <v>70.52</v>
      </c>
      <c r="G2451" s="3" t="str">
        <f>VLOOKUP(Registros[[#This Row],[Cliente]],Cliente_Region[],2,FALSE)</f>
        <v>Canada</v>
      </c>
      <c r="H2451" s="3" t="str">
        <f>VLOOKUP(Registros[[#This Row],[Producto]],Producto[],2,FALSE)</f>
        <v>GAMBO</v>
      </c>
    </row>
    <row r="2452" spans="1:8" ht="20.100000000000001" customHeight="1" x14ac:dyDescent="0.25">
      <c r="A2452" s="3" t="s">
        <v>333</v>
      </c>
      <c r="B2452" s="3" t="s">
        <v>382</v>
      </c>
      <c r="C2452" s="3">
        <v>2022</v>
      </c>
      <c r="D2452" s="4">
        <v>3</v>
      </c>
      <c r="E2452" s="5">
        <v>120</v>
      </c>
      <c r="F2452" s="5">
        <v>69</v>
      </c>
      <c r="G2452" s="3" t="str">
        <f>VLOOKUP(Registros[[#This Row],[Cliente]],Cliente_Region[],2,FALSE)</f>
        <v>Canada</v>
      </c>
      <c r="H2452" s="3" t="str">
        <f>VLOOKUP(Registros[[#This Row],[Producto]],Producto[],2,FALSE)</f>
        <v>GAMBO</v>
      </c>
    </row>
    <row r="2453" spans="1:8" ht="20.100000000000001" customHeight="1" x14ac:dyDescent="0.25">
      <c r="A2453" s="3" t="s">
        <v>333</v>
      </c>
      <c r="B2453" s="3" t="s">
        <v>382</v>
      </c>
      <c r="C2453" s="3">
        <v>2022</v>
      </c>
      <c r="D2453" s="4">
        <v>4</v>
      </c>
      <c r="E2453" s="5">
        <v>99</v>
      </c>
      <c r="F2453" s="5">
        <v>58.2</v>
      </c>
      <c r="G2453" s="3" t="str">
        <f>VLOOKUP(Registros[[#This Row],[Cliente]],Cliente_Region[],2,FALSE)</f>
        <v>Canada</v>
      </c>
      <c r="H2453" s="3" t="str">
        <f>VLOOKUP(Registros[[#This Row],[Producto]],Producto[],2,FALSE)</f>
        <v>GAMBO</v>
      </c>
    </row>
    <row r="2454" spans="1:8" ht="20.100000000000001" customHeight="1" x14ac:dyDescent="0.25">
      <c r="A2454" s="3" t="s">
        <v>333</v>
      </c>
      <c r="B2454" s="3" t="s">
        <v>382</v>
      </c>
      <c r="C2454" s="3">
        <v>2022</v>
      </c>
      <c r="D2454" s="4">
        <v>5</v>
      </c>
      <c r="E2454" s="5">
        <v>62.5</v>
      </c>
      <c r="F2454" s="5">
        <v>37</v>
      </c>
      <c r="G2454" s="3" t="str">
        <f>VLOOKUP(Registros[[#This Row],[Cliente]],Cliente_Region[],2,FALSE)</f>
        <v>Canada</v>
      </c>
      <c r="H2454" s="3" t="str">
        <f>VLOOKUP(Registros[[#This Row],[Producto]],Producto[],2,FALSE)</f>
        <v>GAMBO</v>
      </c>
    </row>
    <row r="2455" spans="1:8" ht="20.100000000000001" customHeight="1" x14ac:dyDescent="0.25">
      <c r="A2455" s="3" t="s">
        <v>333</v>
      </c>
      <c r="B2455" s="3" t="s">
        <v>382</v>
      </c>
      <c r="C2455" s="3">
        <v>2022</v>
      </c>
      <c r="D2455" s="4">
        <v>6</v>
      </c>
      <c r="E2455" s="5">
        <v>75</v>
      </c>
      <c r="F2455" s="5">
        <v>44.4</v>
      </c>
      <c r="G2455" s="3" t="str">
        <f>VLOOKUP(Registros[[#This Row],[Cliente]],Cliente_Region[],2,FALSE)</f>
        <v>Canada</v>
      </c>
      <c r="H2455" s="3" t="str">
        <f>VLOOKUP(Registros[[#This Row],[Producto]],Producto[],2,FALSE)</f>
        <v>GAMBO</v>
      </c>
    </row>
    <row r="2456" spans="1:8" ht="20.100000000000001" customHeight="1" x14ac:dyDescent="0.25">
      <c r="A2456" s="3" t="s">
        <v>268</v>
      </c>
      <c r="B2456" s="3" t="s">
        <v>382</v>
      </c>
      <c r="C2456" s="3">
        <v>2022</v>
      </c>
      <c r="D2456" s="4">
        <v>1</v>
      </c>
      <c r="E2456" s="5">
        <v>11.5</v>
      </c>
      <c r="F2456" s="5">
        <v>-0.42</v>
      </c>
      <c r="G2456" s="3" t="str">
        <f>VLOOKUP(Registros[[#This Row],[Cliente]],Cliente_Region[],2,FALSE)</f>
        <v>Canada</v>
      </c>
      <c r="H2456" s="3" t="str">
        <f>VLOOKUP(Registros[[#This Row],[Producto]],Producto[],2,FALSE)</f>
        <v>GAMBO</v>
      </c>
    </row>
    <row r="2457" spans="1:8" ht="20.100000000000001" customHeight="1" x14ac:dyDescent="0.25">
      <c r="A2457" s="3" t="s">
        <v>36</v>
      </c>
      <c r="B2457" s="3" t="s">
        <v>382</v>
      </c>
      <c r="C2457" s="3">
        <v>2022</v>
      </c>
      <c r="D2457" s="4">
        <v>1</v>
      </c>
      <c r="E2457" s="5">
        <v>25.3</v>
      </c>
      <c r="F2457" s="5">
        <v>17.04</v>
      </c>
      <c r="G2457" s="3" t="str">
        <f>VLOOKUP(Registros[[#This Row],[Cliente]],Cliente_Region[],2,FALSE)</f>
        <v>Canada</v>
      </c>
      <c r="H2457" s="3" t="str">
        <f>VLOOKUP(Registros[[#This Row],[Producto]],Producto[],2,FALSE)</f>
        <v>QUOKAR</v>
      </c>
    </row>
    <row r="2458" spans="1:8" ht="20.100000000000001" customHeight="1" x14ac:dyDescent="0.25">
      <c r="A2458" s="3" t="s">
        <v>37</v>
      </c>
      <c r="B2458" s="3" t="s">
        <v>382</v>
      </c>
      <c r="C2458" s="3">
        <v>2022</v>
      </c>
      <c r="D2458" s="4">
        <v>2</v>
      </c>
      <c r="E2458" s="5">
        <v>34.5</v>
      </c>
      <c r="F2458" s="5">
        <v>22.1</v>
      </c>
      <c r="G2458" s="3" t="str">
        <f>VLOOKUP(Registros[[#This Row],[Cliente]],Cliente_Region[],2,FALSE)</f>
        <v>Canada</v>
      </c>
      <c r="H2458" s="3" t="str">
        <f>VLOOKUP(Registros[[#This Row],[Producto]],Producto[],2,FALSE)</f>
        <v>DONANY</v>
      </c>
    </row>
    <row r="2459" spans="1:8" ht="20.100000000000001" customHeight="1" x14ac:dyDescent="0.25">
      <c r="A2459" s="3" t="s">
        <v>37</v>
      </c>
      <c r="B2459" s="3" t="s">
        <v>382</v>
      </c>
      <c r="C2459" s="3">
        <v>2022</v>
      </c>
      <c r="D2459" s="4">
        <v>3</v>
      </c>
      <c r="E2459" s="5">
        <v>34.5</v>
      </c>
      <c r="F2459" s="5">
        <v>22.11</v>
      </c>
      <c r="G2459" s="3" t="str">
        <f>VLOOKUP(Registros[[#This Row],[Cliente]],Cliente_Region[],2,FALSE)</f>
        <v>Canada</v>
      </c>
      <c r="H2459" s="3" t="str">
        <f>VLOOKUP(Registros[[#This Row],[Producto]],Producto[],2,FALSE)</f>
        <v>DONANY</v>
      </c>
    </row>
    <row r="2460" spans="1:8" ht="20.100000000000001" customHeight="1" x14ac:dyDescent="0.25">
      <c r="A2460" s="3" t="s">
        <v>37</v>
      </c>
      <c r="B2460" s="3" t="s">
        <v>382</v>
      </c>
      <c r="C2460" s="3">
        <v>2022</v>
      </c>
      <c r="D2460" s="4">
        <v>4</v>
      </c>
      <c r="E2460" s="5">
        <v>34.5</v>
      </c>
      <c r="F2460" s="5">
        <v>22.11</v>
      </c>
      <c r="G2460" s="3" t="str">
        <f>VLOOKUP(Registros[[#This Row],[Cliente]],Cliente_Region[],2,FALSE)</f>
        <v>Canada</v>
      </c>
      <c r="H2460" s="3" t="str">
        <f>VLOOKUP(Registros[[#This Row],[Producto]],Producto[],2,FALSE)</f>
        <v>DONANY</v>
      </c>
    </row>
    <row r="2461" spans="1:8" ht="20.100000000000001" customHeight="1" x14ac:dyDescent="0.25">
      <c r="A2461" s="3" t="s">
        <v>37</v>
      </c>
      <c r="B2461" s="3" t="s">
        <v>382</v>
      </c>
      <c r="C2461" s="3">
        <v>2022</v>
      </c>
      <c r="D2461" s="4">
        <v>5</v>
      </c>
      <c r="E2461" s="5">
        <v>34.5</v>
      </c>
      <c r="F2461" s="5">
        <v>22.11</v>
      </c>
      <c r="G2461" s="3" t="str">
        <f>VLOOKUP(Registros[[#This Row],[Cliente]],Cliente_Region[],2,FALSE)</f>
        <v>Canada</v>
      </c>
      <c r="H2461" s="3" t="str">
        <f>VLOOKUP(Registros[[#This Row],[Producto]],Producto[],2,FALSE)</f>
        <v>DONANY</v>
      </c>
    </row>
    <row r="2462" spans="1:8" ht="20.100000000000001" customHeight="1" x14ac:dyDescent="0.25">
      <c r="A2462" s="3" t="s">
        <v>37</v>
      </c>
      <c r="B2462" s="3" t="s">
        <v>382</v>
      </c>
      <c r="C2462" s="3">
        <v>2022</v>
      </c>
      <c r="D2462" s="4">
        <v>6</v>
      </c>
      <c r="E2462" s="5">
        <v>34.5</v>
      </c>
      <c r="F2462" s="5">
        <v>22.11</v>
      </c>
      <c r="G2462" s="3" t="str">
        <f>VLOOKUP(Registros[[#This Row],[Cliente]],Cliente_Region[],2,FALSE)</f>
        <v>Canada</v>
      </c>
      <c r="H2462" s="3" t="str">
        <f>VLOOKUP(Registros[[#This Row],[Producto]],Producto[],2,FALSE)</f>
        <v>DONANY</v>
      </c>
    </row>
    <row r="2463" spans="1:8" ht="20.100000000000001" customHeight="1" x14ac:dyDescent="0.25">
      <c r="A2463" s="3" t="s">
        <v>385</v>
      </c>
      <c r="B2463" s="3" t="s">
        <v>382</v>
      </c>
      <c r="C2463" s="3">
        <v>2022</v>
      </c>
      <c r="D2463" s="4">
        <v>6</v>
      </c>
      <c r="E2463" s="5">
        <v>85.25</v>
      </c>
      <c r="F2463" s="5">
        <v>0</v>
      </c>
      <c r="G2463" s="3" t="str">
        <f>VLOOKUP(Registros[[#This Row],[Cliente]],Cliente_Region[],2,FALSE)</f>
        <v>Canada</v>
      </c>
      <c r="H2463" s="3" t="str">
        <f>VLOOKUP(Registros[[#This Row],[Producto]],Producto[],2,FALSE)</f>
        <v>GAMBO</v>
      </c>
    </row>
    <row r="2464" spans="1:8" ht="20.100000000000001" customHeight="1" x14ac:dyDescent="0.25">
      <c r="A2464" s="3" t="s">
        <v>308</v>
      </c>
      <c r="B2464" s="3" t="s">
        <v>382</v>
      </c>
      <c r="C2464" s="3">
        <v>2022</v>
      </c>
      <c r="D2464" s="4">
        <v>1</v>
      </c>
      <c r="E2464" s="5">
        <v>85</v>
      </c>
      <c r="F2464" s="5">
        <v>38.049999999999997</v>
      </c>
      <c r="G2464" s="3" t="str">
        <f>VLOOKUP(Registros[[#This Row],[Cliente]],Cliente_Region[],2,FALSE)</f>
        <v>Canada</v>
      </c>
      <c r="H2464" s="3" t="str">
        <f>VLOOKUP(Registros[[#This Row],[Producto]],Producto[],2,FALSE)</f>
        <v>SALF</v>
      </c>
    </row>
    <row r="2465" spans="1:8" ht="20.100000000000001" customHeight="1" x14ac:dyDescent="0.25">
      <c r="A2465" s="3" t="s">
        <v>309</v>
      </c>
      <c r="B2465" s="3" t="s">
        <v>382</v>
      </c>
      <c r="C2465" s="3">
        <v>2022</v>
      </c>
      <c r="D2465" s="4">
        <v>2</v>
      </c>
      <c r="E2465" s="5">
        <v>99.72</v>
      </c>
      <c r="F2465" s="5">
        <v>46.06</v>
      </c>
      <c r="G2465" s="3" t="str">
        <f>VLOOKUP(Registros[[#This Row],[Cliente]],Cliente_Region[],2,FALSE)</f>
        <v>Canada</v>
      </c>
      <c r="H2465" s="3" t="str">
        <f>VLOOKUP(Registros[[#This Row],[Producto]],Producto[],2,FALSE)</f>
        <v>SALF</v>
      </c>
    </row>
    <row r="2466" spans="1:8" ht="20.100000000000001" customHeight="1" x14ac:dyDescent="0.25">
      <c r="A2466" s="3" t="s">
        <v>309</v>
      </c>
      <c r="B2466" s="3" t="s">
        <v>382</v>
      </c>
      <c r="C2466" s="3">
        <v>2022</v>
      </c>
      <c r="D2466" s="4">
        <v>3</v>
      </c>
      <c r="E2466" s="5">
        <v>72</v>
      </c>
      <c r="F2466" s="5">
        <v>31.75</v>
      </c>
      <c r="G2466" s="3" t="str">
        <f>VLOOKUP(Registros[[#This Row],[Cliente]],Cliente_Region[],2,FALSE)</f>
        <v>Canada</v>
      </c>
      <c r="H2466" s="3" t="str">
        <f>VLOOKUP(Registros[[#This Row],[Producto]],Producto[],2,FALSE)</f>
        <v>SALF</v>
      </c>
    </row>
    <row r="2467" spans="1:8" ht="20.100000000000001" customHeight="1" x14ac:dyDescent="0.25">
      <c r="A2467" s="3" t="s">
        <v>309</v>
      </c>
      <c r="B2467" s="3" t="s">
        <v>382</v>
      </c>
      <c r="C2467" s="3">
        <v>2022</v>
      </c>
      <c r="D2467" s="4">
        <v>4</v>
      </c>
      <c r="E2467" s="5">
        <v>90</v>
      </c>
      <c r="F2467" s="5">
        <v>43.05</v>
      </c>
      <c r="G2467" s="3" t="str">
        <f>VLOOKUP(Registros[[#This Row],[Cliente]],Cliente_Region[],2,FALSE)</f>
        <v>Canada</v>
      </c>
      <c r="H2467" s="3" t="str">
        <f>VLOOKUP(Registros[[#This Row],[Producto]],Producto[],2,FALSE)</f>
        <v>SALF</v>
      </c>
    </row>
    <row r="2468" spans="1:8" ht="20.100000000000001" customHeight="1" x14ac:dyDescent="0.25">
      <c r="A2468" s="3" t="s">
        <v>309</v>
      </c>
      <c r="B2468" s="3" t="s">
        <v>382</v>
      </c>
      <c r="C2468" s="3">
        <v>2022</v>
      </c>
      <c r="D2468" s="4">
        <v>5</v>
      </c>
      <c r="E2468" s="5">
        <v>91</v>
      </c>
      <c r="F2468" s="5">
        <v>44.06</v>
      </c>
      <c r="G2468" s="3" t="str">
        <f>VLOOKUP(Registros[[#This Row],[Cliente]],Cliente_Region[],2,FALSE)</f>
        <v>Canada</v>
      </c>
      <c r="H2468" s="3" t="str">
        <f>VLOOKUP(Registros[[#This Row],[Producto]],Producto[],2,FALSE)</f>
        <v>SALF</v>
      </c>
    </row>
    <row r="2469" spans="1:8" ht="20.100000000000001" customHeight="1" x14ac:dyDescent="0.25">
      <c r="A2469" s="3" t="s">
        <v>309</v>
      </c>
      <c r="B2469" s="3" t="s">
        <v>382</v>
      </c>
      <c r="C2469" s="3">
        <v>2022</v>
      </c>
      <c r="D2469" s="4">
        <v>6</v>
      </c>
      <c r="E2469" s="5">
        <v>104</v>
      </c>
      <c r="F2469" s="5">
        <v>50.36</v>
      </c>
      <c r="G2469" s="3" t="str">
        <f>VLOOKUP(Registros[[#This Row],[Cliente]],Cliente_Region[],2,FALSE)</f>
        <v>Canada</v>
      </c>
      <c r="H2469" s="3" t="str">
        <f>VLOOKUP(Registros[[#This Row],[Producto]],Producto[],2,FALSE)</f>
        <v>SALF</v>
      </c>
    </row>
    <row r="2470" spans="1:8" ht="20.100000000000001" customHeight="1" x14ac:dyDescent="0.25">
      <c r="A2470" s="3" t="s">
        <v>321</v>
      </c>
      <c r="B2470" s="3" t="s">
        <v>382</v>
      </c>
      <c r="C2470" s="3">
        <v>2022</v>
      </c>
      <c r="D2470" s="4">
        <v>1</v>
      </c>
      <c r="E2470" s="5">
        <v>98.5</v>
      </c>
      <c r="F2470" s="5">
        <v>27.4</v>
      </c>
      <c r="G2470" s="3" t="str">
        <f>VLOOKUP(Registros[[#This Row],[Cliente]],Cliente_Region[],2,FALSE)</f>
        <v>Canada</v>
      </c>
      <c r="H2470" s="3" t="str">
        <f>VLOOKUP(Registros[[#This Row],[Producto]],Producto[],2,FALSE)</f>
        <v>GAMBO</v>
      </c>
    </row>
    <row r="2471" spans="1:8" ht="20.100000000000001" customHeight="1" x14ac:dyDescent="0.25">
      <c r="A2471" s="3" t="s">
        <v>322</v>
      </c>
      <c r="B2471" s="3" t="s">
        <v>382</v>
      </c>
      <c r="C2471" s="3">
        <v>2022</v>
      </c>
      <c r="D2471" s="4">
        <v>2</v>
      </c>
      <c r="E2471" s="5">
        <v>158.55000000000001</v>
      </c>
      <c r="F2471" s="5">
        <v>44.58</v>
      </c>
      <c r="G2471" s="3" t="str">
        <f>VLOOKUP(Registros[[#This Row],[Cliente]],Cliente_Region[],2,FALSE)</f>
        <v>Canada</v>
      </c>
      <c r="H2471" s="3" t="str">
        <f>VLOOKUP(Registros[[#This Row],[Producto]],Producto[],2,FALSE)</f>
        <v>LAX</v>
      </c>
    </row>
    <row r="2472" spans="1:8" ht="20.100000000000001" customHeight="1" x14ac:dyDescent="0.25">
      <c r="A2472" s="3" t="s">
        <v>322</v>
      </c>
      <c r="B2472" s="3" t="s">
        <v>382</v>
      </c>
      <c r="C2472" s="3">
        <v>2022</v>
      </c>
      <c r="D2472" s="4">
        <v>3</v>
      </c>
      <c r="E2472" s="5">
        <v>78</v>
      </c>
      <c r="F2472" s="5">
        <v>21.39</v>
      </c>
      <c r="G2472" s="3" t="str">
        <f>VLOOKUP(Registros[[#This Row],[Cliente]],Cliente_Region[],2,FALSE)</f>
        <v>Canada</v>
      </c>
      <c r="H2472" s="3" t="str">
        <f>VLOOKUP(Registros[[#This Row],[Producto]],Producto[],2,FALSE)</f>
        <v>LAX</v>
      </c>
    </row>
    <row r="2473" spans="1:8" ht="20.100000000000001" customHeight="1" x14ac:dyDescent="0.25">
      <c r="A2473" s="3" t="s">
        <v>322</v>
      </c>
      <c r="B2473" s="3" t="s">
        <v>382</v>
      </c>
      <c r="C2473" s="3">
        <v>2022</v>
      </c>
      <c r="D2473" s="4">
        <v>4</v>
      </c>
      <c r="E2473" s="5">
        <v>98.25</v>
      </c>
      <c r="F2473" s="5">
        <v>29.95</v>
      </c>
      <c r="G2473" s="3" t="str">
        <f>VLOOKUP(Registros[[#This Row],[Cliente]],Cliente_Region[],2,FALSE)</f>
        <v>Canada</v>
      </c>
      <c r="H2473" s="3" t="str">
        <f>VLOOKUP(Registros[[#This Row],[Producto]],Producto[],2,FALSE)</f>
        <v>LAX</v>
      </c>
    </row>
    <row r="2474" spans="1:8" ht="20.100000000000001" customHeight="1" x14ac:dyDescent="0.25">
      <c r="A2474" s="3" t="s">
        <v>322</v>
      </c>
      <c r="B2474" s="3" t="s">
        <v>382</v>
      </c>
      <c r="C2474" s="3">
        <v>2022</v>
      </c>
      <c r="D2474" s="4">
        <v>5</v>
      </c>
      <c r="E2474" s="5">
        <v>81</v>
      </c>
      <c r="F2474" s="5">
        <v>24.93</v>
      </c>
      <c r="G2474" s="3" t="str">
        <f>VLOOKUP(Registros[[#This Row],[Cliente]],Cliente_Region[],2,FALSE)</f>
        <v>Canada</v>
      </c>
      <c r="H2474" s="3" t="str">
        <f>VLOOKUP(Registros[[#This Row],[Producto]],Producto[],2,FALSE)</f>
        <v>LAX</v>
      </c>
    </row>
    <row r="2475" spans="1:8" ht="20.100000000000001" customHeight="1" x14ac:dyDescent="0.25">
      <c r="A2475" s="3" t="s">
        <v>322</v>
      </c>
      <c r="B2475" s="3" t="s">
        <v>382</v>
      </c>
      <c r="C2475" s="3">
        <v>2022</v>
      </c>
      <c r="D2475" s="4">
        <v>6</v>
      </c>
      <c r="E2475" s="5">
        <v>81</v>
      </c>
      <c r="F2475" s="5">
        <v>24.46</v>
      </c>
      <c r="G2475" s="3" t="str">
        <f>VLOOKUP(Registros[[#This Row],[Cliente]],Cliente_Region[],2,FALSE)</f>
        <v>Canada</v>
      </c>
      <c r="H2475" s="3" t="str">
        <f>VLOOKUP(Registros[[#This Row],[Producto]],Producto[],2,FALSE)</f>
        <v>LAX</v>
      </c>
    </row>
    <row r="2476" spans="1:8" ht="20.100000000000001" customHeight="1" x14ac:dyDescent="0.25">
      <c r="A2476" s="3" t="s">
        <v>11</v>
      </c>
      <c r="B2476" s="3" t="s">
        <v>382</v>
      </c>
      <c r="C2476" s="3">
        <v>2022</v>
      </c>
      <c r="D2476" s="4">
        <v>1</v>
      </c>
      <c r="E2476" s="5">
        <v>120</v>
      </c>
      <c r="F2476" s="5">
        <v>60.25</v>
      </c>
      <c r="G2476" s="3" t="str">
        <f>VLOOKUP(Registros[[#This Row],[Cliente]],Cliente_Region[],2,FALSE)</f>
        <v>Canada</v>
      </c>
      <c r="H2476" s="3" t="str">
        <f>VLOOKUP(Registros[[#This Row],[Producto]],Producto[],2,FALSE)</f>
        <v>DONANY</v>
      </c>
    </row>
    <row r="2477" spans="1:8" ht="20.100000000000001" customHeight="1" x14ac:dyDescent="0.25">
      <c r="A2477" s="3" t="s">
        <v>292</v>
      </c>
      <c r="B2477" s="3" t="s">
        <v>382</v>
      </c>
      <c r="C2477" s="3">
        <v>2022</v>
      </c>
      <c r="D2477" s="4">
        <v>2</v>
      </c>
      <c r="E2477" s="5">
        <v>133.9</v>
      </c>
      <c r="F2477" s="5">
        <v>68.17</v>
      </c>
      <c r="G2477" s="3" t="str">
        <f>VLOOKUP(Registros[[#This Row],[Cliente]],Cliente_Region[],2,FALSE)</f>
        <v>Canada</v>
      </c>
      <c r="H2477" s="3" t="str">
        <f>VLOOKUP(Registros[[#This Row],[Producto]],Producto[],2,FALSE)</f>
        <v>QUOKAR</v>
      </c>
    </row>
    <row r="2478" spans="1:8" ht="20.100000000000001" customHeight="1" x14ac:dyDescent="0.25">
      <c r="A2478" s="3" t="s">
        <v>292</v>
      </c>
      <c r="B2478" s="3" t="s">
        <v>382</v>
      </c>
      <c r="C2478" s="3">
        <v>2022</v>
      </c>
      <c r="D2478" s="4">
        <v>3</v>
      </c>
      <c r="E2478" s="5">
        <v>96</v>
      </c>
      <c r="F2478" s="5">
        <v>48.2</v>
      </c>
      <c r="G2478" s="3" t="str">
        <f>VLOOKUP(Registros[[#This Row],[Cliente]],Cliente_Region[],2,FALSE)</f>
        <v>Canada</v>
      </c>
      <c r="H2478" s="3" t="str">
        <f>VLOOKUP(Registros[[#This Row],[Producto]],Producto[],2,FALSE)</f>
        <v>QUOKAR</v>
      </c>
    </row>
    <row r="2479" spans="1:8" ht="20.100000000000001" customHeight="1" x14ac:dyDescent="0.25">
      <c r="A2479" s="3" t="s">
        <v>292</v>
      </c>
      <c r="B2479" s="3" t="s">
        <v>382</v>
      </c>
      <c r="C2479" s="3">
        <v>2022</v>
      </c>
      <c r="D2479" s="4">
        <v>4</v>
      </c>
      <c r="E2479" s="5">
        <v>99</v>
      </c>
      <c r="F2479" s="5">
        <v>51.19</v>
      </c>
      <c r="G2479" s="3" t="str">
        <f>VLOOKUP(Registros[[#This Row],[Cliente]],Cliente_Region[],2,FALSE)</f>
        <v>Canada</v>
      </c>
      <c r="H2479" s="3" t="str">
        <f>VLOOKUP(Registros[[#This Row],[Producto]],Producto[],2,FALSE)</f>
        <v>QUOKAR</v>
      </c>
    </row>
    <row r="2480" spans="1:8" ht="20.100000000000001" customHeight="1" x14ac:dyDescent="0.25">
      <c r="A2480" s="3" t="s">
        <v>292</v>
      </c>
      <c r="B2480" s="3" t="s">
        <v>382</v>
      </c>
      <c r="C2480" s="3">
        <v>2022</v>
      </c>
      <c r="D2480" s="4">
        <v>5</v>
      </c>
      <c r="E2480" s="5">
        <v>87.5</v>
      </c>
      <c r="F2480" s="5">
        <v>45.67</v>
      </c>
      <c r="G2480" s="3" t="str">
        <f>VLOOKUP(Registros[[#This Row],[Cliente]],Cliente_Region[],2,FALSE)</f>
        <v>Canada</v>
      </c>
      <c r="H2480" s="3" t="str">
        <f>VLOOKUP(Registros[[#This Row],[Producto]],Producto[],2,FALSE)</f>
        <v>QUOKAR</v>
      </c>
    </row>
    <row r="2481" spans="1:8" ht="20.100000000000001" customHeight="1" x14ac:dyDescent="0.25">
      <c r="A2481" s="3" t="s">
        <v>292</v>
      </c>
      <c r="B2481" s="3" t="s">
        <v>382</v>
      </c>
      <c r="C2481" s="3">
        <v>2022</v>
      </c>
      <c r="D2481" s="4">
        <v>6</v>
      </c>
      <c r="E2481" s="5">
        <v>100</v>
      </c>
      <c r="F2481" s="5">
        <v>52.19</v>
      </c>
      <c r="G2481" s="3" t="str">
        <f>VLOOKUP(Registros[[#This Row],[Cliente]],Cliente_Region[],2,FALSE)</f>
        <v>Canada</v>
      </c>
      <c r="H2481" s="3" t="str">
        <f>VLOOKUP(Registros[[#This Row],[Producto]],Producto[],2,FALSE)</f>
        <v>QUOKAR</v>
      </c>
    </row>
    <row r="2482" spans="1:8" ht="20.100000000000001" customHeight="1" x14ac:dyDescent="0.25">
      <c r="A2482" s="3" t="s">
        <v>293</v>
      </c>
      <c r="B2482" s="3" t="s">
        <v>382</v>
      </c>
      <c r="C2482" s="3">
        <v>2022</v>
      </c>
      <c r="D2482" s="4">
        <v>1</v>
      </c>
      <c r="E2482" s="5">
        <v>114</v>
      </c>
      <c r="F2482" s="5">
        <v>25.9</v>
      </c>
      <c r="G2482" s="3" t="str">
        <f>VLOOKUP(Registros[[#This Row],[Cliente]],Cliente_Region[],2,FALSE)</f>
        <v>Canada</v>
      </c>
      <c r="H2482" s="3" t="str">
        <f>VLOOKUP(Registros[[#This Row],[Producto]],Producto[],2,FALSE)</f>
        <v>QUOKAR</v>
      </c>
    </row>
    <row r="2483" spans="1:8" ht="20.100000000000001" customHeight="1" x14ac:dyDescent="0.25">
      <c r="A2483" s="3" t="s">
        <v>294</v>
      </c>
      <c r="B2483" s="3" t="s">
        <v>382</v>
      </c>
      <c r="C2483" s="3">
        <v>2022</v>
      </c>
      <c r="D2483" s="4">
        <v>2</v>
      </c>
      <c r="E2483" s="5">
        <v>115.76</v>
      </c>
      <c r="F2483" s="5">
        <v>27.66</v>
      </c>
      <c r="G2483" s="3" t="str">
        <f>VLOOKUP(Registros[[#This Row],[Cliente]],Cliente_Region[],2,FALSE)</f>
        <v>Canada</v>
      </c>
      <c r="H2483" s="3" t="str">
        <f>VLOOKUP(Registros[[#This Row],[Producto]],Producto[],2,FALSE)</f>
        <v>CHOTUS</v>
      </c>
    </row>
    <row r="2484" spans="1:8" ht="20.100000000000001" customHeight="1" x14ac:dyDescent="0.25">
      <c r="A2484" s="3" t="s">
        <v>294</v>
      </c>
      <c r="B2484" s="3" t="s">
        <v>382</v>
      </c>
      <c r="C2484" s="3">
        <v>2022</v>
      </c>
      <c r="D2484" s="4">
        <v>3</v>
      </c>
      <c r="E2484" s="5">
        <v>117</v>
      </c>
      <c r="F2484" s="5">
        <v>29.11</v>
      </c>
      <c r="G2484" s="3" t="str">
        <f>VLOOKUP(Registros[[#This Row],[Cliente]],Cliente_Region[],2,FALSE)</f>
        <v>Canada</v>
      </c>
      <c r="H2484" s="3" t="str">
        <f>VLOOKUP(Registros[[#This Row],[Producto]],Producto[],2,FALSE)</f>
        <v>CHOTUS</v>
      </c>
    </row>
    <row r="2485" spans="1:8" ht="20.100000000000001" customHeight="1" x14ac:dyDescent="0.25">
      <c r="A2485" s="3" t="s">
        <v>294</v>
      </c>
      <c r="B2485" s="3" t="s">
        <v>382</v>
      </c>
      <c r="C2485" s="3">
        <v>2022</v>
      </c>
      <c r="D2485" s="4">
        <v>4</v>
      </c>
      <c r="E2485" s="5">
        <v>117</v>
      </c>
      <c r="F2485" s="5">
        <v>30.25</v>
      </c>
      <c r="G2485" s="3" t="str">
        <f>VLOOKUP(Registros[[#This Row],[Cliente]],Cliente_Region[],2,FALSE)</f>
        <v>Canada</v>
      </c>
      <c r="H2485" s="3" t="str">
        <f>VLOOKUP(Registros[[#This Row],[Producto]],Producto[],2,FALSE)</f>
        <v>CHOTUS</v>
      </c>
    </row>
    <row r="2486" spans="1:8" ht="20.100000000000001" customHeight="1" x14ac:dyDescent="0.25">
      <c r="A2486" s="3" t="s">
        <v>294</v>
      </c>
      <c r="B2486" s="3" t="s">
        <v>382</v>
      </c>
      <c r="C2486" s="3">
        <v>2022</v>
      </c>
      <c r="D2486" s="4">
        <v>5</v>
      </c>
      <c r="E2486" s="5">
        <v>91</v>
      </c>
      <c r="F2486" s="5">
        <v>23.13</v>
      </c>
      <c r="G2486" s="3" t="str">
        <f>VLOOKUP(Registros[[#This Row],[Cliente]],Cliente_Region[],2,FALSE)</f>
        <v>Canada</v>
      </c>
      <c r="H2486" s="3" t="str">
        <f>VLOOKUP(Registros[[#This Row],[Producto]],Producto[],2,FALSE)</f>
        <v>CHOTUS</v>
      </c>
    </row>
    <row r="2487" spans="1:8" ht="20.100000000000001" customHeight="1" x14ac:dyDescent="0.25">
      <c r="A2487" s="3" t="s">
        <v>294</v>
      </c>
      <c r="B2487" s="3" t="s">
        <v>382</v>
      </c>
      <c r="C2487" s="3">
        <v>2022</v>
      </c>
      <c r="D2487" s="4">
        <v>6</v>
      </c>
      <c r="E2487" s="5">
        <v>91</v>
      </c>
      <c r="F2487" s="5">
        <v>22.41</v>
      </c>
      <c r="G2487" s="3" t="str">
        <f>VLOOKUP(Registros[[#This Row],[Cliente]],Cliente_Region[],2,FALSE)</f>
        <v>Canada</v>
      </c>
      <c r="H2487" s="3" t="str">
        <f>VLOOKUP(Registros[[#This Row],[Producto]],Producto[],2,FALSE)</f>
        <v>CHOTUS</v>
      </c>
    </row>
    <row r="2488" spans="1:8" ht="20.100000000000001" customHeight="1" x14ac:dyDescent="0.25">
      <c r="A2488" s="3" t="s">
        <v>304</v>
      </c>
      <c r="B2488" s="3" t="s">
        <v>382</v>
      </c>
      <c r="C2488" s="3">
        <v>2022</v>
      </c>
      <c r="D2488" s="4">
        <v>1</v>
      </c>
      <c r="E2488" s="5">
        <v>121.5</v>
      </c>
      <c r="F2488" s="5">
        <v>81.09</v>
      </c>
      <c r="G2488" s="3" t="str">
        <f>VLOOKUP(Registros[[#This Row],[Cliente]],Cliente_Region[],2,FALSE)</f>
        <v>Canada</v>
      </c>
      <c r="H2488" s="3" t="str">
        <f>VLOOKUP(Registros[[#This Row],[Producto]],Producto[],2,FALSE)</f>
        <v>QUOKAR</v>
      </c>
    </row>
    <row r="2489" spans="1:8" ht="20.100000000000001" customHeight="1" x14ac:dyDescent="0.25">
      <c r="A2489" s="3" t="s">
        <v>305</v>
      </c>
      <c r="B2489" s="3" t="s">
        <v>382</v>
      </c>
      <c r="C2489" s="3">
        <v>2022</v>
      </c>
      <c r="D2489" s="4">
        <v>2</v>
      </c>
      <c r="E2489" s="5">
        <v>109.6</v>
      </c>
      <c r="F2489" s="5">
        <v>73.680000000000007</v>
      </c>
      <c r="G2489" s="3" t="str">
        <f>VLOOKUP(Registros[[#This Row],[Cliente]],Cliente_Region[],2,FALSE)</f>
        <v>Canada</v>
      </c>
      <c r="H2489" s="3" t="str">
        <f>VLOOKUP(Registros[[#This Row],[Producto]],Producto[],2,FALSE)</f>
        <v>DAWNE</v>
      </c>
    </row>
    <row r="2490" spans="1:8" ht="20.100000000000001" customHeight="1" x14ac:dyDescent="0.25">
      <c r="A2490" s="3" t="s">
        <v>305</v>
      </c>
      <c r="B2490" s="3" t="s">
        <v>382</v>
      </c>
      <c r="C2490" s="3">
        <v>2022</v>
      </c>
      <c r="D2490" s="4">
        <v>3</v>
      </c>
      <c r="E2490" s="5">
        <v>121.5</v>
      </c>
      <c r="F2490" s="5">
        <v>81.09</v>
      </c>
      <c r="G2490" s="3" t="str">
        <f>VLOOKUP(Registros[[#This Row],[Cliente]],Cliente_Region[],2,FALSE)</f>
        <v>Canada</v>
      </c>
      <c r="H2490" s="3" t="str">
        <f>VLOOKUP(Registros[[#This Row],[Producto]],Producto[],2,FALSE)</f>
        <v>DAWNE</v>
      </c>
    </row>
    <row r="2491" spans="1:8" ht="20.100000000000001" customHeight="1" x14ac:dyDescent="0.25">
      <c r="A2491" s="3" t="s">
        <v>305</v>
      </c>
      <c r="B2491" s="3" t="s">
        <v>382</v>
      </c>
      <c r="C2491" s="3">
        <v>2022</v>
      </c>
      <c r="D2491" s="4">
        <v>4</v>
      </c>
      <c r="E2491" s="5">
        <v>143</v>
      </c>
      <c r="F2491" s="5">
        <v>98.1</v>
      </c>
      <c r="G2491" s="3" t="str">
        <f>VLOOKUP(Registros[[#This Row],[Cliente]],Cliente_Region[],2,FALSE)</f>
        <v>Canada</v>
      </c>
      <c r="H2491" s="3" t="str">
        <f>VLOOKUP(Registros[[#This Row],[Producto]],Producto[],2,FALSE)</f>
        <v>DAWNE</v>
      </c>
    </row>
    <row r="2492" spans="1:8" ht="20.100000000000001" customHeight="1" x14ac:dyDescent="0.25">
      <c r="A2492" s="3" t="s">
        <v>305</v>
      </c>
      <c r="B2492" s="3" t="s">
        <v>382</v>
      </c>
      <c r="C2492" s="3">
        <v>2022</v>
      </c>
      <c r="D2492" s="4">
        <v>5</v>
      </c>
      <c r="E2492" s="5">
        <v>101.5</v>
      </c>
      <c r="F2492" s="5">
        <v>70.069999999999993</v>
      </c>
      <c r="G2492" s="3" t="str">
        <f>VLOOKUP(Registros[[#This Row],[Cliente]],Cliente_Region[],2,FALSE)</f>
        <v>Canada</v>
      </c>
      <c r="H2492" s="3" t="str">
        <f>VLOOKUP(Registros[[#This Row],[Producto]],Producto[],2,FALSE)</f>
        <v>DAWNE</v>
      </c>
    </row>
    <row r="2493" spans="1:8" ht="20.100000000000001" customHeight="1" x14ac:dyDescent="0.25">
      <c r="A2493" s="3" t="s">
        <v>305</v>
      </c>
      <c r="B2493" s="3" t="s">
        <v>382</v>
      </c>
      <c r="C2493" s="3">
        <v>2022</v>
      </c>
      <c r="D2493" s="4">
        <v>6</v>
      </c>
      <c r="E2493" s="5">
        <v>116</v>
      </c>
      <c r="F2493" s="5">
        <v>80.08</v>
      </c>
      <c r="G2493" s="3" t="str">
        <f>VLOOKUP(Registros[[#This Row],[Cliente]],Cliente_Region[],2,FALSE)</f>
        <v>Canada</v>
      </c>
      <c r="H2493" s="3" t="str">
        <f>VLOOKUP(Registros[[#This Row],[Producto]],Producto[],2,FALSE)</f>
        <v>DAWNE</v>
      </c>
    </row>
    <row r="2494" spans="1:8" ht="20.100000000000001" customHeight="1" x14ac:dyDescent="0.25">
      <c r="A2494" s="3" t="s">
        <v>351</v>
      </c>
      <c r="B2494" s="3" t="s">
        <v>382</v>
      </c>
      <c r="C2494" s="3">
        <v>2022</v>
      </c>
      <c r="D2494" s="4">
        <v>1</v>
      </c>
      <c r="E2494" s="5">
        <v>71.5</v>
      </c>
      <c r="F2494" s="5">
        <v>22.68</v>
      </c>
      <c r="G2494" s="3" t="str">
        <f>VLOOKUP(Registros[[#This Row],[Cliente]],Cliente_Region[],2,FALSE)</f>
        <v>Canada</v>
      </c>
      <c r="H2494" s="3" t="str">
        <f>VLOOKUP(Registros[[#This Row],[Producto]],Producto[],2,FALSE)</f>
        <v>GAMBO</v>
      </c>
    </row>
    <row r="2495" spans="1:8" ht="20.100000000000001" customHeight="1" x14ac:dyDescent="0.25">
      <c r="A2495" s="3" t="s">
        <v>352</v>
      </c>
      <c r="B2495" s="3" t="s">
        <v>382</v>
      </c>
      <c r="C2495" s="3">
        <v>2022</v>
      </c>
      <c r="D2495" s="4">
        <v>2</v>
      </c>
      <c r="E2495" s="5">
        <v>134.36000000000001</v>
      </c>
      <c r="F2495" s="5">
        <v>53.01</v>
      </c>
      <c r="G2495" s="3" t="str">
        <f>VLOOKUP(Registros[[#This Row],[Cliente]],Cliente_Region[],2,FALSE)</f>
        <v>Canada</v>
      </c>
      <c r="H2495" s="3" t="str">
        <f>VLOOKUP(Registros[[#This Row],[Producto]],Producto[],2,FALSE)</f>
        <v>QUOKAR</v>
      </c>
    </row>
    <row r="2496" spans="1:8" ht="20.100000000000001" customHeight="1" x14ac:dyDescent="0.25">
      <c r="A2496" s="3" t="s">
        <v>352</v>
      </c>
      <c r="B2496" s="3" t="s">
        <v>382</v>
      </c>
      <c r="C2496" s="3">
        <v>2022</v>
      </c>
      <c r="D2496" s="4">
        <v>3</v>
      </c>
      <c r="E2496" s="5">
        <v>108</v>
      </c>
      <c r="F2496" s="5">
        <v>42.92</v>
      </c>
      <c r="G2496" s="3" t="str">
        <f>VLOOKUP(Registros[[#This Row],[Cliente]],Cliente_Region[],2,FALSE)</f>
        <v>Canada</v>
      </c>
      <c r="H2496" s="3" t="str">
        <f>VLOOKUP(Registros[[#This Row],[Producto]],Producto[],2,FALSE)</f>
        <v>QUOKAR</v>
      </c>
    </row>
    <row r="2497" spans="1:8" ht="20.100000000000001" customHeight="1" x14ac:dyDescent="0.25">
      <c r="A2497" s="3" t="s">
        <v>352</v>
      </c>
      <c r="B2497" s="3" t="s">
        <v>382</v>
      </c>
      <c r="C2497" s="3">
        <v>2022</v>
      </c>
      <c r="D2497" s="4">
        <v>4</v>
      </c>
      <c r="E2497" s="5">
        <v>113.25</v>
      </c>
      <c r="F2497" s="5">
        <v>48.17</v>
      </c>
      <c r="G2497" s="3" t="str">
        <f>VLOOKUP(Registros[[#This Row],[Cliente]],Cliente_Region[],2,FALSE)</f>
        <v>Canada</v>
      </c>
      <c r="H2497" s="3" t="str">
        <f>VLOOKUP(Registros[[#This Row],[Producto]],Producto[],2,FALSE)</f>
        <v>QUOKAR</v>
      </c>
    </row>
    <row r="2498" spans="1:8" ht="20.100000000000001" customHeight="1" x14ac:dyDescent="0.25">
      <c r="A2498" s="3" t="s">
        <v>352</v>
      </c>
      <c r="B2498" s="3" t="s">
        <v>382</v>
      </c>
      <c r="C2498" s="3">
        <v>2022</v>
      </c>
      <c r="D2498" s="4">
        <v>5</v>
      </c>
      <c r="E2498" s="5">
        <v>115</v>
      </c>
      <c r="F2498" s="5">
        <v>49.92</v>
      </c>
      <c r="G2498" s="3" t="str">
        <f>VLOOKUP(Registros[[#This Row],[Cliente]],Cliente_Region[],2,FALSE)</f>
        <v>Canada</v>
      </c>
      <c r="H2498" s="3" t="str">
        <f>VLOOKUP(Registros[[#This Row],[Producto]],Producto[],2,FALSE)</f>
        <v>QUOKAR</v>
      </c>
    </row>
    <row r="2499" spans="1:8" ht="20.100000000000001" customHeight="1" x14ac:dyDescent="0.25">
      <c r="A2499" s="3" t="s">
        <v>352</v>
      </c>
      <c r="B2499" s="3" t="s">
        <v>382</v>
      </c>
      <c r="C2499" s="3">
        <v>2022</v>
      </c>
      <c r="D2499" s="4">
        <v>6</v>
      </c>
      <c r="E2499" s="5">
        <v>115</v>
      </c>
      <c r="F2499" s="5">
        <v>49.92</v>
      </c>
      <c r="G2499" s="3" t="str">
        <f>VLOOKUP(Registros[[#This Row],[Cliente]],Cliente_Region[],2,FALSE)</f>
        <v>Canada</v>
      </c>
      <c r="H2499" s="3" t="str">
        <f>VLOOKUP(Registros[[#This Row],[Producto]],Producto[],2,FALSE)</f>
        <v>QUOKAR</v>
      </c>
    </row>
    <row r="2500" spans="1:8" ht="20.100000000000001" customHeight="1" x14ac:dyDescent="0.25">
      <c r="A2500" s="3" t="s">
        <v>386</v>
      </c>
      <c r="B2500" s="3" t="s">
        <v>382</v>
      </c>
      <c r="C2500" s="3">
        <v>2022</v>
      </c>
      <c r="D2500" s="4">
        <v>1</v>
      </c>
      <c r="E2500" s="5">
        <v>110</v>
      </c>
      <c r="F2500" s="5">
        <v>26.64</v>
      </c>
      <c r="G2500" s="3" t="str">
        <f>VLOOKUP(Registros[[#This Row],[Cliente]],Cliente_Region[],2,FALSE)</f>
        <v>Canada</v>
      </c>
      <c r="H2500" s="3" t="str">
        <f>VLOOKUP(Registros[[#This Row],[Producto]],Producto[],2,FALSE)</f>
        <v>MOC</v>
      </c>
    </row>
    <row r="2501" spans="1:8" ht="20.100000000000001" customHeight="1" x14ac:dyDescent="0.25">
      <c r="A2501" s="3" t="s">
        <v>387</v>
      </c>
      <c r="B2501" s="3" t="s">
        <v>382</v>
      </c>
      <c r="C2501" s="3">
        <v>2022</v>
      </c>
      <c r="D2501" s="4">
        <v>2</v>
      </c>
      <c r="E2501" s="5">
        <v>114.5</v>
      </c>
      <c r="F2501" s="5">
        <v>30.9</v>
      </c>
      <c r="G2501" s="3" t="str">
        <f>VLOOKUP(Registros[[#This Row],[Cliente]],Cliente_Region[],2,FALSE)</f>
        <v>Canada</v>
      </c>
      <c r="H2501" s="3" t="str">
        <f>VLOOKUP(Registros[[#This Row],[Producto]],Producto[],2,FALSE)</f>
        <v>DONANY</v>
      </c>
    </row>
    <row r="2502" spans="1:8" ht="20.100000000000001" customHeight="1" x14ac:dyDescent="0.25">
      <c r="A2502" s="3" t="s">
        <v>387</v>
      </c>
      <c r="B2502" s="3" t="s">
        <v>382</v>
      </c>
      <c r="C2502" s="3">
        <v>2022</v>
      </c>
      <c r="D2502" s="4">
        <v>3</v>
      </c>
      <c r="E2502" s="5">
        <v>138</v>
      </c>
      <c r="F2502" s="5">
        <v>33.81</v>
      </c>
      <c r="G2502" s="3" t="str">
        <f>VLOOKUP(Registros[[#This Row],[Cliente]],Cliente_Region[],2,FALSE)</f>
        <v>Canada</v>
      </c>
      <c r="H2502" s="3" t="str">
        <f>VLOOKUP(Registros[[#This Row],[Producto]],Producto[],2,FALSE)</f>
        <v>DONANY</v>
      </c>
    </row>
    <row r="2503" spans="1:8" ht="20.100000000000001" customHeight="1" x14ac:dyDescent="0.25">
      <c r="A2503" s="3" t="s">
        <v>387</v>
      </c>
      <c r="B2503" s="3" t="s">
        <v>382</v>
      </c>
      <c r="C2503" s="3">
        <v>2022</v>
      </c>
      <c r="D2503" s="4">
        <v>4</v>
      </c>
      <c r="E2503" s="5">
        <v>150</v>
      </c>
      <c r="F2503" s="5">
        <v>45.67</v>
      </c>
      <c r="G2503" s="3" t="str">
        <f>VLOOKUP(Registros[[#This Row],[Cliente]],Cliente_Region[],2,FALSE)</f>
        <v>Canada</v>
      </c>
      <c r="H2503" s="3" t="str">
        <f>VLOOKUP(Registros[[#This Row],[Producto]],Producto[],2,FALSE)</f>
        <v>DONANY</v>
      </c>
    </row>
    <row r="2504" spans="1:8" ht="20.100000000000001" customHeight="1" x14ac:dyDescent="0.25">
      <c r="A2504" s="3" t="s">
        <v>387</v>
      </c>
      <c r="B2504" s="3" t="s">
        <v>382</v>
      </c>
      <c r="C2504" s="3">
        <v>2022</v>
      </c>
      <c r="D2504" s="4">
        <v>5</v>
      </c>
      <c r="E2504" s="5">
        <v>120</v>
      </c>
      <c r="F2504" s="5">
        <v>36.479999999999997</v>
      </c>
      <c r="G2504" s="3" t="str">
        <f>VLOOKUP(Registros[[#This Row],[Cliente]],Cliente_Region[],2,FALSE)</f>
        <v>Canada</v>
      </c>
      <c r="H2504" s="3" t="str">
        <f>VLOOKUP(Registros[[#This Row],[Producto]],Producto[],2,FALSE)</f>
        <v>DONANY</v>
      </c>
    </row>
    <row r="2505" spans="1:8" ht="20.100000000000001" customHeight="1" x14ac:dyDescent="0.25">
      <c r="A2505" s="3" t="s">
        <v>387</v>
      </c>
      <c r="B2505" s="3" t="s">
        <v>382</v>
      </c>
      <c r="C2505" s="3">
        <v>2022</v>
      </c>
      <c r="D2505" s="4">
        <v>6</v>
      </c>
      <c r="E2505" s="5">
        <v>120</v>
      </c>
      <c r="F2505" s="5">
        <v>36.46</v>
      </c>
      <c r="G2505" s="3" t="str">
        <f>VLOOKUP(Registros[[#This Row],[Cliente]],Cliente_Region[],2,FALSE)</f>
        <v>Canada</v>
      </c>
      <c r="H2505" s="3" t="str">
        <f>VLOOKUP(Registros[[#This Row],[Producto]],Producto[],2,FALSE)</f>
        <v>DONANY</v>
      </c>
    </row>
    <row r="2506" spans="1:8" ht="20.100000000000001" customHeight="1" x14ac:dyDescent="0.25">
      <c r="A2506" s="3" t="s">
        <v>353</v>
      </c>
      <c r="B2506" s="3" t="s">
        <v>382</v>
      </c>
      <c r="C2506" s="3">
        <v>2022</v>
      </c>
      <c r="D2506" s="4">
        <v>1</v>
      </c>
      <c r="E2506" s="5">
        <v>227.55</v>
      </c>
      <c r="F2506" s="5">
        <v>89.95</v>
      </c>
      <c r="G2506" s="3" t="str">
        <f>VLOOKUP(Registros[[#This Row],[Cliente]],Cliente_Region[],2,FALSE)</f>
        <v>Canada</v>
      </c>
      <c r="H2506" s="3" t="str">
        <f>VLOOKUP(Registros[[#This Row],[Producto]],Producto[],2,FALSE)</f>
        <v>QUOKAR</v>
      </c>
    </row>
    <row r="2507" spans="1:8" ht="20.100000000000001" customHeight="1" x14ac:dyDescent="0.25">
      <c r="A2507" s="3" t="s">
        <v>354</v>
      </c>
      <c r="B2507" s="3" t="s">
        <v>382</v>
      </c>
      <c r="C2507" s="3">
        <v>2022</v>
      </c>
      <c r="D2507" s="4">
        <v>2</v>
      </c>
      <c r="E2507" s="5">
        <v>227.6</v>
      </c>
      <c r="F2507" s="5">
        <v>89.3</v>
      </c>
      <c r="G2507" s="3" t="str">
        <f>VLOOKUP(Registros[[#This Row],[Cliente]],Cliente_Region[],2,FALSE)</f>
        <v>Canada</v>
      </c>
      <c r="H2507" s="3" t="str">
        <f>VLOOKUP(Registros[[#This Row],[Producto]],Producto[],2,FALSE)</f>
        <v>SALF</v>
      </c>
    </row>
    <row r="2508" spans="1:8" ht="20.100000000000001" customHeight="1" x14ac:dyDescent="0.25">
      <c r="A2508" s="3" t="s">
        <v>354</v>
      </c>
      <c r="B2508" s="3" t="s">
        <v>382</v>
      </c>
      <c r="C2508" s="3">
        <v>2022</v>
      </c>
      <c r="D2508" s="4">
        <v>3</v>
      </c>
      <c r="E2508" s="5">
        <v>226.4</v>
      </c>
      <c r="F2508" s="5">
        <v>86.57</v>
      </c>
      <c r="G2508" s="3" t="str">
        <f>VLOOKUP(Registros[[#This Row],[Cliente]],Cliente_Region[],2,FALSE)</f>
        <v>Canada</v>
      </c>
      <c r="H2508" s="3" t="str">
        <f>VLOOKUP(Registros[[#This Row],[Producto]],Producto[],2,FALSE)</f>
        <v>SALF</v>
      </c>
    </row>
    <row r="2509" spans="1:8" ht="20.100000000000001" customHeight="1" x14ac:dyDescent="0.25">
      <c r="A2509" s="3" t="s">
        <v>354</v>
      </c>
      <c r="B2509" s="3" t="s">
        <v>382</v>
      </c>
      <c r="C2509" s="3">
        <v>2022</v>
      </c>
      <c r="D2509" s="4">
        <v>4</v>
      </c>
      <c r="E2509" s="5">
        <v>283</v>
      </c>
      <c r="F2509" s="5">
        <v>100.99</v>
      </c>
      <c r="G2509" s="3" t="str">
        <f>VLOOKUP(Registros[[#This Row],[Cliente]],Cliente_Region[],2,FALSE)</f>
        <v>Canada</v>
      </c>
      <c r="H2509" s="3" t="str">
        <f>VLOOKUP(Registros[[#This Row],[Producto]],Producto[],2,FALSE)</f>
        <v>SALF</v>
      </c>
    </row>
    <row r="2510" spans="1:8" ht="20.100000000000001" customHeight="1" x14ac:dyDescent="0.25">
      <c r="A2510" s="3" t="s">
        <v>354</v>
      </c>
      <c r="B2510" s="3" t="s">
        <v>382</v>
      </c>
      <c r="C2510" s="3">
        <v>2022</v>
      </c>
      <c r="D2510" s="4">
        <v>5</v>
      </c>
      <c r="E2510" s="5">
        <v>226.4</v>
      </c>
      <c r="F2510" s="5">
        <v>77.25</v>
      </c>
      <c r="G2510" s="3" t="str">
        <f>VLOOKUP(Registros[[#This Row],[Cliente]],Cliente_Region[],2,FALSE)</f>
        <v>Canada</v>
      </c>
      <c r="H2510" s="3" t="str">
        <f>VLOOKUP(Registros[[#This Row],[Producto]],Producto[],2,FALSE)</f>
        <v>SALF</v>
      </c>
    </row>
    <row r="2511" spans="1:8" ht="20.100000000000001" customHeight="1" x14ac:dyDescent="0.25">
      <c r="A2511" s="3" t="s">
        <v>354</v>
      </c>
      <c r="B2511" s="3" t="s">
        <v>382</v>
      </c>
      <c r="C2511" s="3">
        <v>2022</v>
      </c>
      <c r="D2511" s="4">
        <v>6</v>
      </c>
      <c r="E2511" s="5">
        <v>169.8</v>
      </c>
      <c r="F2511" s="5">
        <v>56.9</v>
      </c>
      <c r="G2511" s="3" t="str">
        <f>VLOOKUP(Registros[[#This Row],[Cliente]],Cliente_Region[],2,FALSE)</f>
        <v>Canada</v>
      </c>
      <c r="H2511" s="3" t="str">
        <f>VLOOKUP(Registros[[#This Row],[Producto]],Producto[],2,FALSE)</f>
        <v>SALF</v>
      </c>
    </row>
    <row r="2512" spans="1:8" ht="20.100000000000001" customHeight="1" x14ac:dyDescent="0.25">
      <c r="A2512" s="3" t="s">
        <v>48</v>
      </c>
      <c r="B2512" s="3" t="s">
        <v>382</v>
      </c>
      <c r="C2512" s="3">
        <v>2022</v>
      </c>
      <c r="D2512" s="4">
        <v>1</v>
      </c>
      <c r="E2512" s="5">
        <v>0</v>
      </c>
      <c r="F2512" s="5">
        <v>-6.53</v>
      </c>
      <c r="G2512" s="3" t="str">
        <f>VLOOKUP(Registros[[#This Row],[Cliente]],Cliente_Region[],2,FALSE)</f>
        <v>Canada</v>
      </c>
      <c r="H2512" s="3" t="str">
        <f>VLOOKUP(Registros[[#This Row],[Producto]],Producto[],2,FALSE)</f>
        <v>GAMBO</v>
      </c>
    </row>
    <row r="2513" spans="1:8" ht="20.100000000000001" customHeight="1" x14ac:dyDescent="0.25">
      <c r="A2513" s="3" t="s">
        <v>136</v>
      </c>
      <c r="B2513" s="3" t="s">
        <v>382</v>
      </c>
      <c r="C2513" s="3">
        <v>2022</v>
      </c>
      <c r="D2513" s="4">
        <v>1</v>
      </c>
      <c r="E2513" s="5">
        <v>95.5</v>
      </c>
      <c r="F2513" s="5">
        <v>45.66</v>
      </c>
      <c r="G2513" s="3" t="str">
        <f>VLOOKUP(Registros[[#This Row],[Cliente]],Cliente_Region[],2,FALSE)</f>
        <v>Canada</v>
      </c>
      <c r="H2513" s="3" t="str">
        <f>VLOOKUP(Registros[[#This Row],[Producto]],Producto[],2,FALSE)</f>
        <v>CHOTUS</v>
      </c>
    </row>
    <row r="2514" spans="1:8" ht="20.100000000000001" customHeight="1" x14ac:dyDescent="0.25">
      <c r="A2514" s="3" t="s">
        <v>137</v>
      </c>
      <c r="B2514" s="3" t="s">
        <v>382</v>
      </c>
      <c r="C2514" s="3">
        <v>2022</v>
      </c>
      <c r="D2514" s="4">
        <v>2</v>
      </c>
      <c r="E2514" s="5">
        <v>135.30000000000001</v>
      </c>
      <c r="F2514" s="5">
        <v>72.989999999999995</v>
      </c>
      <c r="G2514" s="3" t="str">
        <f>VLOOKUP(Registros[[#This Row],[Cliente]],Cliente_Region[],2,FALSE)</f>
        <v>Canada</v>
      </c>
      <c r="H2514" s="3" t="str">
        <f>VLOOKUP(Registros[[#This Row],[Producto]],Producto[],2,FALSE)</f>
        <v>QUOKAR</v>
      </c>
    </row>
    <row r="2515" spans="1:8" ht="20.100000000000001" customHeight="1" x14ac:dyDescent="0.25">
      <c r="A2515" s="3" t="s">
        <v>137</v>
      </c>
      <c r="B2515" s="3" t="s">
        <v>382</v>
      </c>
      <c r="C2515" s="3">
        <v>2022</v>
      </c>
      <c r="D2515" s="4">
        <v>3</v>
      </c>
      <c r="E2515" s="5">
        <v>147.94999999999999</v>
      </c>
      <c r="F2515" s="5">
        <v>85.64</v>
      </c>
      <c r="G2515" s="3" t="str">
        <f>VLOOKUP(Registros[[#This Row],[Cliente]],Cliente_Region[],2,FALSE)</f>
        <v>Canada</v>
      </c>
      <c r="H2515" s="3" t="str">
        <f>VLOOKUP(Registros[[#This Row],[Producto]],Producto[],2,FALSE)</f>
        <v>QUOKAR</v>
      </c>
    </row>
    <row r="2516" spans="1:8" ht="20.100000000000001" customHeight="1" x14ac:dyDescent="0.25">
      <c r="A2516" s="3" t="s">
        <v>137</v>
      </c>
      <c r="B2516" s="3" t="s">
        <v>382</v>
      </c>
      <c r="C2516" s="3">
        <v>2022</v>
      </c>
      <c r="D2516" s="4">
        <v>4</v>
      </c>
      <c r="E2516" s="5">
        <v>138.6</v>
      </c>
      <c r="F2516" s="5">
        <v>88.76</v>
      </c>
      <c r="G2516" s="3" t="str">
        <f>VLOOKUP(Registros[[#This Row],[Cliente]],Cliente_Region[],2,FALSE)</f>
        <v>Canada</v>
      </c>
      <c r="H2516" s="3" t="str">
        <f>VLOOKUP(Registros[[#This Row],[Producto]],Producto[],2,FALSE)</f>
        <v>QUOKAR</v>
      </c>
    </row>
    <row r="2517" spans="1:8" ht="20.100000000000001" customHeight="1" x14ac:dyDescent="0.25">
      <c r="A2517" s="3" t="s">
        <v>137</v>
      </c>
      <c r="B2517" s="3" t="s">
        <v>382</v>
      </c>
      <c r="C2517" s="3">
        <v>2022</v>
      </c>
      <c r="D2517" s="4">
        <v>5</v>
      </c>
      <c r="E2517" s="5">
        <v>69.3</v>
      </c>
      <c r="F2517" s="5">
        <v>44.38</v>
      </c>
      <c r="G2517" s="3" t="str">
        <f>VLOOKUP(Registros[[#This Row],[Cliente]],Cliente_Region[],2,FALSE)</f>
        <v>Canada</v>
      </c>
      <c r="H2517" s="3" t="str">
        <f>VLOOKUP(Registros[[#This Row],[Producto]],Producto[],2,FALSE)</f>
        <v>QUOKAR</v>
      </c>
    </row>
    <row r="2518" spans="1:8" ht="20.100000000000001" customHeight="1" x14ac:dyDescent="0.25">
      <c r="A2518" s="3" t="s">
        <v>137</v>
      </c>
      <c r="B2518" s="3" t="s">
        <v>382</v>
      </c>
      <c r="C2518" s="3">
        <v>2022</v>
      </c>
      <c r="D2518" s="4">
        <v>6</v>
      </c>
      <c r="E2518" s="5">
        <v>69.3</v>
      </c>
      <c r="F2518" s="5">
        <v>44.38</v>
      </c>
      <c r="G2518" s="3" t="str">
        <f>VLOOKUP(Registros[[#This Row],[Cliente]],Cliente_Region[],2,FALSE)</f>
        <v>Canada</v>
      </c>
      <c r="H2518" s="3" t="str">
        <f>VLOOKUP(Registros[[#This Row],[Producto]],Producto[],2,FALSE)</f>
        <v>QUOKAR</v>
      </c>
    </row>
    <row r="2519" spans="1:8" ht="20.100000000000001" customHeight="1" x14ac:dyDescent="0.25">
      <c r="A2519" s="3" t="s">
        <v>77</v>
      </c>
      <c r="B2519" s="3" t="s">
        <v>382</v>
      </c>
      <c r="C2519" s="3">
        <v>2022</v>
      </c>
      <c r="D2519" s="4">
        <v>1</v>
      </c>
      <c r="E2519" s="5">
        <v>25.85</v>
      </c>
      <c r="F2519" s="5">
        <v>15.97</v>
      </c>
      <c r="G2519" s="3" t="str">
        <f>VLOOKUP(Registros[[#This Row],[Cliente]],Cliente_Region[],2,FALSE)</f>
        <v>Canada</v>
      </c>
      <c r="H2519" s="3" t="str">
        <f>VLOOKUP(Registros[[#This Row],[Producto]],Producto[],2,FALSE)</f>
        <v>LAX</v>
      </c>
    </row>
    <row r="2520" spans="1:8" ht="20.100000000000001" customHeight="1" x14ac:dyDescent="0.25">
      <c r="A2520" s="3" t="s">
        <v>78</v>
      </c>
      <c r="B2520" s="3" t="s">
        <v>382</v>
      </c>
      <c r="C2520" s="3">
        <v>2022</v>
      </c>
      <c r="D2520" s="4">
        <v>2</v>
      </c>
      <c r="E2520" s="5">
        <v>34.1</v>
      </c>
      <c r="F2520" s="5">
        <v>24.22</v>
      </c>
      <c r="G2520" s="3" t="str">
        <f>VLOOKUP(Registros[[#This Row],[Cliente]],Cliente_Region[],2,FALSE)</f>
        <v>Canada</v>
      </c>
      <c r="H2520" s="3" t="str">
        <f>VLOOKUP(Registros[[#This Row],[Producto]],Producto[],2,FALSE)</f>
        <v>MOC</v>
      </c>
    </row>
    <row r="2521" spans="1:8" ht="20.100000000000001" customHeight="1" x14ac:dyDescent="0.25">
      <c r="A2521" s="3" t="s">
        <v>78</v>
      </c>
      <c r="B2521" s="3" t="s">
        <v>382</v>
      </c>
      <c r="C2521" s="3">
        <v>2022</v>
      </c>
      <c r="D2521" s="4">
        <v>4</v>
      </c>
      <c r="E2521" s="5">
        <v>34.1</v>
      </c>
      <c r="F2521" s="5">
        <v>24.22</v>
      </c>
      <c r="G2521" s="3" t="str">
        <f>VLOOKUP(Registros[[#This Row],[Cliente]],Cliente_Region[],2,FALSE)</f>
        <v>Canada</v>
      </c>
      <c r="H2521" s="3" t="str">
        <f>VLOOKUP(Registros[[#This Row],[Producto]],Producto[],2,FALSE)</f>
        <v>MOC</v>
      </c>
    </row>
    <row r="2522" spans="1:8" ht="20.100000000000001" customHeight="1" x14ac:dyDescent="0.25">
      <c r="A2522" s="3" t="s">
        <v>210</v>
      </c>
      <c r="B2522" s="3" t="s">
        <v>382</v>
      </c>
      <c r="C2522" s="3">
        <v>2022</v>
      </c>
      <c r="D2522" s="4">
        <v>5</v>
      </c>
      <c r="E2522" s="5">
        <v>20.75</v>
      </c>
      <c r="F2522" s="5">
        <v>10.44</v>
      </c>
      <c r="G2522" s="3" t="str">
        <f>VLOOKUP(Registros[[#This Row],[Cliente]],Cliente_Region[],2,FALSE)</f>
        <v>Canada</v>
      </c>
      <c r="H2522" s="3" t="str">
        <f>VLOOKUP(Registros[[#This Row],[Producto]],Producto[],2,FALSE)</f>
        <v>LAX</v>
      </c>
    </row>
    <row r="2523" spans="1:8" ht="20.100000000000001" customHeight="1" x14ac:dyDescent="0.25">
      <c r="A2523" s="3" t="s">
        <v>299</v>
      </c>
      <c r="B2523" s="3" t="s">
        <v>382</v>
      </c>
      <c r="C2523" s="3">
        <v>2022</v>
      </c>
      <c r="D2523" s="4">
        <v>1</v>
      </c>
      <c r="E2523" s="5">
        <v>95</v>
      </c>
      <c r="F2523" s="5">
        <v>52.9</v>
      </c>
      <c r="G2523" s="3" t="str">
        <f>VLOOKUP(Registros[[#This Row],[Cliente]],Cliente_Region[],2,FALSE)</f>
        <v>Canada</v>
      </c>
      <c r="H2523" s="3" t="str">
        <f>VLOOKUP(Registros[[#This Row],[Producto]],Producto[],2,FALSE)</f>
        <v>SALF</v>
      </c>
    </row>
    <row r="2524" spans="1:8" ht="20.100000000000001" customHeight="1" x14ac:dyDescent="0.25">
      <c r="A2524" s="3" t="s">
        <v>255</v>
      </c>
      <c r="B2524" s="3" t="s">
        <v>382</v>
      </c>
      <c r="C2524" s="3">
        <v>2022</v>
      </c>
      <c r="D2524" s="4">
        <v>3</v>
      </c>
      <c r="E2524" s="5">
        <v>95</v>
      </c>
      <c r="F2524" s="5">
        <v>52.9</v>
      </c>
      <c r="G2524" s="3" t="str">
        <f>VLOOKUP(Registros[[#This Row],[Cliente]],Cliente_Region[],2,FALSE)</f>
        <v>Canada</v>
      </c>
      <c r="H2524" s="3" t="str">
        <f>VLOOKUP(Registros[[#This Row],[Producto]],Producto[],2,FALSE)</f>
        <v>MOC</v>
      </c>
    </row>
    <row r="2525" spans="1:8" ht="20.100000000000001" customHeight="1" x14ac:dyDescent="0.25">
      <c r="A2525" s="3" t="s">
        <v>212</v>
      </c>
      <c r="B2525" s="3" t="s">
        <v>382</v>
      </c>
      <c r="C2525" s="3">
        <v>2022</v>
      </c>
      <c r="D2525" s="4">
        <v>5</v>
      </c>
      <c r="E2525" s="5">
        <v>36.5</v>
      </c>
      <c r="F2525" s="5">
        <v>15.57</v>
      </c>
      <c r="G2525" s="3" t="str">
        <f>VLOOKUP(Registros[[#This Row],[Cliente]],Cliente_Region[],2,FALSE)</f>
        <v>Canada</v>
      </c>
      <c r="H2525" s="3" t="str">
        <f>VLOOKUP(Registros[[#This Row],[Producto]],Producto[],2,FALSE)</f>
        <v>LAX</v>
      </c>
    </row>
    <row r="2526" spans="1:8" ht="20.100000000000001" customHeight="1" x14ac:dyDescent="0.25">
      <c r="A2526" s="3" t="s">
        <v>282</v>
      </c>
      <c r="B2526" s="3" t="s">
        <v>388</v>
      </c>
      <c r="C2526" s="3">
        <v>2022</v>
      </c>
      <c r="D2526" s="4">
        <v>3</v>
      </c>
      <c r="E2526" s="5">
        <v>16.5</v>
      </c>
      <c r="F2526" s="5">
        <v>9.49</v>
      </c>
      <c r="G2526" s="3" t="str">
        <f>VLOOKUP(Registros[[#This Row],[Cliente]],Cliente_Region[],2,FALSE)</f>
        <v>Chile</v>
      </c>
      <c r="H2526" s="3" t="str">
        <f>VLOOKUP(Registros[[#This Row],[Producto]],Producto[],2,FALSE)</f>
        <v>DAWNE</v>
      </c>
    </row>
    <row r="2527" spans="1:8" ht="20.100000000000001" customHeight="1" x14ac:dyDescent="0.25">
      <c r="A2527" s="3" t="s">
        <v>135</v>
      </c>
      <c r="B2527" s="3" t="s">
        <v>388</v>
      </c>
      <c r="C2527" s="3">
        <v>2022</v>
      </c>
      <c r="D2527" s="4">
        <v>3</v>
      </c>
      <c r="E2527" s="5">
        <v>45</v>
      </c>
      <c r="F2527" s="5">
        <v>31.52</v>
      </c>
      <c r="G2527" s="3" t="str">
        <f>VLOOKUP(Registros[[#This Row],[Cliente]],Cliente_Region[],2,FALSE)</f>
        <v>Chile</v>
      </c>
      <c r="H2527" s="3" t="str">
        <f>VLOOKUP(Registros[[#This Row],[Producto]],Producto[],2,FALSE)</f>
        <v>GAMBO</v>
      </c>
    </row>
    <row r="2528" spans="1:8" ht="20.100000000000001" customHeight="1" x14ac:dyDescent="0.25">
      <c r="A2528" s="3" t="s">
        <v>136</v>
      </c>
      <c r="B2528" s="3" t="s">
        <v>388</v>
      </c>
      <c r="C2528" s="3">
        <v>2022</v>
      </c>
      <c r="D2528" s="4">
        <v>3</v>
      </c>
      <c r="E2528" s="5">
        <v>42</v>
      </c>
      <c r="F2528" s="5">
        <v>17.07</v>
      </c>
      <c r="G2528" s="3" t="str">
        <f>VLOOKUP(Registros[[#This Row],[Cliente]],Cliente_Region[],2,FALSE)</f>
        <v>Chile</v>
      </c>
      <c r="H2528" s="3" t="str">
        <f>VLOOKUP(Registros[[#This Row],[Producto]],Producto[],2,FALSE)</f>
        <v>CHOTUS</v>
      </c>
    </row>
    <row r="2529" spans="1:8" ht="20.100000000000001" customHeight="1" x14ac:dyDescent="0.25">
      <c r="A2529" s="3" t="s">
        <v>77</v>
      </c>
      <c r="B2529" s="3" t="s">
        <v>388</v>
      </c>
      <c r="C2529" s="3">
        <v>2022</v>
      </c>
      <c r="D2529" s="4">
        <v>3</v>
      </c>
      <c r="E2529" s="5">
        <v>68.2</v>
      </c>
      <c r="F2529" s="5">
        <v>48.44</v>
      </c>
      <c r="G2529" s="3" t="str">
        <f>VLOOKUP(Registros[[#This Row],[Cliente]],Cliente_Region[],2,FALSE)</f>
        <v>Chile</v>
      </c>
      <c r="H2529" s="3" t="str">
        <f>VLOOKUP(Registros[[#This Row],[Producto]],Producto[],2,FALSE)</f>
        <v>LAX</v>
      </c>
    </row>
    <row r="2530" spans="1:8" ht="20.100000000000001" customHeight="1" x14ac:dyDescent="0.25">
      <c r="A2530" s="3" t="s">
        <v>81</v>
      </c>
      <c r="B2530" s="3" t="s">
        <v>388</v>
      </c>
      <c r="C2530" s="3">
        <v>2022</v>
      </c>
      <c r="D2530" s="4">
        <v>3</v>
      </c>
      <c r="E2530" s="5">
        <v>47.86</v>
      </c>
      <c r="F2530" s="5">
        <v>19.91</v>
      </c>
      <c r="G2530" s="3" t="str">
        <f>VLOOKUP(Registros[[#This Row],[Cliente]],Cliente_Region[],2,FALSE)</f>
        <v>Chile</v>
      </c>
      <c r="H2530" s="3" t="str">
        <f>VLOOKUP(Registros[[#This Row],[Producto]],Producto[],2,FALSE)</f>
        <v>QUOKAR</v>
      </c>
    </row>
    <row r="2531" spans="1:8" ht="20.100000000000001" customHeight="1" x14ac:dyDescent="0.25">
      <c r="A2531" s="3" t="s">
        <v>253</v>
      </c>
      <c r="B2531" s="3" t="s">
        <v>389</v>
      </c>
      <c r="C2531" s="3">
        <v>2022</v>
      </c>
      <c r="D2531" s="4">
        <v>1</v>
      </c>
      <c r="E2531" s="5">
        <v>642.25</v>
      </c>
      <c r="F2531" s="5">
        <v>213.41</v>
      </c>
      <c r="G2531" s="3" t="str">
        <f>VLOOKUP(Registros[[#This Row],[Cliente]],Cliente_Region[],2,FALSE)</f>
        <v>Mexico</v>
      </c>
      <c r="H2531" s="3" t="str">
        <f>VLOOKUP(Registros[[#This Row],[Producto]],Producto[],2,FALSE)</f>
        <v>LAX</v>
      </c>
    </row>
    <row r="2532" spans="1:8" ht="20.100000000000001" customHeight="1" x14ac:dyDescent="0.25">
      <c r="A2532" s="3" t="s">
        <v>14</v>
      </c>
      <c r="B2532" s="3" t="s">
        <v>389</v>
      </c>
      <c r="C2532" s="3">
        <v>2022</v>
      </c>
      <c r="D2532" s="4">
        <v>2</v>
      </c>
      <c r="E2532" s="5">
        <v>542.9</v>
      </c>
      <c r="F2532" s="5">
        <v>212.52</v>
      </c>
      <c r="G2532" s="3" t="str">
        <f>VLOOKUP(Registros[[#This Row],[Cliente]],Cliente_Region[],2,FALSE)</f>
        <v>Mexico</v>
      </c>
      <c r="H2532" s="3" t="str">
        <f>VLOOKUP(Registros[[#This Row],[Producto]],Producto[],2,FALSE)</f>
        <v>SALF</v>
      </c>
    </row>
    <row r="2533" spans="1:8" ht="20.100000000000001" customHeight="1" x14ac:dyDescent="0.25">
      <c r="A2533" s="3" t="s">
        <v>14</v>
      </c>
      <c r="B2533" s="3" t="s">
        <v>389</v>
      </c>
      <c r="C2533" s="3">
        <v>2022</v>
      </c>
      <c r="D2533" s="4">
        <v>3</v>
      </c>
      <c r="E2533" s="5">
        <v>391.5</v>
      </c>
      <c r="F2533" s="5">
        <v>121.95</v>
      </c>
      <c r="G2533" s="3" t="str">
        <f>VLOOKUP(Registros[[#This Row],[Cliente]],Cliente_Region[],2,FALSE)</f>
        <v>Mexico</v>
      </c>
      <c r="H2533" s="3" t="str">
        <f>VLOOKUP(Registros[[#This Row],[Producto]],Producto[],2,FALSE)</f>
        <v>SALF</v>
      </c>
    </row>
    <row r="2534" spans="1:8" ht="20.100000000000001" customHeight="1" x14ac:dyDescent="0.25">
      <c r="A2534" s="3" t="s">
        <v>14</v>
      </c>
      <c r="B2534" s="3" t="s">
        <v>389</v>
      </c>
      <c r="C2534" s="3">
        <v>2022</v>
      </c>
      <c r="D2534" s="4">
        <v>4</v>
      </c>
      <c r="E2534" s="5">
        <v>290</v>
      </c>
      <c r="F2534" s="5">
        <v>90.82</v>
      </c>
      <c r="G2534" s="3" t="str">
        <f>VLOOKUP(Registros[[#This Row],[Cliente]],Cliente_Region[],2,FALSE)</f>
        <v>Mexico</v>
      </c>
      <c r="H2534" s="3" t="str">
        <f>VLOOKUP(Registros[[#This Row],[Producto]],Producto[],2,FALSE)</f>
        <v>SALF</v>
      </c>
    </row>
    <row r="2535" spans="1:8" ht="20.100000000000001" customHeight="1" x14ac:dyDescent="0.25">
      <c r="A2535" s="3" t="s">
        <v>14</v>
      </c>
      <c r="B2535" s="3" t="s">
        <v>389</v>
      </c>
      <c r="C2535" s="3">
        <v>2022</v>
      </c>
      <c r="D2535" s="4">
        <v>5</v>
      </c>
      <c r="E2535" s="5">
        <v>493</v>
      </c>
      <c r="F2535" s="5">
        <v>154.85</v>
      </c>
      <c r="G2535" s="3" t="str">
        <f>VLOOKUP(Registros[[#This Row],[Cliente]],Cliente_Region[],2,FALSE)</f>
        <v>Mexico</v>
      </c>
      <c r="H2535" s="3" t="str">
        <f>VLOOKUP(Registros[[#This Row],[Producto]],Producto[],2,FALSE)</f>
        <v>SALF</v>
      </c>
    </row>
    <row r="2536" spans="1:8" ht="20.100000000000001" customHeight="1" x14ac:dyDescent="0.25">
      <c r="A2536" s="3" t="s">
        <v>14</v>
      </c>
      <c r="B2536" s="3" t="s">
        <v>389</v>
      </c>
      <c r="C2536" s="3">
        <v>2022</v>
      </c>
      <c r="D2536" s="4">
        <v>6</v>
      </c>
      <c r="E2536" s="5">
        <v>348</v>
      </c>
      <c r="F2536" s="5">
        <v>109.44</v>
      </c>
      <c r="G2536" s="3" t="str">
        <f>VLOOKUP(Registros[[#This Row],[Cliente]],Cliente_Region[],2,FALSE)</f>
        <v>Mexico</v>
      </c>
      <c r="H2536" s="3" t="str">
        <f>VLOOKUP(Registros[[#This Row],[Producto]],Producto[],2,FALSE)</f>
        <v>SALF</v>
      </c>
    </row>
    <row r="2537" spans="1:8" ht="20.100000000000001" customHeight="1" x14ac:dyDescent="0.25">
      <c r="A2537" s="3" t="s">
        <v>13</v>
      </c>
      <c r="B2537" s="3" t="s">
        <v>389</v>
      </c>
      <c r="C2537" s="3">
        <v>2022</v>
      </c>
      <c r="D2537" s="4">
        <v>3</v>
      </c>
      <c r="E2537" s="5">
        <v>66</v>
      </c>
      <c r="F2537" s="5">
        <v>27.66</v>
      </c>
      <c r="G2537" s="3" t="str">
        <f>VLOOKUP(Registros[[#This Row],[Cliente]],Cliente_Region[],2,FALSE)</f>
        <v>Mexico</v>
      </c>
      <c r="H2537" s="3" t="str">
        <f>VLOOKUP(Registros[[#This Row],[Producto]],Producto[],2,FALSE)</f>
        <v>DAWNE</v>
      </c>
    </row>
    <row r="2538" spans="1:8" ht="20.100000000000001" customHeight="1" x14ac:dyDescent="0.25">
      <c r="A2538" s="3" t="s">
        <v>14</v>
      </c>
      <c r="B2538" s="3" t="s">
        <v>389</v>
      </c>
      <c r="C2538" s="3">
        <v>2022</v>
      </c>
      <c r="D2538" s="4">
        <v>4</v>
      </c>
      <c r="E2538" s="5">
        <v>231</v>
      </c>
      <c r="F2538" s="5">
        <v>96.5</v>
      </c>
      <c r="G2538" s="3" t="str">
        <f>VLOOKUP(Registros[[#This Row],[Cliente]],Cliente_Region[],2,FALSE)</f>
        <v>Mexico</v>
      </c>
      <c r="H2538" s="3" t="str">
        <f>VLOOKUP(Registros[[#This Row],[Producto]],Producto[],2,FALSE)</f>
        <v>SALF</v>
      </c>
    </row>
    <row r="2539" spans="1:8" ht="20.100000000000001" customHeight="1" x14ac:dyDescent="0.25">
      <c r="A2539" s="3" t="s">
        <v>14</v>
      </c>
      <c r="B2539" s="3" t="s">
        <v>389</v>
      </c>
      <c r="C2539" s="3">
        <v>2022</v>
      </c>
      <c r="D2539" s="4">
        <v>5</v>
      </c>
      <c r="E2539" s="5">
        <v>231</v>
      </c>
      <c r="F2539" s="5">
        <v>95.74</v>
      </c>
      <c r="G2539" s="3" t="str">
        <f>VLOOKUP(Registros[[#This Row],[Cliente]],Cliente_Region[],2,FALSE)</f>
        <v>Mexico</v>
      </c>
      <c r="H2539" s="3" t="str">
        <f>VLOOKUP(Registros[[#This Row],[Producto]],Producto[],2,FALSE)</f>
        <v>SALF</v>
      </c>
    </row>
    <row r="2540" spans="1:8" ht="20.100000000000001" customHeight="1" x14ac:dyDescent="0.25">
      <c r="A2540" s="3" t="s">
        <v>98</v>
      </c>
      <c r="B2540" s="3" t="s">
        <v>389</v>
      </c>
      <c r="C2540" s="3">
        <v>2022</v>
      </c>
      <c r="D2540" s="4">
        <v>1</v>
      </c>
      <c r="E2540" s="5">
        <v>1189.25</v>
      </c>
      <c r="F2540" s="5">
        <v>495.94</v>
      </c>
      <c r="G2540" s="3" t="str">
        <f>VLOOKUP(Registros[[#This Row],[Cliente]],Cliente_Region[],2,FALSE)</f>
        <v>Mexico</v>
      </c>
      <c r="H2540" s="3" t="str">
        <f>VLOOKUP(Registros[[#This Row],[Producto]],Producto[],2,FALSE)</f>
        <v>MOC</v>
      </c>
    </row>
    <row r="2541" spans="1:8" ht="20.100000000000001" customHeight="1" x14ac:dyDescent="0.25">
      <c r="A2541" s="3" t="s">
        <v>99</v>
      </c>
      <c r="B2541" s="3" t="s">
        <v>389</v>
      </c>
      <c r="C2541" s="3">
        <v>2022</v>
      </c>
      <c r="D2541" s="4">
        <v>2</v>
      </c>
      <c r="E2541" s="5">
        <v>1139</v>
      </c>
      <c r="F2541" s="5">
        <v>471.04</v>
      </c>
      <c r="G2541" s="3" t="str">
        <f>VLOOKUP(Registros[[#This Row],[Cliente]],Cliente_Region[],2,FALSE)</f>
        <v>Mexico</v>
      </c>
      <c r="H2541" s="3" t="str">
        <f>VLOOKUP(Registros[[#This Row],[Producto]],Producto[],2,FALSE)</f>
        <v>MOC</v>
      </c>
    </row>
    <row r="2542" spans="1:8" ht="20.100000000000001" customHeight="1" x14ac:dyDescent="0.25">
      <c r="A2542" s="3" t="s">
        <v>99</v>
      </c>
      <c r="B2542" s="3" t="s">
        <v>389</v>
      </c>
      <c r="C2542" s="3">
        <v>2022</v>
      </c>
      <c r="D2542" s="4">
        <v>3</v>
      </c>
      <c r="E2542" s="5">
        <v>988.25</v>
      </c>
      <c r="F2542" s="5">
        <v>410.49</v>
      </c>
      <c r="G2542" s="3" t="str">
        <f>VLOOKUP(Registros[[#This Row],[Cliente]],Cliente_Region[],2,FALSE)</f>
        <v>Mexico</v>
      </c>
      <c r="H2542" s="3" t="str">
        <f>VLOOKUP(Registros[[#This Row],[Producto]],Producto[],2,FALSE)</f>
        <v>MOC</v>
      </c>
    </row>
    <row r="2543" spans="1:8" ht="20.100000000000001" customHeight="1" x14ac:dyDescent="0.25">
      <c r="A2543" s="3" t="s">
        <v>99</v>
      </c>
      <c r="B2543" s="3" t="s">
        <v>389</v>
      </c>
      <c r="C2543" s="3">
        <v>2022</v>
      </c>
      <c r="D2543" s="4">
        <v>4</v>
      </c>
      <c r="E2543" s="5">
        <v>636.5</v>
      </c>
      <c r="F2543" s="5">
        <v>263.89999999999998</v>
      </c>
      <c r="G2543" s="3" t="str">
        <f>VLOOKUP(Registros[[#This Row],[Cliente]],Cliente_Region[],2,FALSE)</f>
        <v>Mexico</v>
      </c>
      <c r="H2543" s="3" t="str">
        <f>VLOOKUP(Registros[[#This Row],[Producto]],Producto[],2,FALSE)</f>
        <v>MOC</v>
      </c>
    </row>
    <row r="2544" spans="1:8" ht="20.100000000000001" customHeight="1" x14ac:dyDescent="0.25">
      <c r="A2544" s="3" t="s">
        <v>99</v>
      </c>
      <c r="B2544" s="3" t="s">
        <v>389</v>
      </c>
      <c r="C2544" s="3">
        <v>2022</v>
      </c>
      <c r="D2544" s="4">
        <v>5</v>
      </c>
      <c r="E2544" s="5">
        <v>686.75</v>
      </c>
      <c r="F2544" s="5">
        <v>200.31</v>
      </c>
      <c r="G2544" s="3" t="str">
        <f>VLOOKUP(Registros[[#This Row],[Cliente]],Cliente_Region[],2,FALSE)</f>
        <v>Mexico</v>
      </c>
      <c r="H2544" s="3" t="str">
        <f>VLOOKUP(Registros[[#This Row],[Producto]],Producto[],2,FALSE)</f>
        <v>MOC</v>
      </c>
    </row>
    <row r="2545" spans="1:8" ht="20.100000000000001" customHeight="1" x14ac:dyDescent="0.25">
      <c r="A2545" s="3" t="s">
        <v>99</v>
      </c>
      <c r="B2545" s="3" t="s">
        <v>389</v>
      </c>
      <c r="C2545" s="3">
        <v>2022</v>
      </c>
      <c r="D2545" s="4">
        <v>6</v>
      </c>
      <c r="E2545" s="5">
        <v>502.5</v>
      </c>
      <c r="F2545" s="5">
        <v>208.73</v>
      </c>
      <c r="G2545" s="3" t="str">
        <f>VLOOKUP(Registros[[#This Row],[Cliente]],Cliente_Region[],2,FALSE)</f>
        <v>Mexico</v>
      </c>
      <c r="H2545" s="3" t="str">
        <f>VLOOKUP(Registros[[#This Row],[Producto]],Producto[],2,FALSE)</f>
        <v>MOC</v>
      </c>
    </row>
    <row r="2546" spans="1:8" ht="20.100000000000001" customHeight="1" x14ac:dyDescent="0.25">
      <c r="A2546" s="3" t="s">
        <v>17</v>
      </c>
      <c r="B2546" s="3" t="s">
        <v>389</v>
      </c>
      <c r="C2546" s="3">
        <v>2022</v>
      </c>
      <c r="D2546" s="4">
        <v>1</v>
      </c>
      <c r="E2546" s="5">
        <v>70.55</v>
      </c>
      <c r="F2546" s="5">
        <v>27.05</v>
      </c>
      <c r="G2546" s="3" t="str">
        <f>VLOOKUP(Registros[[#This Row],[Cliente]],Cliente_Region[],2,FALSE)</f>
        <v>Mexico</v>
      </c>
      <c r="H2546" s="3" t="str">
        <f>VLOOKUP(Registros[[#This Row],[Producto]],Producto[],2,FALSE)</f>
        <v>LAX</v>
      </c>
    </row>
    <row r="2547" spans="1:8" ht="20.100000000000001" customHeight="1" x14ac:dyDescent="0.25">
      <c r="A2547" s="3" t="s">
        <v>30</v>
      </c>
      <c r="B2547" s="3" t="s">
        <v>389</v>
      </c>
      <c r="C2547" s="3">
        <v>2022</v>
      </c>
      <c r="D2547" s="4">
        <v>1</v>
      </c>
      <c r="E2547" s="5">
        <v>76.2</v>
      </c>
      <c r="F2547" s="5">
        <v>52.14</v>
      </c>
      <c r="G2547" s="3" t="str">
        <f>VLOOKUP(Registros[[#This Row],[Cliente]],Cliente_Region[],2,FALSE)</f>
        <v>Mexico</v>
      </c>
      <c r="H2547" s="3" t="str">
        <f>VLOOKUP(Registros[[#This Row],[Producto]],Producto[],2,FALSE)</f>
        <v>CHOTUS</v>
      </c>
    </row>
    <row r="2548" spans="1:8" ht="20.100000000000001" customHeight="1" x14ac:dyDescent="0.25">
      <c r="A2548" s="3" t="s">
        <v>31</v>
      </c>
      <c r="B2548" s="3" t="s">
        <v>389</v>
      </c>
      <c r="C2548" s="3">
        <v>2022</v>
      </c>
      <c r="D2548" s="4">
        <v>2</v>
      </c>
      <c r="E2548" s="5">
        <v>202.5</v>
      </c>
      <c r="F2548" s="5">
        <v>158.38999999999999</v>
      </c>
      <c r="G2548" s="3" t="str">
        <f>VLOOKUP(Registros[[#This Row],[Cliente]],Cliente_Region[],2,FALSE)</f>
        <v>Mexico</v>
      </c>
      <c r="H2548" s="3" t="str">
        <f>VLOOKUP(Registros[[#This Row],[Producto]],Producto[],2,FALSE)</f>
        <v>CHOTUS</v>
      </c>
    </row>
    <row r="2549" spans="1:8" ht="20.100000000000001" customHeight="1" x14ac:dyDescent="0.25">
      <c r="A2549" s="3" t="s">
        <v>31</v>
      </c>
      <c r="B2549" s="3" t="s">
        <v>389</v>
      </c>
      <c r="C2549" s="3">
        <v>2022</v>
      </c>
      <c r="D2549" s="4">
        <v>3</v>
      </c>
      <c r="E2549" s="5">
        <v>88.9</v>
      </c>
      <c r="F2549" s="5">
        <v>60.83</v>
      </c>
      <c r="G2549" s="3" t="str">
        <f>VLOOKUP(Registros[[#This Row],[Cliente]],Cliente_Region[],2,FALSE)</f>
        <v>Mexico</v>
      </c>
      <c r="H2549" s="3" t="str">
        <f>VLOOKUP(Registros[[#This Row],[Producto]],Producto[],2,FALSE)</f>
        <v>CHOTUS</v>
      </c>
    </row>
    <row r="2550" spans="1:8" ht="20.100000000000001" customHeight="1" x14ac:dyDescent="0.25">
      <c r="A2550" s="3" t="s">
        <v>31</v>
      </c>
      <c r="B2550" s="3" t="s">
        <v>389</v>
      </c>
      <c r="C2550" s="3">
        <v>2022</v>
      </c>
      <c r="D2550" s="4">
        <v>4</v>
      </c>
      <c r="E2550" s="5">
        <v>50.8</v>
      </c>
      <c r="F2550" s="5">
        <v>34.76</v>
      </c>
      <c r="G2550" s="3" t="str">
        <f>VLOOKUP(Registros[[#This Row],[Cliente]],Cliente_Region[],2,FALSE)</f>
        <v>Mexico</v>
      </c>
      <c r="H2550" s="3" t="str">
        <f>VLOOKUP(Registros[[#This Row],[Producto]],Producto[],2,FALSE)</f>
        <v>CHOTUS</v>
      </c>
    </row>
    <row r="2551" spans="1:8" ht="20.100000000000001" customHeight="1" x14ac:dyDescent="0.25">
      <c r="A2551" s="3" t="s">
        <v>31</v>
      </c>
      <c r="B2551" s="3" t="s">
        <v>389</v>
      </c>
      <c r="C2551" s="3">
        <v>2022</v>
      </c>
      <c r="D2551" s="4">
        <v>5</v>
      </c>
      <c r="E2551" s="5">
        <v>38.1</v>
      </c>
      <c r="F2551" s="5">
        <v>26.07</v>
      </c>
      <c r="G2551" s="3" t="str">
        <f>VLOOKUP(Registros[[#This Row],[Cliente]],Cliente_Region[],2,FALSE)</f>
        <v>Mexico</v>
      </c>
      <c r="H2551" s="3" t="str">
        <f>VLOOKUP(Registros[[#This Row],[Producto]],Producto[],2,FALSE)</f>
        <v>CHOTUS</v>
      </c>
    </row>
    <row r="2552" spans="1:8" ht="20.100000000000001" customHeight="1" x14ac:dyDescent="0.25">
      <c r="A2552" s="3" t="s">
        <v>31</v>
      </c>
      <c r="B2552" s="3" t="s">
        <v>389</v>
      </c>
      <c r="C2552" s="3">
        <v>2022</v>
      </c>
      <c r="D2552" s="4">
        <v>6</v>
      </c>
      <c r="E2552" s="5">
        <v>38.1</v>
      </c>
      <c r="F2552" s="5">
        <v>26.07</v>
      </c>
      <c r="G2552" s="3" t="str">
        <f>VLOOKUP(Registros[[#This Row],[Cliente]],Cliente_Region[],2,FALSE)</f>
        <v>Mexico</v>
      </c>
      <c r="H2552" s="3" t="str">
        <f>VLOOKUP(Registros[[#This Row],[Producto]],Producto[],2,FALSE)</f>
        <v>CHOTUS</v>
      </c>
    </row>
    <row r="2553" spans="1:8" ht="20.100000000000001" customHeight="1" x14ac:dyDescent="0.25">
      <c r="A2553" s="3" t="s">
        <v>34</v>
      </c>
      <c r="B2553" s="3" t="s">
        <v>389</v>
      </c>
      <c r="C2553" s="3">
        <v>2022</v>
      </c>
      <c r="D2553" s="4">
        <v>1</v>
      </c>
      <c r="E2553" s="5">
        <v>76.2</v>
      </c>
      <c r="F2553" s="5">
        <v>52.92</v>
      </c>
      <c r="G2553" s="3" t="str">
        <f>VLOOKUP(Registros[[#This Row],[Cliente]],Cliente_Region[],2,FALSE)</f>
        <v>Mexico</v>
      </c>
      <c r="H2553" s="3" t="str">
        <f>VLOOKUP(Registros[[#This Row],[Producto]],Producto[],2,FALSE)</f>
        <v>DONANY</v>
      </c>
    </row>
    <row r="2554" spans="1:8" ht="20.100000000000001" customHeight="1" x14ac:dyDescent="0.25">
      <c r="A2554" s="3" t="s">
        <v>35</v>
      </c>
      <c r="B2554" s="3" t="s">
        <v>389</v>
      </c>
      <c r="C2554" s="3">
        <v>2022</v>
      </c>
      <c r="D2554" s="4">
        <v>2</v>
      </c>
      <c r="E2554" s="5">
        <v>174.9</v>
      </c>
      <c r="F2554" s="5">
        <v>139.99</v>
      </c>
      <c r="G2554" s="3" t="str">
        <f>VLOOKUP(Registros[[#This Row],[Cliente]],Cliente_Region[],2,FALSE)</f>
        <v>Mexico</v>
      </c>
      <c r="H2554" s="3" t="str">
        <f>VLOOKUP(Registros[[#This Row],[Producto]],Producto[],2,FALSE)</f>
        <v>MOC</v>
      </c>
    </row>
    <row r="2555" spans="1:8" ht="20.100000000000001" customHeight="1" x14ac:dyDescent="0.25">
      <c r="A2555" s="3" t="s">
        <v>35</v>
      </c>
      <c r="B2555" s="3" t="s">
        <v>389</v>
      </c>
      <c r="C2555" s="3">
        <v>2022</v>
      </c>
      <c r="D2555" s="4">
        <v>3</v>
      </c>
      <c r="E2555" s="5">
        <v>76.2</v>
      </c>
      <c r="F2555" s="5">
        <v>52.92</v>
      </c>
      <c r="G2555" s="3" t="str">
        <f>VLOOKUP(Registros[[#This Row],[Cliente]],Cliente_Region[],2,FALSE)</f>
        <v>Mexico</v>
      </c>
      <c r="H2555" s="3" t="str">
        <f>VLOOKUP(Registros[[#This Row],[Producto]],Producto[],2,FALSE)</f>
        <v>MOC</v>
      </c>
    </row>
    <row r="2556" spans="1:8" ht="20.100000000000001" customHeight="1" x14ac:dyDescent="0.25">
      <c r="A2556" s="3" t="s">
        <v>35</v>
      </c>
      <c r="B2556" s="3" t="s">
        <v>389</v>
      </c>
      <c r="C2556" s="3">
        <v>2022</v>
      </c>
      <c r="D2556" s="4">
        <v>4</v>
      </c>
      <c r="E2556" s="5">
        <v>25.4</v>
      </c>
      <c r="F2556" s="5">
        <v>17.64</v>
      </c>
      <c r="G2556" s="3" t="str">
        <f>VLOOKUP(Registros[[#This Row],[Cliente]],Cliente_Region[],2,FALSE)</f>
        <v>Mexico</v>
      </c>
      <c r="H2556" s="3" t="str">
        <f>VLOOKUP(Registros[[#This Row],[Producto]],Producto[],2,FALSE)</f>
        <v>MOC</v>
      </c>
    </row>
    <row r="2557" spans="1:8" ht="20.100000000000001" customHeight="1" x14ac:dyDescent="0.25">
      <c r="A2557" s="3" t="s">
        <v>35</v>
      </c>
      <c r="B2557" s="3" t="s">
        <v>389</v>
      </c>
      <c r="C2557" s="3">
        <v>2022</v>
      </c>
      <c r="D2557" s="4">
        <v>5</v>
      </c>
      <c r="E2557" s="5">
        <v>38.1</v>
      </c>
      <c r="F2557" s="5">
        <v>26.46</v>
      </c>
      <c r="G2557" s="3" t="str">
        <f>VLOOKUP(Registros[[#This Row],[Cliente]],Cliente_Region[],2,FALSE)</f>
        <v>Mexico</v>
      </c>
      <c r="H2557" s="3" t="str">
        <f>VLOOKUP(Registros[[#This Row],[Producto]],Producto[],2,FALSE)</f>
        <v>MOC</v>
      </c>
    </row>
    <row r="2558" spans="1:8" ht="20.100000000000001" customHeight="1" x14ac:dyDescent="0.25">
      <c r="A2558" s="3" t="s">
        <v>35</v>
      </c>
      <c r="B2558" s="3" t="s">
        <v>389</v>
      </c>
      <c r="C2558" s="3">
        <v>2022</v>
      </c>
      <c r="D2558" s="4">
        <v>6</v>
      </c>
      <c r="E2558" s="5">
        <v>25.4</v>
      </c>
      <c r="F2558" s="5">
        <v>17.64</v>
      </c>
      <c r="G2558" s="3" t="str">
        <f>VLOOKUP(Registros[[#This Row],[Cliente]],Cliente_Region[],2,FALSE)</f>
        <v>Mexico</v>
      </c>
      <c r="H2558" s="3" t="str">
        <f>VLOOKUP(Registros[[#This Row],[Producto]],Producto[],2,FALSE)</f>
        <v>MOC</v>
      </c>
    </row>
    <row r="2559" spans="1:8" ht="20.100000000000001" customHeight="1" x14ac:dyDescent="0.25">
      <c r="A2559" s="3" t="s">
        <v>36</v>
      </c>
      <c r="B2559" s="3" t="s">
        <v>389</v>
      </c>
      <c r="C2559" s="3">
        <v>2022</v>
      </c>
      <c r="D2559" s="4">
        <v>1</v>
      </c>
      <c r="E2559" s="5">
        <v>153.19999999999999</v>
      </c>
      <c r="F2559" s="5">
        <v>103.59</v>
      </c>
      <c r="G2559" s="3" t="str">
        <f>VLOOKUP(Registros[[#This Row],[Cliente]],Cliente_Region[],2,FALSE)</f>
        <v>Mexico</v>
      </c>
      <c r="H2559" s="3" t="str">
        <f>VLOOKUP(Registros[[#This Row],[Producto]],Producto[],2,FALSE)</f>
        <v>QUOKAR</v>
      </c>
    </row>
    <row r="2560" spans="1:8" ht="20.100000000000001" customHeight="1" x14ac:dyDescent="0.25">
      <c r="A2560" s="3" t="s">
        <v>37</v>
      </c>
      <c r="B2560" s="3" t="s">
        <v>389</v>
      </c>
      <c r="C2560" s="3">
        <v>2022</v>
      </c>
      <c r="D2560" s="4">
        <v>2</v>
      </c>
      <c r="E2560" s="5">
        <v>99.52</v>
      </c>
      <c r="F2560" s="5">
        <v>66.459999999999994</v>
      </c>
      <c r="G2560" s="3" t="str">
        <f>VLOOKUP(Registros[[#This Row],[Cliente]],Cliente_Region[],2,FALSE)</f>
        <v>Mexico</v>
      </c>
      <c r="H2560" s="3" t="str">
        <f>VLOOKUP(Registros[[#This Row],[Producto]],Producto[],2,FALSE)</f>
        <v>DONANY</v>
      </c>
    </row>
    <row r="2561" spans="1:8" ht="20.100000000000001" customHeight="1" x14ac:dyDescent="0.25">
      <c r="A2561" s="3" t="s">
        <v>37</v>
      </c>
      <c r="B2561" s="3" t="s">
        <v>389</v>
      </c>
      <c r="C2561" s="3">
        <v>2022</v>
      </c>
      <c r="D2561" s="4">
        <v>3</v>
      </c>
      <c r="E2561" s="5">
        <v>92</v>
      </c>
      <c r="F2561" s="5">
        <v>58.93</v>
      </c>
      <c r="G2561" s="3" t="str">
        <f>VLOOKUP(Registros[[#This Row],[Cliente]],Cliente_Region[],2,FALSE)</f>
        <v>Mexico</v>
      </c>
      <c r="H2561" s="3" t="str">
        <f>VLOOKUP(Registros[[#This Row],[Producto]],Producto[],2,FALSE)</f>
        <v>DONANY</v>
      </c>
    </row>
    <row r="2562" spans="1:8" ht="20.100000000000001" customHeight="1" x14ac:dyDescent="0.25">
      <c r="A2562" s="3" t="s">
        <v>37</v>
      </c>
      <c r="B2562" s="3" t="s">
        <v>389</v>
      </c>
      <c r="C2562" s="3">
        <v>2022</v>
      </c>
      <c r="D2562" s="4">
        <v>4</v>
      </c>
      <c r="E2562" s="5">
        <v>69</v>
      </c>
      <c r="F2562" s="5">
        <v>44.22</v>
      </c>
      <c r="G2562" s="3" t="str">
        <f>VLOOKUP(Registros[[#This Row],[Cliente]],Cliente_Region[],2,FALSE)</f>
        <v>Mexico</v>
      </c>
      <c r="H2562" s="3" t="str">
        <f>VLOOKUP(Registros[[#This Row],[Producto]],Producto[],2,FALSE)</f>
        <v>DONANY</v>
      </c>
    </row>
    <row r="2563" spans="1:8" ht="20.100000000000001" customHeight="1" x14ac:dyDescent="0.25">
      <c r="A2563" s="3" t="s">
        <v>37</v>
      </c>
      <c r="B2563" s="3" t="s">
        <v>389</v>
      </c>
      <c r="C2563" s="3">
        <v>2022</v>
      </c>
      <c r="D2563" s="4">
        <v>5</v>
      </c>
      <c r="E2563" s="5">
        <v>57.5</v>
      </c>
      <c r="F2563" s="5">
        <v>36.85</v>
      </c>
      <c r="G2563" s="3" t="str">
        <f>VLOOKUP(Registros[[#This Row],[Cliente]],Cliente_Region[],2,FALSE)</f>
        <v>Mexico</v>
      </c>
      <c r="H2563" s="3" t="str">
        <f>VLOOKUP(Registros[[#This Row],[Producto]],Producto[],2,FALSE)</f>
        <v>DONANY</v>
      </c>
    </row>
    <row r="2564" spans="1:8" ht="20.100000000000001" customHeight="1" x14ac:dyDescent="0.25">
      <c r="A2564" s="3" t="s">
        <v>37</v>
      </c>
      <c r="B2564" s="3" t="s">
        <v>389</v>
      </c>
      <c r="C2564" s="3">
        <v>2022</v>
      </c>
      <c r="D2564" s="4">
        <v>6</v>
      </c>
      <c r="E2564" s="5">
        <v>46</v>
      </c>
      <c r="F2564" s="5">
        <v>29.47</v>
      </c>
      <c r="G2564" s="3" t="str">
        <f>VLOOKUP(Registros[[#This Row],[Cliente]],Cliente_Region[],2,FALSE)</f>
        <v>Mexico</v>
      </c>
      <c r="H2564" s="3" t="str">
        <f>VLOOKUP(Registros[[#This Row],[Producto]],Producto[],2,FALSE)</f>
        <v>DONANY</v>
      </c>
    </row>
    <row r="2565" spans="1:8" ht="20.100000000000001" customHeight="1" x14ac:dyDescent="0.25">
      <c r="A2565" s="3" t="s">
        <v>11</v>
      </c>
      <c r="B2565" s="3" t="s">
        <v>389</v>
      </c>
      <c r="C2565" s="3">
        <v>2022</v>
      </c>
      <c r="D2565" s="4">
        <v>1</v>
      </c>
      <c r="E2565" s="5">
        <v>580.5</v>
      </c>
      <c r="F2565" s="5">
        <v>323.56</v>
      </c>
      <c r="G2565" s="3" t="str">
        <f>VLOOKUP(Registros[[#This Row],[Cliente]],Cliente_Region[],2,FALSE)</f>
        <v>Mexico</v>
      </c>
      <c r="H2565" s="3" t="str">
        <f>VLOOKUP(Registros[[#This Row],[Producto]],Producto[],2,FALSE)</f>
        <v>DONANY</v>
      </c>
    </row>
    <row r="2566" spans="1:8" ht="20.100000000000001" customHeight="1" x14ac:dyDescent="0.25">
      <c r="A2566" s="3" t="s">
        <v>292</v>
      </c>
      <c r="B2566" s="3" t="s">
        <v>389</v>
      </c>
      <c r="C2566" s="3">
        <v>2022</v>
      </c>
      <c r="D2566" s="4">
        <v>2</v>
      </c>
      <c r="E2566" s="5">
        <v>450.44</v>
      </c>
      <c r="F2566" s="5">
        <v>253.24</v>
      </c>
      <c r="G2566" s="3" t="str">
        <f>VLOOKUP(Registros[[#This Row],[Cliente]],Cliente_Region[],2,FALSE)</f>
        <v>Mexico</v>
      </c>
      <c r="H2566" s="3" t="str">
        <f>VLOOKUP(Registros[[#This Row],[Producto]],Producto[],2,FALSE)</f>
        <v>QUOKAR</v>
      </c>
    </row>
    <row r="2567" spans="1:8" ht="20.100000000000001" customHeight="1" x14ac:dyDescent="0.25">
      <c r="A2567" s="3" t="s">
        <v>292</v>
      </c>
      <c r="B2567" s="3" t="s">
        <v>389</v>
      </c>
      <c r="C2567" s="3">
        <v>2022</v>
      </c>
      <c r="D2567" s="4">
        <v>3</v>
      </c>
      <c r="E2567" s="5">
        <v>486</v>
      </c>
      <c r="F2567" s="5">
        <v>270.88</v>
      </c>
      <c r="G2567" s="3" t="str">
        <f>VLOOKUP(Registros[[#This Row],[Cliente]],Cliente_Region[],2,FALSE)</f>
        <v>Mexico</v>
      </c>
      <c r="H2567" s="3" t="str">
        <f>VLOOKUP(Registros[[#This Row],[Producto]],Producto[],2,FALSE)</f>
        <v>QUOKAR</v>
      </c>
    </row>
    <row r="2568" spans="1:8" ht="20.100000000000001" customHeight="1" x14ac:dyDescent="0.25">
      <c r="A2568" s="3" t="s">
        <v>292</v>
      </c>
      <c r="B2568" s="3" t="s">
        <v>389</v>
      </c>
      <c r="C2568" s="3">
        <v>2022</v>
      </c>
      <c r="D2568" s="4">
        <v>4</v>
      </c>
      <c r="E2568" s="5">
        <v>397.02</v>
      </c>
      <c r="F2568" s="5">
        <v>223.73</v>
      </c>
      <c r="G2568" s="3" t="str">
        <f>VLOOKUP(Registros[[#This Row],[Cliente]],Cliente_Region[],2,FALSE)</f>
        <v>Mexico</v>
      </c>
      <c r="H2568" s="3" t="str">
        <f>VLOOKUP(Registros[[#This Row],[Producto]],Producto[],2,FALSE)</f>
        <v>QUOKAR</v>
      </c>
    </row>
    <row r="2569" spans="1:8" ht="20.100000000000001" customHeight="1" x14ac:dyDescent="0.25">
      <c r="A2569" s="3" t="s">
        <v>292</v>
      </c>
      <c r="B2569" s="3" t="s">
        <v>389</v>
      </c>
      <c r="C2569" s="3">
        <v>2022</v>
      </c>
      <c r="D2569" s="4">
        <v>5</v>
      </c>
      <c r="E2569" s="5">
        <v>364.5</v>
      </c>
      <c r="F2569" s="5">
        <v>203.14</v>
      </c>
      <c r="G2569" s="3" t="str">
        <f>VLOOKUP(Registros[[#This Row],[Cliente]],Cliente_Region[],2,FALSE)</f>
        <v>Mexico</v>
      </c>
      <c r="H2569" s="3" t="str">
        <f>VLOOKUP(Registros[[#This Row],[Producto]],Producto[],2,FALSE)</f>
        <v>QUOKAR</v>
      </c>
    </row>
    <row r="2570" spans="1:8" ht="20.100000000000001" customHeight="1" x14ac:dyDescent="0.25">
      <c r="A2570" s="3" t="s">
        <v>292</v>
      </c>
      <c r="B2570" s="3" t="s">
        <v>389</v>
      </c>
      <c r="C2570" s="3">
        <v>2022</v>
      </c>
      <c r="D2570" s="4">
        <v>6</v>
      </c>
      <c r="E2570" s="5">
        <v>229.5</v>
      </c>
      <c r="F2570" s="5">
        <v>127.91</v>
      </c>
      <c r="G2570" s="3" t="str">
        <f>VLOOKUP(Registros[[#This Row],[Cliente]],Cliente_Region[],2,FALSE)</f>
        <v>Mexico</v>
      </c>
      <c r="H2570" s="3" t="str">
        <f>VLOOKUP(Registros[[#This Row],[Producto]],Producto[],2,FALSE)</f>
        <v>QUOKAR</v>
      </c>
    </row>
    <row r="2571" spans="1:8" ht="20.100000000000001" customHeight="1" x14ac:dyDescent="0.25">
      <c r="A2571" s="3" t="s">
        <v>293</v>
      </c>
      <c r="B2571" s="3" t="s">
        <v>389</v>
      </c>
      <c r="C2571" s="3">
        <v>2022</v>
      </c>
      <c r="D2571" s="4">
        <v>6</v>
      </c>
      <c r="E2571" s="5">
        <v>29.76</v>
      </c>
      <c r="F2571" s="5">
        <v>10.16</v>
      </c>
      <c r="G2571" s="3" t="str">
        <f>VLOOKUP(Registros[[#This Row],[Cliente]],Cliente_Region[],2,FALSE)</f>
        <v>Mexico</v>
      </c>
      <c r="H2571" s="3" t="str">
        <f>VLOOKUP(Registros[[#This Row],[Producto]],Producto[],2,FALSE)</f>
        <v>QUOKAR</v>
      </c>
    </row>
    <row r="2572" spans="1:8" ht="20.100000000000001" customHeight="1" x14ac:dyDescent="0.25">
      <c r="A2572" s="3" t="s">
        <v>390</v>
      </c>
      <c r="B2572" s="3" t="s">
        <v>389</v>
      </c>
      <c r="C2572" s="3">
        <v>2022</v>
      </c>
      <c r="D2572" s="4">
        <v>2</v>
      </c>
      <c r="E2572" s="5">
        <v>170.4</v>
      </c>
      <c r="F2572" s="5">
        <v>-60.12</v>
      </c>
      <c r="G2572" s="3" t="str">
        <f>VLOOKUP(Registros[[#This Row],[Cliente]],Cliente_Region[],2,FALSE)</f>
        <v>Mexico</v>
      </c>
      <c r="H2572" s="3" t="str">
        <f>VLOOKUP(Registros[[#This Row],[Producto]],Producto[],2,FALSE)</f>
        <v>SALF</v>
      </c>
    </row>
    <row r="2573" spans="1:8" ht="20.100000000000001" customHeight="1" x14ac:dyDescent="0.25">
      <c r="A2573" s="3" t="s">
        <v>304</v>
      </c>
      <c r="B2573" s="3" t="s">
        <v>389</v>
      </c>
      <c r="C2573" s="3">
        <v>2022</v>
      </c>
      <c r="D2573" s="4">
        <v>1</v>
      </c>
      <c r="E2573" s="5">
        <v>651.5</v>
      </c>
      <c r="F2573" s="5">
        <v>458.36</v>
      </c>
      <c r="G2573" s="3" t="str">
        <f>VLOOKUP(Registros[[#This Row],[Cliente]],Cliente_Region[],2,FALSE)</f>
        <v>Mexico</v>
      </c>
      <c r="H2573" s="3" t="str">
        <f>VLOOKUP(Registros[[#This Row],[Producto]],Producto[],2,FALSE)</f>
        <v>QUOKAR</v>
      </c>
    </row>
    <row r="2574" spans="1:8" ht="20.100000000000001" customHeight="1" x14ac:dyDescent="0.25">
      <c r="A2574" s="3" t="s">
        <v>305</v>
      </c>
      <c r="B2574" s="3" t="s">
        <v>389</v>
      </c>
      <c r="C2574" s="3">
        <v>2022</v>
      </c>
      <c r="D2574" s="4">
        <v>2</v>
      </c>
      <c r="E2574" s="5">
        <v>544.20000000000005</v>
      </c>
      <c r="F2574" s="5">
        <v>391.47</v>
      </c>
      <c r="G2574" s="3" t="str">
        <f>VLOOKUP(Registros[[#This Row],[Cliente]],Cliente_Region[],2,FALSE)</f>
        <v>Mexico</v>
      </c>
      <c r="H2574" s="3" t="str">
        <f>VLOOKUP(Registros[[#This Row],[Producto]],Producto[],2,FALSE)</f>
        <v>DAWNE</v>
      </c>
    </row>
    <row r="2575" spans="1:8" ht="20.100000000000001" customHeight="1" x14ac:dyDescent="0.25">
      <c r="A2575" s="3" t="s">
        <v>305</v>
      </c>
      <c r="B2575" s="3" t="s">
        <v>389</v>
      </c>
      <c r="C2575" s="3">
        <v>2022</v>
      </c>
      <c r="D2575" s="4">
        <v>3</v>
      </c>
      <c r="E2575" s="5">
        <v>510</v>
      </c>
      <c r="F2575" s="5">
        <v>357.28</v>
      </c>
      <c r="G2575" s="3" t="str">
        <f>VLOOKUP(Registros[[#This Row],[Cliente]],Cliente_Region[],2,FALSE)</f>
        <v>Mexico</v>
      </c>
      <c r="H2575" s="3" t="str">
        <f>VLOOKUP(Registros[[#This Row],[Producto]],Producto[],2,FALSE)</f>
        <v>DAWNE</v>
      </c>
    </row>
    <row r="2576" spans="1:8" ht="20.100000000000001" customHeight="1" x14ac:dyDescent="0.25">
      <c r="A2576" s="3" t="s">
        <v>305</v>
      </c>
      <c r="B2576" s="3" t="s">
        <v>389</v>
      </c>
      <c r="C2576" s="3">
        <v>2022</v>
      </c>
      <c r="D2576" s="4">
        <v>4</v>
      </c>
      <c r="E2576" s="5">
        <v>465</v>
      </c>
      <c r="F2576" s="5">
        <v>315.26</v>
      </c>
      <c r="G2576" s="3" t="str">
        <f>VLOOKUP(Registros[[#This Row],[Cliente]],Cliente_Region[],2,FALSE)</f>
        <v>Mexico</v>
      </c>
      <c r="H2576" s="3" t="str">
        <f>VLOOKUP(Registros[[#This Row],[Producto]],Producto[],2,FALSE)</f>
        <v>DAWNE</v>
      </c>
    </row>
    <row r="2577" spans="1:8" ht="20.100000000000001" customHeight="1" x14ac:dyDescent="0.25">
      <c r="A2577" s="3" t="s">
        <v>305</v>
      </c>
      <c r="B2577" s="3" t="s">
        <v>389</v>
      </c>
      <c r="C2577" s="3">
        <v>2022</v>
      </c>
      <c r="D2577" s="4">
        <v>5</v>
      </c>
      <c r="E2577" s="5">
        <v>360</v>
      </c>
      <c r="F2577" s="5">
        <v>252.23</v>
      </c>
      <c r="G2577" s="3" t="str">
        <f>VLOOKUP(Registros[[#This Row],[Cliente]],Cliente_Region[],2,FALSE)</f>
        <v>Mexico</v>
      </c>
      <c r="H2577" s="3" t="str">
        <f>VLOOKUP(Registros[[#This Row],[Producto]],Producto[],2,FALSE)</f>
        <v>DAWNE</v>
      </c>
    </row>
    <row r="2578" spans="1:8" ht="20.100000000000001" customHeight="1" x14ac:dyDescent="0.25">
      <c r="A2578" s="3" t="s">
        <v>305</v>
      </c>
      <c r="B2578" s="3" t="s">
        <v>389</v>
      </c>
      <c r="C2578" s="3">
        <v>2022</v>
      </c>
      <c r="D2578" s="4">
        <v>6</v>
      </c>
      <c r="E2578" s="5">
        <v>150</v>
      </c>
      <c r="F2578" s="5">
        <v>105.1</v>
      </c>
      <c r="G2578" s="3" t="str">
        <f>VLOOKUP(Registros[[#This Row],[Cliente]],Cliente_Region[],2,FALSE)</f>
        <v>Mexico</v>
      </c>
      <c r="H2578" s="3" t="str">
        <f>VLOOKUP(Registros[[#This Row],[Producto]],Producto[],2,FALSE)</f>
        <v>DAWNE</v>
      </c>
    </row>
    <row r="2579" spans="1:8" ht="20.100000000000001" customHeight="1" x14ac:dyDescent="0.25">
      <c r="A2579" s="3" t="s">
        <v>310</v>
      </c>
      <c r="B2579" s="3" t="s">
        <v>389</v>
      </c>
      <c r="C2579" s="3">
        <v>2022</v>
      </c>
      <c r="D2579" s="4">
        <v>1</v>
      </c>
      <c r="E2579" s="5">
        <v>288</v>
      </c>
      <c r="F2579" s="5">
        <v>199.74</v>
      </c>
      <c r="G2579" s="3" t="str">
        <f>VLOOKUP(Registros[[#This Row],[Cliente]],Cliente_Region[],2,FALSE)</f>
        <v>Mexico</v>
      </c>
      <c r="H2579" s="3" t="str">
        <f>VLOOKUP(Registros[[#This Row],[Producto]],Producto[],2,FALSE)</f>
        <v>DONANY</v>
      </c>
    </row>
    <row r="2580" spans="1:8" ht="20.100000000000001" customHeight="1" x14ac:dyDescent="0.25">
      <c r="A2580" s="3" t="s">
        <v>311</v>
      </c>
      <c r="B2580" s="3" t="s">
        <v>389</v>
      </c>
      <c r="C2580" s="3">
        <v>2022</v>
      </c>
      <c r="D2580" s="4">
        <v>2</v>
      </c>
      <c r="E2580" s="5">
        <v>232.92</v>
      </c>
      <c r="F2580" s="5">
        <v>161.22</v>
      </c>
      <c r="G2580" s="3" t="str">
        <f>VLOOKUP(Registros[[#This Row],[Cliente]],Cliente_Region[],2,FALSE)</f>
        <v>Mexico</v>
      </c>
      <c r="H2580" s="3" t="str">
        <f>VLOOKUP(Registros[[#This Row],[Producto]],Producto[],2,FALSE)</f>
        <v>CHOTUS</v>
      </c>
    </row>
    <row r="2581" spans="1:8" ht="20.100000000000001" customHeight="1" x14ac:dyDescent="0.25">
      <c r="A2581" s="3" t="s">
        <v>311</v>
      </c>
      <c r="B2581" s="3" t="s">
        <v>389</v>
      </c>
      <c r="C2581" s="3">
        <v>2022</v>
      </c>
      <c r="D2581" s="4">
        <v>3</v>
      </c>
      <c r="E2581" s="5">
        <v>324</v>
      </c>
      <c r="F2581" s="5">
        <v>224.73</v>
      </c>
      <c r="G2581" s="3" t="str">
        <f>VLOOKUP(Registros[[#This Row],[Cliente]],Cliente_Region[],2,FALSE)</f>
        <v>Mexico</v>
      </c>
      <c r="H2581" s="3" t="str">
        <f>VLOOKUP(Registros[[#This Row],[Producto]],Producto[],2,FALSE)</f>
        <v>CHOTUS</v>
      </c>
    </row>
    <row r="2582" spans="1:8" ht="20.100000000000001" customHeight="1" x14ac:dyDescent="0.25">
      <c r="A2582" s="3" t="s">
        <v>311</v>
      </c>
      <c r="B2582" s="3" t="s">
        <v>389</v>
      </c>
      <c r="C2582" s="3">
        <v>2022</v>
      </c>
      <c r="D2582" s="4">
        <v>4</v>
      </c>
      <c r="E2582" s="5">
        <v>288</v>
      </c>
      <c r="F2582" s="5">
        <v>199.75</v>
      </c>
      <c r="G2582" s="3" t="str">
        <f>VLOOKUP(Registros[[#This Row],[Cliente]],Cliente_Region[],2,FALSE)</f>
        <v>Mexico</v>
      </c>
      <c r="H2582" s="3" t="str">
        <f>VLOOKUP(Registros[[#This Row],[Producto]],Producto[],2,FALSE)</f>
        <v>CHOTUS</v>
      </c>
    </row>
    <row r="2583" spans="1:8" ht="20.100000000000001" customHeight="1" x14ac:dyDescent="0.25">
      <c r="A2583" s="3" t="s">
        <v>311</v>
      </c>
      <c r="B2583" s="3" t="s">
        <v>389</v>
      </c>
      <c r="C2583" s="3">
        <v>2022</v>
      </c>
      <c r="D2583" s="4">
        <v>5</v>
      </c>
      <c r="E2583" s="5">
        <v>216</v>
      </c>
      <c r="F2583" s="5">
        <v>149.80000000000001</v>
      </c>
      <c r="G2583" s="3" t="str">
        <f>VLOOKUP(Registros[[#This Row],[Cliente]],Cliente_Region[],2,FALSE)</f>
        <v>Mexico</v>
      </c>
      <c r="H2583" s="3" t="str">
        <f>VLOOKUP(Registros[[#This Row],[Producto]],Producto[],2,FALSE)</f>
        <v>CHOTUS</v>
      </c>
    </row>
    <row r="2584" spans="1:8" ht="20.100000000000001" customHeight="1" x14ac:dyDescent="0.25">
      <c r="A2584" s="3" t="s">
        <v>311</v>
      </c>
      <c r="B2584" s="3" t="s">
        <v>389</v>
      </c>
      <c r="C2584" s="3">
        <v>2022</v>
      </c>
      <c r="D2584" s="4">
        <v>6</v>
      </c>
      <c r="E2584" s="5">
        <v>180</v>
      </c>
      <c r="F2584" s="5">
        <v>124.84</v>
      </c>
      <c r="G2584" s="3" t="str">
        <f>VLOOKUP(Registros[[#This Row],[Cliente]],Cliente_Region[],2,FALSE)</f>
        <v>Mexico</v>
      </c>
      <c r="H2584" s="3" t="str">
        <f>VLOOKUP(Registros[[#This Row],[Producto]],Producto[],2,FALSE)</f>
        <v>CHOTUS</v>
      </c>
    </row>
    <row r="2585" spans="1:8" ht="20.100000000000001" customHeight="1" x14ac:dyDescent="0.25">
      <c r="A2585" s="3" t="s">
        <v>280</v>
      </c>
      <c r="B2585" s="3" t="s">
        <v>389</v>
      </c>
      <c r="C2585" s="3">
        <v>2022</v>
      </c>
      <c r="D2585" s="4">
        <v>1</v>
      </c>
      <c r="E2585" s="5">
        <v>172</v>
      </c>
      <c r="F2585" s="5">
        <v>97.09</v>
      </c>
      <c r="G2585" s="3" t="str">
        <f>VLOOKUP(Registros[[#This Row],[Cliente]],Cliente_Region[],2,FALSE)</f>
        <v>Mexico</v>
      </c>
      <c r="H2585" s="3" t="str">
        <f>VLOOKUP(Registros[[#This Row],[Producto]],Producto[],2,FALSE)</f>
        <v>CHOTUS</v>
      </c>
    </row>
    <row r="2586" spans="1:8" ht="20.100000000000001" customHeight="1" x14ac:dyDescent="0.25">
      <c r="A2586" s="3" t="s">
        <v>281</v>
      </c>
      <c r="B2586" s="3" t="s">
        <v>389</v>
      </c>
      <c r="C2586" s="3">
        <v>2022</v>
      </c>
      <c r="D2586" s="4">
        <v>2</v>
      </c>
      <c r="E2586" s="5">
        <v>281.25</v>
      </c>
      <c r="F2586" s="5">
        <v>159.51</v>
      </c>
      <c r="G2586" s="3" t="str">
        <f>VLOOKUP(Registros[[#This Row],[Cliente]],Cliente_Region[],2,FALSE)</f>
        <v>Mexico</v>
      </c>
      <c r="H2586" s="3" t="str">
        <f>VLOOKUP(Registros[[#This Row],[Producto]],Producto[],2,FALSE)</f>
        <v>SALF</v>
      </c>
    </row>
    <row r="2587" spans="1:8" ht="20.100000000000001" customHeight="1" x14ac:dyDescent="0.25">
      <c r="A2587" s="3" t="s">
        <v>281</v>
      </c>
      <c r="B2587" s="3" t="s">
        <v>389</v>
      </c>
      <c r="C2587" s="3">
        <v>2022</v>
      </c>
      <c r="D2587" s="4">
        <v>3</v>
      </c>
      <c r="E2587" s="5">
        <v>387</v>
      </c>
      <c r="F2587" s="5">
        <v>218.43</v>
      </c>
      <c r="G2587" s="3" t="str">
        <f>VLOOKUP(Registros[[#This Row],[Cliente]],Cliente_Region[],2,FALSE)</f>
        <v>Mexico</v>
      </c>
      <c r="H2587" s="3" t="str">
        <f>VLOOKUP(Registros[[#This Row],[Producto]],Producto[],2,FALSE)</f>
        <v>SALF</v>
      </c>
    </row>
    <row r="2588" spans="1:8" ht="20.100000000000001" customHeight="1" x14ac:dyDescent="0.25">
      <c r="A2588" s="3" t="s">
        <v>281</v>
      </c>
      <c r="B2588" s="3" t="s">
        <v>389</v>
      </c>
      <c r="C2588" s="3">
        <v>2022</v>
      </c>
      <c r="D2588" s="4">
        <v>4</v>
      </c>
      <c r="E2588" s="5">
        <v>365.5</v>
      </c>
      <c r="F2588" s="5">
        <v>206.3</v>
      </c>
      <c r="G2588" s="3" t="str">
        <f>VLOOKUP(Registros[[#This Row],[Cliente]],Cliente_Region[],2,FALSE)</f>
        <v>Mexico</v>
      </c>
      <c r="H2588" s="3" t="str">
        <f>VLOOKUP(Registros[[#This Row],[Producto]],Producto[],2,FALSE)</f>
        <v>SALF</v>
      </c>
    </row>
    <row r="2589" spans="1:8" ht="20.100000000000001" customHeight="1" x14ac:dyDescent="0.25">
      <c r="A2589" s="3" t="s">
        <v>281</v>
      </c>
      <c r="B2589" s="3" t="s">
        <v>389</v>
      </c>
      <c r="C2589" s="3">
        <v>2022</v>
      </c>
      <c r="D2589" s="4">
        <v>5</v>
      </c>
      <c r="E2589" s="5">
        <v>322.5</v>
      </c>
      <c r="F2589" s="5">
        <v>182.03</v>
      </c>
      <c r="G2589" s="3" t="str">
        <f>VLOOKUP(Registros[[#This Row],[Cliente]],Cliente_Region[],2,FALSE)</f>
        <v>Mexico</v>
      </c>
      <c r="H2589" s="3" t="str">
        <f>VLOOKUP(Registros[[#This Row],[Producto]],Producto[],2,FALSE)</f>
        <v>SALF</v>
      </c>
    </row>
    <row r="2590" spans="1:8" ht="20.100000000000001" customHeight="1" x14ac:dyDescent="0.25">
      <c r="A2590" s="3" t="s">
        <v>281</v>
      </c>
      <c r="B2590" s="3" t="s">
        <v>389</v>
      </c>
      <c r="C2590" s="3">
        <v>2022</v>
      </c>
      <c r="D2590" s="4">
        <v>6</v>
      </c>
      <c r="E2590" s="5">
        <v>236.85</v>
      </c>
      <c r="F2590" s="5">
        <v>133.86000000000001</v>
      </c>
      <c r="G2590" s="3" t="str">
        <f>VLOOKUP(Registros[[#This Row],[Cliente]],Cliente_Region[],2,FALSE)</f>
        <v>Mexico</v>
      </c>
      <c r="H2590" s="3" t="str">
        <f>VLOOKUP(Registros[[#This Row],[Producto]],Producto[],2,FALSE)</f>
        <v>SALF</v>
      </c>
    </row>
    <row r="2591" spans="1:8" ht="20.100000000000001" customHeight="1" x14ac:dyDescent="0.25">
      <c r="A2591" s="3" t="s">
        <v>282</v>
      </c>
      <c r="B2591" s="3" t="s">
        <v>389</v>
      </c>
      <c r="C2591" s="3">
        <v>2022</v>
      </c>
      <c r="D2591" s="4">
        <v>1</v>
      </c>
      <c r="E2591" s="5">
        <v>234</v>
      </c>
      <c r="F2591" s="5">
        <v>142.82</v>
      </c>
      <c r="G2591" s="3" t="str">
        <f>VLOOKUP(Registros[[#This Row],[Cliente]],Cliente_Region[],2,FALSE)</f>
        <v>Mexico</v>
      </c>
      <c r="H2591" s="3" t="str">
        <f>VLOOKUP(Registros[[#This Row],[Producto]],Producto[],2,FALSE)</f>
        <v>DAWNE</v>
      </c>
    </row>
    <row r="2592" spans="1:8" ht="20.100000000000001" customHeight="1" x14ac:dyDescent="0.25">
      <c r="A2592" s="3" t="s">
        <v>114</v>
      </c>
      <c r="B2592" s="3" t="s">
        <v>389</v>
      </c>
      <c r="C2592" s="3">
        <v>2022</v>
      </c>
      <c r="D2592" s="4">
        <v>2</v>
      </c>
      <c r="E2592" s="5">
        <v>234</v>
      </c>
      <c r="F2592" s="5">
        <v>142.81</v>
      </c>
      <c r="G2592" s="3" t="str">
        <f>VLOOKUP(Registros[[#This Row],[Cliente]],Cliente_Region[],2,FALSE)</f>
        <v>Mexico</v>
      </c>
      <c r="H2592" s="3" t="str">
        <f>VLOOKUP(Registros[[#This Row],[Producto]],Producto[],2,FALSE)</f>
        <v>DAWNE</v>
      </c>
    </row>
    <row r="2593" spans="1:8" ht="20.100000000000001" customHeight="1" x14ac:dyDescent="0.25">
      <c r="A2593" s="3" t="s">
        <v>114</v>
      </c>
      <c r="B2593" s="3" t="s">
        <v>389</v>
      </c>
      <c r="C2593" s="3">
        <v>2022</v>
      </c>
      <c r="D2593" s="4">
        <v>3</v>
      </c>
      <c r="E2593" s="5">
        <v>288</v>
      </c>
      <c r="F2593" s="5">
        <v>175.77</v>
      </c>
      <c r="G2593" s="3" t="str">
        <f>VLOOKUP(Registros[[#This Row],[Cliente]],Cliente_Region[],2,FALSE)</f>
        <v>Mexico</v>
      </c>
      <c r="H2593" s="3" t="str">
        <f>VLOOKUP(Registros[[#This Row],[Producto]],Producto[],2,FALSE)</f>
        <v>DAWNE</v>
      </c>
    </row>
    <row r="2594" spans="1:8" ht="20.100000000000001" customHeight="1" x14ac:dyDescent="0.25">
      <c r="A2594" s="3" t="s">
        <v>114</v>
      </c>
      <c r="B2594" s="3" t="s">
        <v>389</v>
      </c>
      <c r="C2594" s="3">
        <v>2022</v>
      </c>
      <c r="D2594" s="4">
        <v>4</v>
      </c>
      <c r="E2594" s="5">
        <v>270</v>
      </c>
      <c r="F2594" s="5">
        <v>164.79</v>
      </c>
      <c r="G2594" s="3" t="str">
        <f>VLOOKUP(Registros[[#This Row],[Cliente]],Cliente_Region[],2,FALSE)</f>
        <v>Mexico</v>
      </c>
      <c r="H2594" s="3" t="str">
        <f>VLOOKUP(Registros[[#This Row],[Producto]],Producto[],2,FALSE)</f>
        <v>DAWNE</v>
      </c>
    </row>
    <row r="2595" spans="1:8" ht="20.100000000000001" customHeight="1" x14ac:dyDescent="0.25">
      <c r="A2595" s="3" t="s">
        <v>114</v>
      </c>
      <c r="B2595" s="3" t="s">
        <v>389</v>
      </c>
      <c r="C2595" s="3">
        <v>2022</v>
      </c>
      <c r="D2595" s="4">
        <v>5</v>
      </c>
      <c r="E2595" s="5">
        <v>216</v>
      </c>
      <c r="F2595" s="5">
        <v>131.85</v>
      </c>
      <c r="G2595" s="3" t="str">
        <f>VLOOKUP(Registros[[#This Row],[Cliente]],Cliente_Region[],2,FALSE)</f>
        <v>Mexico</v>
      </c>
      <c r="H2595" s="3" t="str">
        <f>VLOOKUP(Registros[[#This Row],[Producto]],Producto[],2,FALSE)</f>
        <v>DAWNE</v>
      </c>
    </row>
    <row r="2596" spans="1:8" ht="20.100000000000001" customHeight="1" x14ac:dyDescent="0.25">
      <c r="A2596" s="3" t="s">
        <v>114</v>
      </c>
      <c r="B2596" s="3" t="s">
        <v>389</v>
      </c>
      <c r="C2596" s="3">
        <v>2022</v>
      </c>
      <c r="D2596" s="4">
        <v>6</v>
      </c>
      <c r="E2596" s="5">
        <v>180</v>
      </c>
      <c r="F2596" s="5">
        <v>109.86</v>
      </c>
      <c r="G2596" s="3" t="str">
        <f>VLOOKUP(Registros[[#This Row],[Cliente]],Cliente_Region[],2,FALSE)</f>
        <v>Mexico</v>
      </c>
      <c r="H2596" s="3" t="str">
        <f>VLOOKUP(Registros[[#This Row],[Producto]],Producto[],2,FALSE)</f>
        <v>DAWNE</v>
      </c>
    </row>
    <row r="2597" spans="1:8" ht="20.100000000000001" customHeight="1" x14ac:dyDescent="0.25">
      <c r="A2597" s="3" t="s">
        <v>135</v>
      </c>
      <c r="B2597" s="3" t="s">
        <v>389</v>
      </c>
      <c r="C2597" s="3">
        <v>2022</v>
      </c>
      <c r="D2597" s="4">
        <v>1</v>
      </c>
      <c r="E2597" s="5">
        <v>522</v>
      </c>
      <c r="F2597" s="5">
        <v>380.46</v>
      </c>
      <c r="G2597" s="3" t="str">
        <f>VLOOKUP(Registros[[#This Row],[Cliente]],Cliente_Region[],2,FALSE)</f>
        <v>Mexico</v>
      </c>
      <c r="H2597" s="3" t="str">
        <f>VLOOKUP(Registros[[#This Row],[Producto]],Producto[],2,FALSE)</f>
        <v>GAMBO</v>
      </c>
    </row>
    <row r="2598" spans="1:8" ht="20.100000000000001" customHeight="1" x14ac:dyDescent="0.25">
      <c r="A2598" s="3" t="s">
        <v>93</v>
      </c>
      <c r="B2598" s="3" t="s">
        <v>389</v>
      </c>
      <c r="C2598" s="3">
        <v>2022</v>
      </c>
      <c r="D2598" s="4">
        <v>2</v>
      </c>
      <c r="E2598" s="5">
        <v>474.57</v>
      </c>
      <c r="F2598" s="5">
        <v>353.25</v>
      </c>
      <c r="G2598" s="3" t="str">
        <f>VLOOKUP(Registros[[#This Row],[Cliente]],Cliente_Region[],2,FALSE)</f>
        <v>Mexico</v>
      </c>
      <c r="H2598" s="3" t="str">
        <f>VLOOKUP(Registros[[#This Row],[Producto]],Producto[],2,FALSE)</f>
        <v>GAMBO</v>
      </c>
    </row>
    <row r="2599" spans="1:8" ht="20.100000000000001" customHeight="1" x14ac:dyDescent="0.25">
      <c r="A2599" s="3" t="s">
        <v>93</v>
      </c>
      <c r="B2599" s="3" t="s">
        <v>389</v>
      </c>
      <c r="C2599" s="3">
        <v>2022</v>
      </c>
      <c r="D2599" s="4">
        <v>3</v>
      </c>
      <c r="E2599" s="5">
        <v>408</v>
      </c>
      <c r="F2599" s="5">
        <v>293.42</v>
      </c>
      <c r="G2599" s="3" t="str">
        <f>VLOOKUP(Registros[[#This Row],[Cliente]],Cliente_Region[],2,FALSE)</f>
        <v>Mexico</v>
      </c>
      <c r="H2599" s="3" t="str">
        <f>VLOOKUP(Registros[[#This Row],[Producto]],Producto[],2,FALSE)</f>
        <v>GAMBO</v>
      </c>
    </row>
    <row r="2600" spans="1:8" ht="20.100000000000001" customHeight="1" x14ac:dyDescent="0.25">
      <c r="A2600" s="3" t="s">
        <v>93</v>
      </c>
      <c r="B2600" s="3" t="s">
        <v>389</v>
      </c>
      <c r="C2600" s="3">
        <v>2022</v>
      </c>
      <c r="D2600" s="4">
        <v>4</v>
      </c>
      <c r="E2600" s="5">
        <v>408</v>
      </c>
      <c r="F2600" s="5">
        <v>293.42</v>
      </c>
      <c r="G2600" s="3" t="str">
        <f>VLOOKUP(Registros[[#This Row],[Cliente]],Cliente_Region[],2,FALSE)</f>
        <v>Mexico</v>
      </c>
      <c r="H2600" s="3" t="str">
        <f>VLOOKUP(Registros[[#This Row],[Producto]],Producto[],2,FALSE)</f>
        <v>GAMBO</v>
      </c>
    </row>
    <row r="2601" spans="1:8" ht="20.100000000000001" customHeight="1" x14ac:dyDescent="0.25">
      <c r="A2601" s="3" t="s">
        <v>93</v>
      </c>
      <c r="B2601" s="3" t="s">
        <v>389</v>
      </c>
      <c r="C2601" s="3">
        <v>2022</v>
      </c>
      <c r="D2601" s="4">
        <v>5</v>
      </c>
      <c r="E2601" s="5">
        <v>240</v>
      </c>
      <c r="F2601" s="5">
        <v>172.6</v>
      </c>
      <c r="G2601" s="3" t="str">
        <f>VLOOKUP(Registros[[#This Row],[Cliente]],Cliente_Region[],2,FALSE)</f>
        <v>Mexico</v>
      </c>
      <c r="H2601" s="3" t="str">
        <f>VLOOKUP(Registros[[#This Row],[Producto]],Producto[],2,FALSE)</f>
        <v>GAMBO</v>
      </c>
    </row>
    <row r="2602" spans="1:8" ht="20.100000000000001" customHeight="1" x14ac:dyDescent="0.25">
      <c r="A2602" s="3" t="s">
        <v>93</v>
      </c>
      <c r="B2602" s="3" t="s">
        <v>389</v>
      </c>
      <c r="C2602" s="3">
        <v>2022</v>
      </c>
      <c r="D2602" s="4">
        <v>6</v>
      </c>
      <c r="E2602" s="5">
        <v>144</v>
      </c>
      <c r="F2602" s="5">
        <v>103.56</v>
      </c>
      <c r="G2602" s="3" t="str">
        <f>VLOOKUP(Registros[[#This Row],[Cliente]],Cliente_Region[],2,FALSE)</f>
        <v>Mexico</v>
      </c>
      <c r="H2602" s="3" t="str">
        <f>VLOOKUP(Registros[[#This Row],[Producto]],Producto[],2,FALSE)</f>
        <v>GAMBO</v>
      </c>
    </row>
    <row r="2603" spans="1:8" ht="20.100000000000001" customHeight="1" x14ac:dyDescent="0.25">
      <c r="A2603" s="3" t="s">
        <v>136</v>
      </c>
      <c r="B2603" s="3" t="s">
        <v>389</v>
      </c>
      <c r="C2603" s="3">
        <v>2022</v>
      </c>
      <c r="D2603" s="4">
        <v>1</v>
      </c>
      <c r="E2603" s="5">
        <v>422</v>
      </c>
      <c r="F2603" s="5">
        <v>210.12</v>
      </c>
      <c r="G2603" s="3" t="str">
        <f>VLOOKUP(Registros[[#This Row],[Cliente]],Cliente_Region[],2,FALSE)</f>
        <v>Mexico</v>
      </c>
      <c r="H2603" s="3" t="str">
        <f>VLOOKUP(Registros[[#This Row],[Producto]],Producto[],2,FALSE)</f>
        <v>CHOTUS</v>
      </c>
    </row>
    <row r="2604" spans="1:8" ht="20.100000000000001" customHeight="1" x14ac:dyDescent="0.25">
      <c r="A2604" s="3" t="s">
        <v>137</v>
      </c>
      <c r="B2604" s="3" t="s">
        <v>389</v>
      </c>
      <c r="C2604" s="3">
        <v>2022</v>
      </c>
      <c r="D2604" s="4">
        <v>2</v>
      </c>
      <c r="E2604" s="5">
        <v>403.1</v>
      </c>
      <c r="F2604" s="5">
        <v>216.13</v>
      </c>
      <c r="G2604" s="3" t="str">
        <f>VLOOKUP(Registros[[#This Row],[Cliente]],Cliente_Region[],2,FALSE)</f>
        <v>Mexico</v>
      </c>
      <c r="H2604" s="3" t="str">
        <f>VLOOKUP(Registros[[#This Row],[Producto]],Producto[],2,FALSE)</f>
        <v>QUOKAR</v>
      </c>
    </row>
    <row r="2605" spans="1:8" ht="20.100000000000001" customHeight="1" x14ac:dyDescent="0.25">
      <c r="A2605" s="3" t="s">
        <v>137</v>
      </c>
      <c r="B2605" s="3" t="s">
        <v>389</v>
      </c>
      <c r="C2605" s="3">
        <v>2022</v>
      </c>
      <c r="D2605" s="4">
        <v>3</v>
      </c>
      <c r="E2605" s="5">
        <v>399.5</v>
      </c>
      <c r="F2605" s="5">
        <v>187.6</v>
      </c>
      <c r="G2605" s="3" t="str">
        <f>VLOOKUP(Registros[[#This Row],[Cliente]],Cliente_Region[],2,FALSE)</f>
        <v>Mexico</v>
      </c>
      <c r="H2605" s="3" t="str">
        <f>VLOOKUP(Registros[[#This Row],[Producto]],Producto[],2,FALSE)</f>
        <v>QUOKAR</v>
      </c>
    </row>
    <row r="2606" spans="1:8" ht="20.100000000000001" customHeight="1" x14ac:dyDescent="0.25">
      <c r="A2606" s="3" t="s">
        <v>137</v>
      </c>
      <c r="B2606" s="3" t="s">
        <v>389</v>
      </c>
      <c r="C2606" s="3">
        <v>2022</v>
      </c>
      <c r="D2606" s="4">
        <v>4</v>
      </c>
      <c r="E2606" s="5">
        <v>352.5</v>
      </c>
      <c r="F2606" s="5">
        <v>165.53</v>
      </c>
      <c r="G2606" s="3" t="str">
        <f>VLOOKUP(Registros[[#This Row],[Cliente]],Cliente_Region[],2,FALSE)</f>
        <v>Mexico</v>
      </c>
      <c r="H2606" s="3" t="str">
        <f>VLOOKUP(Registros[[#This Row],[Producto]],Producto[],2,FALSE)</f>
        <v>QUOKAR</v>
      </c>
    </row>
    <row r="2607" spans="1:8" ht="20.100000000000001" customHeight="1" x14ac:dyDescent="0.25">
      <c r="A2607" s="3" t="s">
        <v>137</v>
      </c>
      <c r="B2607" s="3" t="s">
        <v>389</v>
      </c>
      <c r="C2607" s="3">
        <v>2022</v>
      </c>
      <c r="D2607" s="4">
        <v>5</v>
      </c>
      <c r="E2607" s="5">
        <v>365.15</v>
      </c>
      <c r="F2607" s="5">
        <v>178.2</v>
      </c>
      <c r="G2607" s="3" t="str">
        <f>VLOOKUP(Registros[[#This Row],[Cliente]],Cliente_Region[],2,FALSE)</f>
        <v>Mexico</v>
      </c>
      <c r="H2607" s="3" t="str">
        <f>VLOOKUP(Registros[[#This Row],[Producto]],Producto[],2,FALSE)</f>
        <v>QUOKAR</v>
      </c>
    </row>
    <row r="2608" spans="1:8" ht="20.100000000000001" customHeight="1" x14ac:dyDescent="0.25">
      <c r="A2608" s="3" t="s">
        <v>137</v>
      </c>
      <c r="B2608" s="3" t="s">
        <v>389</v>
      </c>
      <c r="C2608" s="3">
        <v>2022</v>
      </c>
      <c r="D2608" s="4">
        <v>6</v>
      </c>
      <c r="E2608" s="5">
        <v>211.5</v>
      </c>
      <c r="F2608" s="5">
        <v>99.32</v>
      </c>
      <c r="G2608" s="3" t="str">
        <f>VLOOKUP(Registros[[#This Row],[Cliente]],Cliente_Region[],2,FALSE)</f>
        <v>Mexico</v>
      </c>
      <c r="H2608" s="3" t="str">
        <f>VLOOKUP(Registros[[#This Row],[Producto]],Producto[],2,FALSE)</f>
        <v>QUOKAR</v>
      </c>
    </row>
    <row r="2609" spans="1:8" ht="20.100000000000001" customHeight="1" x14ac:dyDescent="0.25">
      <c r="A2609" s="3" t="s">
        <v>338</v>
      </c>
      <c r="B2609" s="3" t="s">
        <v>389</v>
      </c>
      <c r="C2609" s="3">
        <v>2022</v>
      </c>
      <c r="D2609" s="4">
        <v>1</v>
      </c>
      <c r="E2609" s="5">
        <v>122</v>
      </c>
      <c r="F2609" s="5">
        <v>83.36</v>
      </c>
      <c r="G2609" s="3" t="str">
        <f>VLOOKUP(Registros[[#This Row],[Cliente]],Cliente_Region[],2,FALSE)</f>
        <v>Mexico</v>
      </c>
      <c r="H2609" s="3" t="str">
        <f>VLOOKUP(Registros[[#This Row],[Producto]],Producto[],2,FALSE)</f>
        <v>DAWNE</v>
      </c>
    </row>
    <row r="2610" spans="1:8" ht="20.100000000000001" customHeight="1" x14ac:dyDescent="0.25">
      <c r="A2610" s="3" t="s">
        <v>339</v>
      </c>
      <c r="B2610" s="3" t="s">
        <v>389</v>
      </c>
      <c r="C2610" s="3">
        <v>2022</v>
      </c>
      <c r="D2610" s="4">
        <v>2</v>
      </c>
      <c r="E2610" s="5">
        <v>89</v>
      </c>
      <c r="F2610" s="5">
        <v>61.41</v>
      </c>
      <c r="G2610" s="3" t="str">
        <f>VLOOKUP(Registros[[#This Row],[Cliente]],Cliente_Region[],2,FALSE)</f>
        <v>Mexico</v>
      </c>
      <c r="H2610" s="3" t="str">
        <f>VLOOKUP(Registros[[#This Row],[Producto]],Producto[],2,FALSE)</f>
        <v>LAX</v>
      </c>
    </row>
    <row r="2611" spans="1:8" ht="20.100000000000001" customHeight="1" x14ac:dyDescent="0.25">
      <c r="A2611" s="3" t="s">
        <v>339</v>
      </c>
      <c r="B2611" s="3" t="s">
        <v>389</v>
      </c>
      <c r="C2611" s="3">
        <v>2022</v>
      </c>
      <c r="D2611" s="4">
        <v>3</v>
      </c>
      <c r="E2611" s="5">
        <v>136</v>
      </c>
      <c r="F2611" s="5">
        <v>91.84</v>
      </c>
      <c r="G2611" s="3" t="str">
        <f>VLOOKUP(Registros[[#This Row],[Cliente]],Cliente_Region[],2,FALSE)</f>
        <v>Mexico</v>
      </c>
      <c r="H2611" s="3" t="str">
        <f>VLOOKUP(Registros[[#This Row],[Producto]],Producto[],2,FALSE)</f>
        <v>LAX</v>
      </c>
    </row>
    <row r="2612" spans="1:8" ht="20.100000000000001" customHeight="1" x14ac:dyDescent="0.25">
      <c r="A2612" s="3" t="s">
        <v>339</v>
      </c>
      <c r="B2612" s="3" t="s">
        <v>389</v>
      </c>
      <c r="C2612" s="3">
        <v>2022</v>
      </c>
      <c r="D2612" s="4">
        <v>4</v>
      </c>
      <c r="E2612" s="5">
        <v>87.25</v>
      </c>
      <c r="F2612" s="5">
        <v>59.65</v>
      </c>
      <c r="G2612" s="3" t="str">
        <f>VLOOKUP(Registros[[#This Row],[Cliente]],Cliente_Region[],2,FALSE)</f>
        <v>Mexico</v>
      </c>
      <c r="H2612" s="3" t="str">
        <f>VLOOKUP(Registros[[#This Row],[Producto]],Producto[],2,FALSE)</f>
        <v>LAX</v>
      </c>
    </row>
    <row r="2613" spans="1:8" ht="20.100000000000001" customHeight="1" x14ac:dyDescent="0.25">
      <c r="A2613" s="3" t="s">
        <v>339</v>
      </c>
      <c r="B2613" s="3" t="s">
        <v>389</v>
      </c>
      <c r="C2613" s="3">
        <v>2022</v>
      </c>
      <c r="D2613" s="4">
        <v>5</v>
      </c>
      <c r="E2613" s="5">
        <v>53.25</v>
      </c>
      <c r="F2613" s="5">
        <v>36.69</v>
      </c>
      <c r="G2613" s="3" t="str">
        <f>VLOOKUP(Registros[[#This Row],[Cliente]],Cliente_Region[],2,FALSE)</f>
        <v>Mexico</v>
      </c>
      <c r="H2613" s="3" t="str">
        <f>VLOOKUP(Registros[[#This Row],[Producto]],Producto[],2,FALSE)</f>
        <v>LAX</v>
      </c>
    </row>
    <row r="2614" spans="1:8" ht="20.100000000000001" customHeight="1" x14ac:dyDescent="0.25">
      <c r="A2614" s="3" t="s">
        <v>339</v>
      </c>
      <c r="B2614" s="3" t="s">
        <v>389</v>
      </c>
      <c r="C2614" s="3">
        <v>2022</v>
      </c>
      <c r="D2614" s="4">
        <v>6</v>
      </c>
      <c r="E2614" s="5">
        <v>35.5</v>
      </c>
      <c r="F2614" s="5">
        <v>24.46</v>
      </c>
      <c r="G2614" s="3" t="str">
        <f>VLOOKUP(Registros[[#This Row],[Cliente]],Cliente_Region[],2,FALSE)</f>
        <v>Mexico</v>
      </c>
      <c r="H2614" s="3" t="str">
        <f>VLOOKUP(Registros[[#This Row],[Producto]],Producto[],2,FALSE)</f>
        <v>LAX</v>
      </c>
    </row>
    <row r="2615" spans="1:8" ht="20.100000000000001" customHeight="1" x14ac:dyDescent="0.25">
      <c r="A2615" s="3" t="s">
        <v>288</v>
      </c>
      <c r="B2615" s="3" t="s">
        <v>391</v>
      </c>
      <c r="C2615" s="3">
        <v>2022</v>
      </c>
      <c r="D2615" s="4">
        <v>1</v>
      </c>
      <c r="E2615" s="5">
        <v>34.5</v>
      </c>
      <c r="F2615" s="5">
        <v>24.27</v>
      </c>
      <c r="G2615" s="3" t="str">
        <f>VLOOKUP(Registros[[#This Row],[Cliente]],Cliente_Region[],2,FALSE)</f>
        <v>Chile</v>
      </c>
      <c r="H2615" s="3" t="str">
        <f>VLOOKUP(Registros[[#This Row],[Producto]],Producto[],2,FALSE)</f>
        <v>DAWNE</v>
      </c>
    </row>
    <row r="2616" spans="1:8" ht="20.100000000000001" customHeight="1" x14ac:dyDescent="0.25">
      <c r="A2616" s="3" t="s">
        <v>289</v>
      </c>
      <c r="B2616" s="3" t="s">
        <v>391</v>
      </c>
      <c r="C2616" s="3">
        <v>2022</v>
      </c>
      <c r="D2616" s="4">
        <v>2</v>
      </c>
      <c r="E2616" s="5">
        <v>55.68</v>
      </c>
      <c r="F2616" s="5">
        <v>42.04</v>
      </c>
      <c r="G2616" s="3" t="str">
        <f>VLOOKUP(Registros[[#This Row],[Cliente]],Cliente_Region[],2,FALSE)</f>
        <v>Chile</v>
      </c>
      <c r="H2616" s="3" t="str">
        <f>VLOOKUP(Registros[[#This Row],[Producto]],Producto[],2,FALSE)</f>
        <v>CHOTUS</v>
      </c>
    </row>
    <row r="2617" spans="1:8" ht="20.100000000000001" customHeight="1" x14ac:dyDescent="0.25">
      <c r="A2617" s="3" t="s">
        <v>289</v>
      </c>
      <c r="B2617" s="3" t="s">
        <v>391</v>
      </c>
      <c r="C2617" s="3">
        <v>2022</v>
      </c>
      <c r="D2617" s="4">
        <v>4</v>
      </c>
      <c r="E2617" s="5">
        <v>20.5</v>
      </c>
      <c r="F2617" s="5">
        <v>17.09</v>
      </c>
      <c r="G2617" s="3" t="str">
        <f>VLOOKUP(Registros[[#This Row],[Cliente]],Cliente_Region[],2,FALSE)</f>
        <v>Chile</v>
      </c>
      <c r="H2617" s="3" t="str">
        <f>VLOOKUP(Registros[[#This Row],[Producto]],Producto[],2,FALSE)</f>
        <v>CHOTUS</v>
      </c>
    </row>
    <row r="2618" spans="1:8" ht="20.100000000000001" customHeight="1" x14ac:dyDescent="0.25">
      <c r="A2618" s="3" t="s">
        <v>289</v>
      </c>
      <c r="B2618" s="3" t="s">
        <v>391</v>
      </c>
      <c r="C2618" s="3">
        <v>2022</v>
      </c>
      <c r="D2618" s="4">
        <v>5</v>
      </c>
      <c r="E2618" s="5">
        <v>89.34</v>
      </c>
      <c r="F2618" s="5">
        <v>72.290000000000006</v>
      </c>
      <c r="G2618" s="3" t="str">
        <f>VLOOKUP(Registros[[#This Row],[Cliente]],Cliente_Region[],2,FALSE)</f>
        <v>Chile</v>
      </c>
      <c r="H2618" s="3" t="str">
        <f>VLOOKUP(Registros[[#This Row],[Producto]],Producto[],2,FALSE)</f>
        <v>CHOTUS</v>
      </c>
    </row>
    <row r="2619" spans="1:8" ht="20.100000000000001" customHeight="1" x14ac:dyDescent="0.25">
      <c r="A2619" s="3" t="s">
        <v>289</v>
      </c>
      <c r="B2619" s="3" t="s">
        <v>391</v>
      </c>
      <c r="C2619" s="3">
        <v>2022</v>
      </c>
      <c r="D2619" s="4">
        <v>6</v>
      </c>
      <c r="E2619" s="5">
        <v>61.5</v>
      </c>
      <c r="F2619" s="5">
        <v>51.27</v>
      </c>
      <c r="G2619" s="3" t="str">
        <f>VLOOKUP(Registros[[#This Row],[Cliente]],Cliente_Region[],2,FALSE)</f>
        <v>Chile</v>
      </c>
      <c r="H2619" s="3" t="str">
        <f>VLOOKUP(Registros[[#This Row],[Producto]],Producto[],2,FALSE)</f>
        <v>CHOTUS</v>
      </c>
    </row>
    <row r="2620" spans="1:8" ht="20.100000000000001" customHeight="1" x14ac:dyDescent="0.25">
      <c r="A2620" s="3" t="s">
        <v>11</v>
      </c>
      <c r="B2620" s="3" t="s">
        <v>391</v>
      </c>
      <c r="C2620" s="3">
        <v>2022</v>
      </c>
      <c r="D2620" s="4">
        <v>1</v>
      </c>
      <c r="E2620" s="5">
        <v>87.25</v>
      </c>
      <c r="F2620" s="5">
        <v>39.44</v>
      </c>
      <c r="G2620" s="3" t="str">
        <f>VLOOKUP(Registros[[#This Row],[Cliente]],Cliente_Region[],2,FALSE)</f>
        <v>Chile</v>
      </c>
      <c r="H2620" s="3" t="str">
        <f>VLOOKUP(Registros[[#This Row],[Producto]],Producto[],2,FALSE)</f>
        <v>DONANY</v>
      </c>
    </row>
    <row r="2621" spans="1:8" ht="20.100000000000001" customHeight="1" x14ac:dyDescent="0.25">
      <c r="A2621" s="3" t="s">
        <v>292</v>
      </c>
      <c r="B2621" s="3" t="s">
        <v>391</v>
      </c>
      <c r="C2621" s="3">
        <v>2022</v>
      </c>
      <c r="D2621" s="4">
        <v>2</v>
      </c>
      <c r="E2621" s="5">
        <v>73.52</v>
      </c>
      <c r="F2621" s="5">
        <v>37.67</v>
      </c>
      <c r="G2621" s="3" t="str">
        <f>VLOOKUP(Registros[[#This Row],[Cliente]],Cliente_Region[],2,FALSE)</f>
        <v>Chile</v>
      </c>
      <c r="H2621" s="3" t="str">
        <f>VLOOKUP(Registros[[#This Row],[Producto]],Producto[],2,FALSE)</f>
        <v>QUOKAR</v>
      </c>
    </row>
    <row r="2622" spans="1:8" ht="20.100000000000001" customHeight="1" x14ac:dyDescent="0.25">
      <c r="A2622" s="3" t="s">
        <v>292</v>
      </c>
      <c r="B2622" s="3" t="s">
        <v>391</v>
      </c>
      <c r="C2622" s="3">
        <v>2022</v>
      </c>
      <c r="D2622" s="4">
        <v>3</v>
      </c>
      <c r="E2622" s="5">
        <v>96.76</v>
      </c>
      <c r="F2622" s="5">
        <v>48.96</v>
      </c>
      <c r="G2622" s="3" t="str">
        <f>VLOOKUP(Registros[[#This Row],[Cliente]],Cliente_Region[],2,FALSE)</f>
        <v>Chile</v>
      </c>
      <c r="H2622" s="3" t="str">
        <f>VLOOKUP(Registros[[#This Row],[Producto]],Producto[],2,FALSE)</f>
        <v>QUOKAR</v>
      </c>
    </row>
    <row r="2623" spans="1:8" ht="20.100000000000001" customHeight="1" x14ac:dyDescent="0.25">
      <c r="A2623" s="3" t="s">
        <v>292</v>
      </c>
      <c r="B2623" s="3" t="s">
        <v>391</v>
      </c>
      <c r="C2623" s="3">
        <v>2022</v>
      </c>
      <c r="D2623" s="4">
        <v>4</v>
      </c>
      <c r="E2623" s="5">
        <v>76</v>
      </c>
      <c r="F2623" s="5">
        <v>40.15</v>
      </c>
      <c r="G2623" s="3" t="str">
        <f>VLOOKUP(Registros[[#This Row],[Cliente]],Cliente_Region[],2,FALSE)</f>
        <v>Chile</v>
      </c>
      <c r="H2623" s="3" t="str">
        <f>VLOOKUP(Registros[[#This Row],[Producto]],Producto[],2,FALSE)</f>
        <v>QUOKAR</v>
      </c>
    </row>
    <row r="2624" spans="1:8" ht="20.100000000000001" customHeight="1" x14ac:dyDescent="0.25">
      <c r="A2624" s="3" t="s">
        <v>292</v>
      </c>
      <c r="B2624" s="3" t="s">
        <v>391</v>
      </c>
      <c r="C2624" s="3">
        <v>2022</v>
      </c>
      <c r="D2624" s="4">
        <v>5</v>
      </c>
      <c r="E2624" s="5">
        <v>104</v>
      </c>
      <c r="F2624" s="5">
        <v>56.2</v>
      </c>
      <c r="G2624" s="3" t="str">
        <f>VLOOKUP(Registros[[#This Row],[Cliente]],Cliente_Region[],2,FALSE)</f>
        <v>Chile</v>
      </c>
      <c r="H2624" s="3" t="str">
        <f>VLOOKUP(Registros[[#This Row],[Producto]],Producto[],2,FALSE)</f>
        <v>QUOKAR</v>
      </c>
    </row>
    <row r="2625" spans="1:8" ht="20.100000000000001" customHeight="1" x14ac:dyDescent="0.25">
      <c r="A2625" s="3" t="s">
        <v>292</v>
      </c>
      <c r="B2625" s="3" t="s">
        <v>391</v>
      </c>
      <c r="C2625" s="3">
        <v>2022</v>
      </c>
      <c r="D2625" s="4">
        <v>6</v>
      </c>
      <c r="E2625" s="5">
        <v>104</v>
      </c>
      <c r="F2625" s="5">
        <v>56.2</v>
      </c>
      <c r="G2625" s="3" t="str">
        <f>VLOOKUP(Registros[[#This Row],[Cliente]],Cliente_Region[],2,FALSE)</f>
        <v>Chile</v>
      </c>
      <c r="H2625" s="3" t="str">
        <f>VLOOKUP(Registros[[#This Row],[Producto]],Producto[],2,FALSE)</f>
        <v>QUOKAR</v>
      </c>
    </row>
    <row r="2626" spans="1:8" ht="20.100000000000001" customHeight="1" x14ac:dyDescent="0.25">
      <c r="A2626" s="3" t="s">
        <v>293</v>
      </c>
      <c r="B2626" s="3" t="s">
        <v>391</v>
      </c>
      <c r="C2626" s="3">
        <v>2022</v>
      </c>
      <c r="D2626" s="4">
        <v>1</v>
      </c>
      <c r="E2626" s="5">
        <v>22.5</v>
      </c>
      <c r="F2626" s="5">
        <v>2.93</v>
      </c>
      <c r="G2626" s="3" t="str">
        <f>VLOOKUP(Registros[[#This Row],[Cliente]],Cliente_Region[],2,FALSE)</f>
        <v>Chile</v>
      </c>
      <c r="H2626" s="3" t="str">
        <f>VLOOKUP(Registros[[#This Row],[Producto]],Producto[],2,FALSE)</f>
        <v>QUOKAR</v>
      </c>
    </row>
    <row r="2627" spans="1:8" ht="20.100000000000001" customHeight="1" x14ac:dyDescent="0.25">
      <c r="A2627" s="3" t="s">
        <v>294</v>
      </c>
      <c r="B2627" s="3" t="s">
        <v>391</v>
      </c>
      <c r="C2627" s="3">
        <v>2022</v>
      </c>
      <c r="D2627" s="4">
        <v>2</v>
      </c>
      <c r="E2627" s="5">
        <v>24.76</v>
      </c>
      <c r="F2627" s="5">
        <v>5.16</v>
      </c>
      <c r="G2627" s="3" t="str">
        <f>VLOOKUP(Registros[[#This Row],[Cliente]],Cliente_Region[],2,FALSE)</f>
        <v>Chile</v>
      </c>
      <c r="H2627" s="3" t="str">
        <f>VLOOKUP(Registros[[#This Row],[Producto]],Producto[],2,FALSE)</f>
        <v>CHOTUS</v>
      </c>
    </row>
    <row r="2628" spans="1:8" ht="20.100000000000001" customHeight="1" x14ac:dyDescent="0.25">
      <c r="A2628" s="3" t="s">
        <v>304</v>
      </c>
      <c r="B2628" s="3" t="s">
        <v>391</v>
      </c>
      <c r="C2628" s="3">
        <v>2022</v>
      </c>
      <c r="D2628" s="4">
        <v>1</v>
      </c>
      <c r="E2628" s="5">
        <v>112.75</v>
      </c>
      <c r="F2628" s="5">
        <v>72.34</v>
      </c>
      <c r="G2628" s="3" t="str">
        <f>VLOOKUP(Registros[[#This Row],[Cliente]],Cliente_Region[],2,FALSE)</f>
        <v>Chile</v>
      </c>
      <c r="H2628" s="3" t="str">
        <f>VLOOKUP(Registros[[#This Row],[Producto]],Producto[],2,FALSE)</f>
        <v>QUOKAR</v>
      </c>
    </row>
    <row r="2629" spans="1:8" ht="20.100000000000001" customHeight="1" x14ac:dyDescent="0.25">
      <c r="A2629" s="3" t="s">
        <v>305</v>
      </c>
      <c r="B2629" s="3" t="s">
        <v>391</v>
      </c>
      <c r="C2629" s="3">
        <v>2022</v>
      </c>
      <c r="D2629" s="4">
        <v>2</v>
      </c>
      <c r="E2629" s="5">
        <v>42.9</v>
      </c>
      <c r="F2629" s="5">
        <v>29.43</v>
      </c>
      <c r="G2629" s="3" t="str">
        <f>VLOOKUP(Registros[[#This Row],[Cliente]],Cliente_Region[],2,FALSE)</f>
        <v>Chile</v>
      </c>
      <c r="H2629" s="3" t="str">
        <f>VLOOKUP(Registros[[#This Row],[Producto]],Producto[],2,FALSE)</f>
        <v>DAWNE</v>
      </c>
    </row>
    <row r="2630" spans="1:8" ht="20.100000000000001" customHeight="1" x14ac:dyDescent="0.25">
      <c r="A2630" s="3" t="s">
        <v>305</v>
      </c>
      <c r="B2630" s="3" t="s">
        <v>391</v>
      </c>
      <c r="C2630" s="3">
        <v>2022</v>
      </c>
      <c r="D2630" s="4">
        <v>3</v>
      </c>
      <c r="E2630" s="5">
        <v>123.1</v>
      </c>
      <c r="F2630" s="5">
        <v>82.69</v>
      </c>
      <c r="G2630" s="3" t="str">
        <f>VLOOKUP(Registros[[#This Row],[Cliente]],Cliente_Region[],2,FALSE)</f>
        <v>Chile</v>
      </c>
      <c r="H2630" s="3" t="str">
        <f>VLOOKUP(Registros[[#This Row],[Producto]],Producto[],2,FALSE)</f>
        <v>DAWNE</v>
      </c>
    </row>
    <row r="2631" spans="1:8" ht="20.100000000000001" customHeight="1" x14ac:dyDescent="0.25">
      <c r="A2631" s="3" t="s">
        <v>305</v>
      </c>
      <c r="B2631" s="3" t="s">
        <v>391</v>
      </c>
      <c r="C2631" s="3">
        <v>2022</v>
      </c>
      <c r="D2631" s="4">
        <v>4</v>
      </c>
      <c r="E2631" s="5">
        <v>85</v>
      </c>
      <c r="F2631" s="5">
        <v>58.06</v>
      </c>
      <c r="G2631" s="3" t="str">
        <f>VLOOKUP(Registros[[#This Row],[Cliente]],Cliente_Region[],2,FALSE)</f>
        <v>Chile</v>
      </c>
      <c r="H2631" s="3" t="str">
        <f>VLOOKUP(Registros[[#This Row],[Producto]],Producto[],2,FALSE)</f>
        <v>DAWNE</v>
      </c>
    </row>
    <row r="2632" spans="1:8" ht="20.100000000000001" customHeight="1" x14ac:dyDescent="0.25">
      <c r="A2632" s="3" t="s">
        <v>305</v>
      </c>
      <c r="B2632" s="3" t="s">
        <v>391</v>
      </c>
      <c r="C2632" s="3">
        <v>2022</v>
      </c>
      <c r="D2632" s="4">
        <v>5</v>
      </c>
      <c r="E2632" s="5">
        <v>87</v>
      </c>
      <c r="F2632" s="5">
        <v>60.06</v>
      </c>
      <c r="G2632" s="3" t="str">
        <f>VLOOKUP(Registros[[#This Row],[Cliente]],Cliente_Region[],2,FALSE)</f>
        <v>Chile</v>
      </c>
      <c r="H2632" s="3" t="str">
        <f>VLOOKUP(Registros[[#This Row],[Producto]],Producto[],2,FALSE)</f>
        <v>DAWNE</v>
      </c>
    </row>
    <row r="2633" spans="1:8" ht="20.100000000000001" customHeight="1" x14ac:dyDescent="0.25">
      <c r="A2633" s="3" t="s">
        <v>305</v>
      </c>
      <c r="B2633" s="3" t="s">
        <v>391</v>
      </c>
      <c r="C2633" s="3">
        <v>2022</v>
      </c>
      <c r="D2633" s="4">
        <v>6</v>
      </c>
      <c r="E2633" s="5">
        <v>116</v>
      </c>
      <c r="F2633" s="5">
        <v>80.069999999999993</v>
      </c>
      <c r="G2633" s="3" t="str">
        <f>VLOOKUP(Registros[[#This Row],[Cliente]],Cliente_Region[],2,FALSE)</f>
        <v>Chile</v>
      </c>
      <c r="H2633" s="3" t="str">
        <f>VLOOKUP(Registros[[#This Row],[Producto]],Producto[],2,FALSE)</f>
        <v>DAWNE</v>
      </c>
    </row>
    <row r="2634" spans="1:8" ht="20.100000000000001" customHeight="1" x14ac:dyDescent="0.25">
      <c r="A2634" s="3" t="s">
        <v>280</v>
      </c>
      <c r="B2634" s="3" t="s">
        <v>391</v>
      </c>
      <c r="C2634" s="3">
        <v>2022</v>
      </c>
      <c r="D2634" s="4">
        <v>1</v>
      </c>
      <c r="E2634" s="5">
        <v>55.4</v>
      </c>
      <c r="F2634" s="5">
        <v>27.31</v>
      </c>
      <c r="G2634" s="3" t="str">
        <f>VLOOKUP(Registros[[#This Row],[Cliente]],Cliente_Region[],2,FALSE)</f>
        <v>Chile</v>
      </c>
      <c r="H2634" s="3" t="str">
        <f>VLOOKUP(Registros[[#This Row],[Producto]],Producto[],2,FALSE)</f>
        <v>CHOTUS</v>
      </c>
    </row>
    <row r="2635" spans="1:8" ht="20.100000000000001" customHeight="1" x14ac:dyDescent="0.25">
      <c r="A2635" s="3" t="s">
        <v>281</v>
      </c>
      <c r="B2635" s="3" t="s">
        <v>391</v>
      </c>
      <c r="C2635" s="3">
        <v>2022</v>
      </c>
      <c r="D2635" s="4">
        <v>3</v>
      </c>
      <c r="E2635" s="5">
        <v>160.69999999999999</v>
      </c>
      <c r="F2635" s="5">
        <v>85.78</v>
      </c>
      <c r="G2635" s="3" t="str">
        <f>VLOOKUP(Registros[[#This Row],[Cliente]],Cliente_Region[],2,FALSE)</f>
        <v>Chile</v>
      </c>
      <c r="H2635" s="3" t="str">
        <f>VLOOKUP(Registros[[#This Row],[Producto]],Producto[],2,FALSE)</f>
        <v>SALF</v>
      </c>
    </row>
    <row r="2636" spans="1:8" ht="20.100000000000001" customHeight="1" x14ac:dyDescent="0.25">
      <c r="A2636" s="3" t="s">
        <v>281</v>
      </c>
      <c r="B2636" s="3" t="s">
        <v>391</v>
      </c>
      <c r="C2636" s="3">
        <v>2022</v>
      </c>
      <c r="D2636" s="4">
        <v>4</v>
      </c>
      <c r="E2636" s="5">
        <v>61.5</v>
      </c>
      <c r="F2636" s="5">
        <v>33.409999999999997</v>
      </c>
      <c r="G2636" s="3" t="str">
        <f>VLOOKUP(Registros[[#This Row],[Cliente]],Cliente_Region[],2,FALSE)</f>
        <v>Chile</v>
      </c>
      <c r="H2636" s="3" t="str">
        <f>VLOOKUP(Registros[[#This Row],[Producto]],Producto[],2,FALSE)</f>
        <v>SALF</v>
      </c>
    </row>
    <row r="2637" spans="1:8" ht="20.100000000000001" customHeight="1" x14ac:dyDescent="0.25">
      <c r="A2637" s="3" t="s">
        <v>281</v>
      </c>
      <c r="B2637" s="3" t="s">
        <v>391</v>
      </c>
      <c r="C2637" s="3">
        <v>2022</v>
      </c>
      <c r="D2637" s="4">
        <v>5</v>
      </c>
      <c r="E2637" s="5">
        <v>123</v>
      </c>
      <c r="F2637" s="5">
        <v>66.819999999999993</v>
      </c>
      <c r="G2637" s="3" t="str">
        <f>VLOOKUP(Registros[[#This Row],[Cliente]],Cliente_Region[],2,FALSE)</f>
        <v>Chile</v>
      </c>
      <c r="H2637" s="3" t="str">
        <f>VLOOKUP(Registros[[#This Row],[Producto]],Producto[],2,FALSE)</f>
        <v>SALF</v>
      </c>
    </row>
    <row r="2638" spans="1:8" ht="20.100000000000001" customHeight="1" x14ac:dyDescent="0.25">
      <c r="A2638" s="3" t="s">
        <v>281</v>
      </c>
      <c r="B2638" s="3" t="s">
        <v>391</v>
      </c>
      <c r="C2638" s="3">
        <v>2022</v>
      </c>
      <c r="D2638" s="4">
        <v>6</v>
      </c>
      <c r="E2638" s="5">
        <v>20.5</v>
      </c>
      <c r="F2638" s="5">
        <v>11.14</v>
      </c>
      <c r="G2638" s="3" t="str">
        <f>VLOOKUP(Registros[[#This Row],[Cliente]],Cliente_Region[],2,FALSE)</f>
        <v>Chile</v>
      </c>
      <c r="H2638" s="3" t="str">
        <f>VLOOKUP(Registros[[#This Row],[Producto]],Producto[],2,FALSE)</f>
        <v>SALF</v>
      </c>
    </row>
    <row r="2639" spans="1:8" ht="20.100000000000001" customHeight="1" x14ac:dyDescent="0.25">
      <c r="A2639" s="3" t="s">
        <v>282</v>
      </c>
      <c r="B2639" s="3" t="s">
        <v>391</v>
      </c>
      <c r="C2639" s="3">
        <v>2022</v>
      </c>
      <c r="D2639" s="4">
        <v>1</v>
      </c>
      <c r="E2639" s="5">
        <v>110.25</v>
      </c>
      <c r="F2639" s="5">
        <v>61.15</v>
      </c>
      <c r="G2639" s="3" t="str">
        <f>VLOOKUP(Registros[[#This Row],[Cliente]],Cliente_Region[],2,FALSE)</f>
        <v>Chile</v>
      </c>
      <c r="H2639" s="3" t="str">
        <f>VLOOKUP(Registros[[#This Row],[Producto]],Producto[],2,FALSE)</f>
        <v>DAWNE</v>
      </c>
    </row>
    <row r="2640" spans="1:8" ht="20.100000000000001" customHeight="1" x14ac:dyDescent="0.25">
      <c r="A2640" s="3" t="s">
        <v>114</v>
      </c>
      <c r="B2640" s="3" t="s">
        <v>391</v>
      </c>
      <c r="C2640" s="3">
        <v>2022</v>
      </c>
      <c r="D2640" s="4">
        <v>2</v>
      </c>
      <c r="E2640" s="5">
        <v>82.5</v>
      </c>
      <c r="F2640" s="5">
        <v>47.43</v>
      </c>
      <c r="G2640" s="3" t="str">
        <f>VLOOKUP(Registros[[#This Row],[Cliente]],Cliente_Region[],2,FALSE)</f>
        <v>Chile</v>
      </c>
      <c r="H2640" s="3" t="str">
        <f>VLOOKUP(Registros[[#This Row],[Producto]],Producto[],2,FALSE)</f>
        <v>DAWNE</v>
      </c>
    </row>
    <row r="2641" spans="1:8" ht="20.100000000000001" customHeight="1" x14ac:dyDescent="0.25">
      <c r="A2641" s="3" t="s">
        <v>114</v>
      </c>
      <c r="B2641" s="3" t="s">
        <v>391</v>
      </c>
      <c r="C2641" s="3">
        <v>2022</v>
      </c>
      <c r="D2641" s="4">
        <v>3</v>
      </c>
      <c r="E2641" s="5">
        <v>115.5</v>
      </c>
      <c r="F2641" s="5">
        <v>66.400000000000006</v>
      </c>
      <c r="G2641" s="3" t="str">
        <f>VLOOKUP(Registros[[#This Row],[Cliente]],Cliente_Region[],2,FALSE)</f>
        <v>Chile</v>
      </c>
      <c r="H2641" s="3" t="str">
        <f>VLOOKUP(Registros[[#This Row],[Producto]],Producto[],2,FALSE)</f>
        <v>DAWNE</v>
      </c>
    </row>
    <row r="2642" spans="1:8" ht="20.100000000000001" customHeight="1" x14ac:dyDescent="0.25">
      <c r="A2642" s="3" t="s">
        <v>114</v>
      </c>
      <c r="B2642" s="3" t="s">
        <v>391</v>
      </c>
      <c r="C2642" s="3">
        <v>2022</v>
      </c>
      <c r="D2642" s="4">
        <v>4</v>
      </c>
      <c r="E2642" s="5">
        <v>82.5</v>
      </c>
      <c r="F2642" s="5">
        <v>47.43</v>
      </c>
      <c r="G2642" s="3" t="str">
        <f>VLOOKUP(Registros[[#This Row],[Cliente]],Cliente_Region[],2,FALSE)</f>
        <v>Chile</v>
      </c>
      <c r="H2642" s="3" t="str">
        <f>VLOOKUP(Registros[[#This Row],[Producto]],Producto[],2,FALSE)</f>
        <v>DAWNE</v>
      </c>
    </row>
    <row r="2643" spans="1:8" ht="20.100000000000001" customHeight="1" x14ac:dyDescent="0.25">
      <c r="A2643" s="3" t="s">
        <v>114</v>
      </c>
      <c r="B2643" s="3" t="s">
        <v>391</v>
      </c>
      <c r="C2643" s="3">
        <v>2022</v>
      </c>
      <c r="D2643" s="4">
        <v>5</v>
      </c>
      <c r="E2643" s="5">
        <v>49.5</v>
      </c>
      <c r="F2643" s="5">
        <v>28.47</v>
      </c>
      <c r="G2643" s="3" t="str">
        <f>VLOOKUP(Registros[[#This Row],[Cliente]],Cliente_Region[],2,FALSE)</f>
        <v>Chile</v>
      </c>
      <c r="H2643" s="3" t="str">
        <f>VLOOKUP(Registros[[#This Row],[Producto]],Producto[],2,FALSE)</f>
        <v>DAWNE</v>
      </c>
    </row>
    <row r="2644" spans="1:8" ht="20.100000000000001" customHeight="1" x14ac:dyDescent="0.25">
      <c r="A2644" s="3" t="s">
        <v>114</v>
      </c>
      <c r="B2644" s="3" t="s">
        <v>391</v>
      </c>
      <c r="C2644" s="3">
        <v>2022</v>
      </c>
      <c r="D2644" s="4">
        <v>6</v>
      </c>
      <c r="E2644" s="5">
        <v>66</v>
      </c>
      <c r="F2644" s="5">
        <v>37.950000000000003</v>
      </c>
      <c r="G2644" s="3" t="str">
        <f>VLOOKUP(Registros[[#This Row],[Cliente]],Cliente_Region[],2,FALSE)</f>
        <v>Chile</v>
      </c>
      <c r="H2644" s="3" t="str">
        <f>VLOOKUP(Registros[[#This Row],[Producto]],Producto[],2,FALSE)</f>
        <v>DAWNE</v>
      </c>
    </row>
    <row r="2645" spans="1:8" ht="20.100000000000001" customHeight="1" x14ac:dyDescent="0.25">
      <c r="A2645" s="3" t="s">
        <v>135</v>
      </c>
      <c r="B2645" s="3" t="s">
        <v>391</v>
      </c>
      <c r="C2645" s="3">
        <v>2022</v>
      </c>
      <c r="D2645" s="4">
        <v>1</v>
      </c>
      <c r="E2645" s="5">
        <v>196.5</v>
      </c>
      <c r="F2645" s="5">
        <v>135.84</v>
      </c>
      <c r="G2645" s="3" t="str">
        <f>VLOOKUP(Registros[[#This Row],[Cliente]],Cliente_Region[],2,FALSE)</f>
        <v>Chile</v>
      </c>
      <c r="H2645" s="3" t="str">
        <f>VLOOKUP(Registros[[#This Row],[Producto]],Producto[],2,FALSE)</f>
        <v>GAMBO</v>
      </c>
    </row>
    <row r="2646" spans="1:8" ht="20.100000000000001" customHeight="1" x14ac:dyDescent="0.25">
      <c r="A2646" s="3" t="s">
        <v>93</v>
      </c>
      <c r="B2646" s="3" t="s">
        <v>391</v>
      </c>
      <c r="C2646" s="3">
        <v>2022</v>
      </c>
      <c r="D2646" s="4">
        <v>2</v>
      </c>
      <c r="E2646" s="5">
        <v>210.4</v>
      </c>
      <c r="F2646" s="5">
        <v>156.47999999999999</v>
      </c>
      <c r="G2646" s="3" t="str">
        <f>VLOOKUP(Registros[[#This Row],[Cliente]],Cliente_Region[],2,FALSE)</f>
        <v>Chile</v>
      </c>
      <c r="H2646" s="3" t="str">
        <f>VLOOKUP(Registros[[#This Row],[Producto]],Producto[],2,FALSE)</f>
        <v>GAMBO</v>
      </c>
    </row>
    <row r="2647" spans="1:8" ht="20.100000000000001" customHeight="1" x14ac:dyDescent="0.25">
      <c r="A2647" s="3" t="s">
        <v>93</v>
      </c>
      <c r="B2647" s="3" t="s">
        <v>391</v>
      </c>
      <c r="C2647" s="3">
        <v>2022</v>
      </c>
      <c r="D2647" s="4">
        <v>3</v>
      </c>
      <c r="E2647" s="5">
        <v>150.97999999999999</v>
      </c>
      <c r="F2647" s="5">
        <v>110.54</v>
      </c>
      <c r="G2647" s="3" t="str">
        <f>VLOOKUP(Registros[[#This Row],[Cliente]],Cliente_Region[],2,FALSE)</f>
        <v>Chile</v>
      </c>
      <c r="H2647" s="3" t="str">
        <f>VLOOKUP(Registros[[#This Row],[Producto]],Producto[],2,FALSE)</f>
        <v>GAMBO</v>
      </c>
    </row>
    <row r="2648" spans="1:8" ht="20.100000000000001" customHeight="1" x14ac:dyDescent="0.25">
      <c r="A2648" s="3" t="s">
        <v>93</v>
      </c>
      <c r="B2648" s="3" t="s">
        <v>391</v>
      </c>
      <c r="C2648" s="3">
        <v>2022</v>
      </c>
      <c r="D2648" s="4">
        <v>4</v>
      </c>
      <c r="E2648" s="5">
        <v>139.5</v>
      </c>
      <c r="F2648" s="5">
        <v>99.06</v>
      </c>
      <c r="G2648" s="3" t="str">
        <f>VLOOKUP(Registros[[#This Row],[Cliente]],Cliente_Region[],2,FALSE)</f>
        <v>Chile</v>
      </c>
      <c r="H2648" s="3" t="str">
        <f>VLOOKUP(Registros[[#This Row],[Producto]],Producto[],2,FALSE)</f>
        <v>GAMBO</v>
      </c>
    </row>
    <row r="2649" spans="1:8" ht="20.100000000000001" customHeight="1" x14ac:dyDescent="0.25">
      <c r="A2649" s="3" t="s">
        <v>93</v>
      </c>
      <c r="B2649" s="3" t="s">
        <v>391</v>
      </c>
      <c r="C2649" s="3">
        <v>2022</v>
      </c>
      <c r="D2649" s="4">
        <v>5</v>
      </c>
      <c r="E2649" s="5">
        <v>135</v>
      </c>
      <c r="F2649" s="5">
        <v>94.56</v>
      </c>
      <c r="G2649" s="3" t="str">
        <f>VLOOKUP(Registros[[#This Row],[Cliente]],Cliente_Region[],2,FALSE)</f>
        <v>Chile</v>
      </c>
      <c r="H2649" s="3" t="str">
        <f>VLOOKUP(Registros[[#This Row],[Producto]],Producto[],2,FALSE)</f>
        <v>GAMBO</v>
      </c>
    </row>
    <row r="2650" spans="1:8" ht="20.100000000000001" customHeight="1" x14ac:dyDescent="0.25">
      <c r="A2650" s="3" t="s">
        <v>93</v>
      </c>
      <c r="B2650" s="3" t="s">
        <v>391</v>
      </c>
      <c r="C2650" s="3">
        <v>2022</v>
      </c>
      <c r="D2650" s="4">
        <v>6</v>
      </c>
      <c r="E2650" s="5">
        <v>67.5</v>
      </c>
      <c r="F2650" s="5">
        <v>47.28</v>
      </c>
      <c r="G2650" s="3" t="str">
        <f>VLOOKUP(Registros[[#This Row],[Cliente]],Cliente_Region[],2,FALSE)</f>
        <v>Chile</v>
      </c>
      <c r="H2650" s="3" t="str">
        <f>VLOOKUP(Registros[[#This Row],[Producto]],Producto[],2,FALSE)</f>
        <v>GAMBO</v>
      </c>
    </row>
    <row r="2651" spans="1:8" ht="20.100000000000001" customHeight="1" x14ac:dyDescent="0.25">
      <c r="A2651" s="3" t="s">
        <v>136</v>
      </c>
      <c r="B2651" s="3" t="s">
        <v>391</v>
      </c>
      <c r="C2651" s="3">
        <v>2022</v>
      </c>
      <c r="D2651" s="4">
        <v>1</v>
      </c>
      <c r="E2651" s="5">
        <v>194.25</v>
      </c>
      <c r="F2651" s="5">
        <v>82.07</v>
      </c>
      <c r="G2651" s="3" t="str">
        <f>VLOOKUP(Registros[[#This Row],[Cliente]],Cliente_Region[],2,FALSE)</f>
        <v>Chile</v>
      </c>
      <c r="H2651" s="3" t="str">
        <f>VLOOKUP(Registros[[#This Row],[Producto]],Producto[],2,FALSE)</f>
        <v>CHOTUS</v>
      </c>
    </row>
    <row r="2652" spans="1:8" ht="20.100000000000001" customHeight="1" x14ac:dyDescent="0.25">
      <c r="A2652" s="3" t="s">
        <v>137</v>
      </c>
      <c r="B2652" s="3" t="s">
        <v>391</v>
      </c>
      <c r="C2652" s="3">
        <v>2022</v>
      </c>
      <c r="D2652" s="4">
        <v>2</v>
      </c>
      <c r="E2652" s="5">
        <v>215.85</v>
      </c>
      <c r="F2652" s="5">
        <v>128.6</v>
      </c>
      <c r="G2652" s="3" t="str">
        <f>VLOOKUP(Registros[[#This Row],[Cliente]],Cliente_Region[],2,FALSE)</f>
        <v>Chile</v>
      </c>
      <c r="H2652" s="3" t="str">
        <f>VLOOKUP(Registros[[#This Row],[Producto]],Producto[],2,FALSE)</f>
        <v>QUOKAR</v>
      </c>
    </row>
    <row r="2653" spans="1:8" ht="20.100000000000001" customHeight="1" x14ac:dyDescent="0.25">
      <c r="A2653" s="3" t="s">
        <v>137</v>
      </c>
      <c r="B2653" s="3" t="s">
        <v>391</v>
      </c>
      <c r="C2653" s="3">
        <v>2022</v>
      </c>
      <c r="D2653" s="4">
        <v>3</v>
      </c>
      <c r="E2653" s="5">
        <v>111.9</v>
      </c>
      <c r="F2653" s="5">
        <v>62.05</v>
      </c>
      <c r="G2653" s="3" t="str">
        <f>VLOOKUP(Registros[[#This Row],[Cliente]],Cliente_Region[],2,FALSE)</f>
        <v>Chile</v>
      </c>
      <c r="H2653" s="3" t="str">
        <f>VLOOKUP(Registros[[#This Row],[Producto]],Producto[],2,FALSE)</f>
        <v>QUOKAR</v>
      </c>
    </row>
    <row r="2654" spans="1:8" ht="20.100000000000001" customHeight="1" x14ac:dyDescent="0.25">
      <c r="A2654" s="3" t="s">
        <v>137</v>
      </c>
      <c r="B2654" s="3" t="s">
        <v>391</v>
      </c>
      <c r="C2654" s="3">
        <v>2022</v>
      </c>
      <c r="D2654" s="4">
        <v>4</v>
      </c>
      <c r="E2654" s="5">
        <v>88.75</v>
      </c>
      <c r="F2654" s="5">
        <v>38.9</v>
      </c>
      <c r="G2654" s="3" t="str">
        <f>VLOOKUP(Registros[[#This Row],[Cliente]],Cliente_Region[],2,FALSE)</f>
        <v>Chile</v>
      </c>
      <c r="H2654" s="3" t="str">
        <f>VLOOKUP(Registros[[#This Row],[Producto]],Producto[],2,FALSE)</f>
        <v>QUOKAR</v>
      </c>
    </row>
    <row r="2655" spans="1:8" ht="20.100000000000001" customHeight="1" x14ac:dyDescent="0.25">
      <c r="A2655" s="3" t="s">
        <v>137</v>
      </c>
      <c r="B2655" s="3" t="s">
        <v>391</v>
      </c>
      <c r="C2655" s="3">
        <v>2022</v>
      </c>
      <c r="D2655" s="4">
        <v>5</v>
      </c>
      <c r="E2655" s="5">
        <v>147</v>
      </c>
      <c r="F2655" s="5">
        <v>59.75</v>
      </c>
      <c r="G2655" s="3" t="str">
        <f>VLOOKUP(Registros[[#This Row],[Cliente]],Cliente_Region[],2,FALSE)</f>
        <v>Chile</v>
      </c>
      <c r="H2655" s="3" t="str">
        <f>VLOOKUP(Registros[[#This Row],[Producto]],Producto[],2,FALSE)</f>
        <v>QUOKAR</v>
      </c>
    </row>
    <row r="2656" spans="1:8" ht="20.100000000000001" customHeight="1" x14ac:dyDescent="0.25">
      <c r="A2656" s="3" t="s">
        <v>137</v>
      </c>
      <c r="B2656" s="3" t="s">
        <v>391</v>
      </c>
      <c r="C2656" s="3">
        <v>2022</v>
      </c>
      <c r="D2656" s="4">
        <v>6</v>
      </c>
      <c r="E2656" s="5">
        <v>63</v>
      </c>
      <c r="F2656" s="5">
        <v>25.61</v>
      </c>
      <c r="G2656" s="3" t="str">
        <f>VLOOKUP(Registros[[#This Row],[Cliente]],Cliente_Region[],2,FALSE)</f>
        <v>Chile</v>
      </c>
      <c r="H2656" s="3" t="str">
        <f>VLOOKUP(Registros[[#This Row],[Producto]],Producto[],2,FALSE)</f>
        <v>QUOKAR</v>
      </c>
    </row>
    <row r="2657" spans="1:8" ht="20.100000000000001" customHeight="1" x14ac:dyDescent="0.25">
      <c r="A2657" s="3" t="s">
        <v>90</v>
      </c>
      <c r="B2657" s="3" t="s">
        <v>391</v>
      </c>
      <c r="C2657" s="3">
        <v>2022</v>
      </c>
      <c r="D2657" s="4">
        <v>3</v>
      </c>
      <c r="E2657" s="5">
        <v>15.13</v>
      </c>
      <c r="F2657" s="5">
        <v>12.01</v>
      </c>
      <c r="G2657" s="3" t="str">
        <f>VLOOKUP(Registros[[#This Row],[Cliente]],Cliente_Region[],2,FALSE)</f>
        <v>Chile</v>
      </c>
      <c r="H2657" s="3" t="str">
        <f>VLOOKUP(Registros[[#This Row],[Producto]],Producto[],2,FALSE)</f>
        <v>CHOTUS</v>
      </c>
    </row>
    <row r="2658" spans="1:8" ht="20.100000000000001" customHeight="1" x14ac:dyDescent="0.25">
      <c r="A2658" s="3" t="s">
        <v>92</v>
      </c>
      <c r="B2658" s="3" t="s">
        <v>391</v>
      </c>
      <c r="C2658" s="3">
        <v>2022</v>
      </c>
      <c r="D2658" s="4">
        <v>3</v>
      </c>
      <c r="E2658" s="5">
        <v>40.15</v>
      </c>
      <c r="F2658" s="5">
        <v>21.42</v>
      </c>
      <c r="G2658" s="3" t="str">
        <f>VLOOKUP(Registros[[#This Row],[Cliente]],Cliente_Region[],2,FALSE)</f>
        <v>Chile</v>
      </c>
      <c r="H2658" s="3" t="str">
        <f>VLOOKUP(Registros[[#This Row],[Producto]],Producto[],2,FALSE)</f>
        <v>MOC</v>
      </c>
    </row>
    <row r="2659" spans="1:8" ht="20.100000000000001" customHeight="1" x14ac:dyDescent="0.25">
      <c r="A2659" s="3" t="s">
        <v>81</v>
      </c>
      <c r="B2659" s="3" t="s">
        <v>391</v>
      </c>
      <c r="C2659" s="3">
        <v>2022</v>
      </c>
      <c r="D2659" s="4">
        <v>3</v>
      </c>
      <c r="E2659" s="5">
        <v>47.86</v>
      </c>
      <c r="F2659" s="5">
        <v>19.91</v>
      </c>
      <c r="G2659" s="3" t="str">
        <f>VLOOKUP(Registros[[#This Row],[Cliente]],Cliente_Region[],2,FALSE)</f>
        <v>Chile</v>
      </c>
      <c r="H2659" s="3" t="str">
        <f>VLOOKUP(Registros[[#This Row],[Producto]],Producto[],2,FALSE)</f>
        <v>QUOKAR</v>
      </c>
    </row>
    <row r="2660" spans="1:8" ht="20.100000000000001" customHeight="1" x14ac:dyDescent="0.25">
      <c r="A2660" s="3" t="s">
        <v>383</v>
      </c>
      <c r="B2660" s="3" t="s">
        <v>392</v>
      </c>
      <c r="C2660" s="3">
        <v>2022</v>
      </c>
      <c r="D2660" s="4">
        <v>1</v>
      </c>
      <c r="E2660" s="5">
        <v>37.5</v>
      </c>
      <c r="F2660" s="5">
        <v>9.14</v>
      </c>
      <c r="G2660" s="3" t="str">
        <f>VLOOKUP(Registros[[#This Row],[Cliente]],Cliente_Region[],2,FALSE)</f>
        <v>Peru</v>
      </c>
      <c r="H2660" s="3" t="str">
        <f>VLOOKUP(Registros[[#This Row],[Producto]],Producto[],2,FALSE)</f>
        <v>MOC</v>
      </c>
    </row>
    <row r="2661" spans="1:8" ht="20.100000000000001" customHeight="1" x14ac:dyDescent="0.25">
      <c r="A2661" s="3" t="s">
        <v>194</v>
      </c>
      <c r="B2661" s="3" t="s">
        <v>392</v>
      </c>
      <c r="C2661" s="3">
        <v>2022</v>
      </c>
      <c r="D2661" s="4">
        <v>2</v>
      </c>
      <c r="E2661" s="5">
        <v>41.64</v>
      </c>
      <c r="F2661" s="5">
        <v>26.34</v>
      </c>
      <c r="G2661" s="3" t="str">
        <f>VLOOKUP(Registros[[#This Row],[Cliente]],Cliente_Region[],2,FALSE)</f>
        <v>Peru</v>
      </c>
      <c r="H2661" s="3" t="str">
        <f>VLOOKUP(Registros[[#This Row],[Producto]],Producto[],2,FALSE)</f>
        <v>LAX</v>
      </c>
    </row>
    <row r="2662" spans="1:8" ht="20.100000000000001" customHeight="1" x14ac:dyDescent="0.25">
      <c r="A2662" s="3" t="s">
        <v>284</v>
      </c>
      <c r="B2662" s="3" t="s">
        <v>392</v>
      </c>
      <c r="C2662" s="3">
        <v>2022</v>
      </c>
      <c r="D2662" s="4">
        <v>1</v>
      </c>
      <c r="E2662" s="5">
        <v>89</v>
      </c>
      <c r="F2662" s="5">
        <v>57.64</v>
      </c>
      <c r="G2662" s="3" t="str">
        <f>VLOOKUP(Registros[[#This Row],[Cliente]],Cliente_Region[],2,FALSE)</f>
        <v>Peru</v>
      </c>
      <c r="H2662" s="3" t="str">
        <f>VLOOKUP(Registros[[#This Row],[Producto]],Producto[],2,FALSE)</f>
        <v>DONANY</v>
      </c>
    </row>
    <row r="2663" spans="1:8" ht="20.100000000000001" customHeight="1" x14ac:dyDescent="0.25">
      <c r="A2663" s="3" t="s">
        <v>285</v>
      </c>
      <c r="B2663" s="3" t="s">
        <v>392</v>
      </c>
      <c r="C2663" s="3">
        <v>2022</v>
      </c>
      <c r="D2663" s="4">
        <v>4</v>
      </c>
      <c r="E2663" s="5">
        <v>49.5</v>
      </c>
      <c r="F2663" s="5">
        <v>36.06</v>
      </c>
      <c r="G2663" s="3" t="str">
        <f>VLOOKUP(Registros[[#This Row],[Cliente]],Cliente_Region[],2,FALSE)</f>
        <v>Peru</v>
      </c>
      <c r="H2663" s="3" t="str">
        <f>VLOOKUP(Registros[[#This Row],[Producto]],Producto[],2,FALSE)</f>
        <v>MOC</v>
      </c>
    </row>
    <row r="2664" spans="1:8" ht="20.100000000000001" customHeight="1" x14ac:dyDescent="0.25">
      <c r="A2664" s="3" t="s">
        <v>286</v>
      </c>
      <c r="B2664" s="3" t="s">
        <v>392</v>
      </c>
      <c r="C2664" s="3">
        <v>2022</v>
      </c>
      <c r="D2664" s="4">
        <v>1</v>
      </c>
      <c r="E2664" s="5">
        <v>70</v>
      </c>
      <c r="F2664" s="5">
        <v>42.4</v>
      </c>
      <c r="G2664" s="3" t="str">
        <f>VLOOKUP(Registros[[#This Row],[Cliente]],Cliente_Region[],2,FALSE)</f>
        <v>Peru</v>
      </c>
      <c r="H2664" s="3" t="str">
        <f>VLOOKUP(Registros[[#This Row],[Producto]],Producto[],2,FALSE)</f>
        <v>SALF</v>
      </c>
    </row>
    <row r="2665" spans="1:8" ht="20.100000000000001" customHeight="1" x14ac:dyDescent="0.25">
      <c r="A2665" s="3" t="s">
        <v>287</v>
      </c>
      <c r="B2665" s="3" t="s">
        <v>392</v>
      </c>
      <c r="C2665" s="3">
        <v>2022</v>
      </c>
      <c r="D2665" s="4">
        <v>2</v>
      </c>
      <c r="E2665" s="5">
        <v>14.7</v>
      </c>
      <c r="F2665" s="5">
        <v>9.18</v>
      </c>
      <c r="G2665" s="3" t="str">
        <f>VLOOKUP(Registros[[#This Row],[Cliente]],Cliente_Region[],2,FALSE)</f>
        <v>Peru</v>
      </c>
      <c r="H2665" s="3" t="str">
        <f>VLOOKUP(Registros[[#This Row],[Producto]],Producto[],2,FALSE)</f>
        <v>QUOKAR</v>
      </c>
    </row>
    <row r="2666" spans="1:8" ht="20.100000000000001" customHeight="1" x14ac:dyDescent="0.25">
      <c r="A2666" s="3" t="s">
        <v>287</v>
      </c>
      <c r="B2666" s="3" t="s">
        <v>392</v>
      </c>
      <c r="C2666" s="3">
        <v>2022</v>
      </c>
      <c r="D2666" s="4">
        <v>4</v>
      </c>
      <c r="E2666" s="5">
        <v>33</v>
      </c>
      <c r="F2666" s="5">
        <v>21.96</v>
      </c>
      <c r="G2666" s="3" t="str">
        <f>VLOOKUP(Registros[[#This Row],[Cliente]],Cliente_Region[],2,FALSE)</f>
        <v>Peru</v>
      </c>
      <c r="H2666" s="3" t="str">
        <f>VLOOKUP(Registros[[#This Row],[Producto]],Producto[],2,FALSE)</f>
        <v>QUOKAR</v>
      </c>
    </row>
    <row r="2667" spans="1:8" ht="20.100000000000001" customHeight="1" x14ac:dyDescent="0.25">
      <c r="A2667" s="3" t="s">
        <v>288</v>
      </c>
      <c r="B2667" s="3" t="s">
        <v>392</v>
      </c>
      <c r="C2667" s="3">
        <v>2022</v>
      </c>
      <c r="D2667" s="4">
        <v>1</v>
      </c>
      <c r="E2667" s="5">
        <v>88</v>
      </c>
      <c r="F2667" s="5">
        <v>67.540000000000006</v>
      </c>
      <c r="G2667" s="3" t="str">
        <f>VLOOKUP(Registros[[#This Row],[Cliente]],Cliente_Region[],2,FALSE)</f>
        <v>Peru</v>
      </c>
      <c r="H2667" s="3" t="str">
        <f>VLOOKUP(Registros[[#This Row],[Producto]],Producto[],2,FALSE)</f>
        <v>DAWNE</v>
      </c>
    </row>
    <row r="2668" spans="1:8" ht="20.100000000000001" customHeight="1" x14ac:dyDescent="0.25">
      <c r="A2668" s="3" t="s">
        <v>321</v>
      </c>
      <c r="B2668" s="3" t="s">
        <v>392</v>
      </c>
      <c r="C2668" s="3">
        <v>2022</v>
      </c>
      <c r="D2668" s="4">
        <v>1</v>
      </c>
      <c r="E2668" s="5">
        <v>250.5</v>
      </c>
      <c r="F2668" s="5">
        <v>79.78</v>
      </c>
      <c r="G2668" s="3" t="str">
        <f>VLOOKUP(Registros[[#This Row],[Cliente]],Cliente_Region[],2,FALSE)</f>
        <v>Peru</v>
      </c>
      <c r="H2668" s="3" t="str">
        <f>VLOOKUP(Registros[[#This Row],[Producto]],Producto[],2,FALSE)</f>
        <v>GAMBO</v>
      </c>
    </row>
    <row r="2669" spans="1:8" ht="20.100000000000001" customHeight="1" x14ac:dyDescent="0.25">
      <c r="A2669" s="3" t="s">
        <v>322</v>
      </c>
      <c r="B2669" s="3" t="s">
        <v>392</v>
      </c>
      <c r="C2669" s="3">
        <v>2022</v>
      </c>
      <c r="D2669" s="4">
        <v>2</v>
      </c>
      <c r="E2669" s="5">
        <v>284.05</v>
      </c>
      <c r="F2669" s="5">
        <v>98.82</v>
      </c>
      <c r="G2669" s="3" t="str">
        <f>VLOOKUP(Registros[[#This Row],[Cliente]],Cliente_Region[],2,FALSE)</f>
        <v>Peru</v>
      </c>
      <c r="H2669" s="3" t="str">
        <f>VLOOKUP(Registros[[#This Row],[Producto]],Producto[],2,FALSE)</f>
        <v>LAX</v>
      </c>
    </row>
    <row r="2670" spans="1:8" ht="20.100000000000001" customHeight="1" x14ac:dyDescent="0.25">
      <c r="A2670" s="3" t="s">
        <v>290</v>
      </c>
      <c r="B2670" s="3" t="s">
        <v>392</v>
      </c>
      <c r="C2670" s="3">
        <v>2022</v>
      </c>
      <c r="D2670" s="4">
        <v>4</v>
      </c>
      <c r="E2670" s="5">
        <v>50.4</v>
      </c>
      <c r="F2670" s="5">
        <v>33.119999999999997</v>
      </c>
      <c r="G2670" s="3" t="str">
        <f>VLOOKUP(Registros[[#This Row],[Cliente]],Cliente_Region[],2,FALSE)</f>
        <v>Peru</v>
      </c>
      <c r="H2670" s="3" t="str">
        <f>VLOOKUP(Registros[[#This Row],[Producto]],Producto[],2,FALSE)</f>
        <v>QUOKAR</v>
      </c>
    </row>
    <row r="2671" spans="1:8" ht="20.100000000000001" customHeight="1" x14ac:dyDescent="0.25">
      <c r="A2671" s="3" t="s">
        <v>11</v>
      </c>
      <c r="B2671" s="3" t="s">
        <v>392</v>
      </c>
      <c r="C2671" s="3">
        <v>2022</v>
      </c>
      <c r="D2671" s="4">
        <v>1</v>
      </c>
      <c r="E2671" s="5">
        <v>133</v>
      </c>
      <c r="F2671" s="5">
        <v>73.239999999999995</v>
      </c>
      <c r="G2671" s="3" t="str">
        <f>VLOOKUP(Registros[[#This Row],[Cliente]],Cliente_Region[],2,FALSE)</f>
        <v>Peru</v>
      </c>
      <c r="H2671" s="3" t="str">
        <f>VLOOKUP(Registros[[#This Row],[Producto]],Producto[],2,FALSE)</f>
        <v>DONANY</v>
      </c>
    </row>
    <row r="2672" spans="1:8" ht="20.100000000000001" customHeight="1" x14ac:dyDescent="0.25">
      <c r="A2672" s="3" t="s">
        <v>304</v>
      </c>
      <c r="B2672" s="3" t="s">
        <v>392</v>
      </c>
      <c r="C2672" s="3">
        <v>2022</v>
      </c>
      <c r="D2672" s="4">
        <v>1</v>
      </c>
      <c r="E2672" s="5">
        <v>27.5</v>
      </c>
      <c r="F2672" s="5">
        <v>18.52</v>
      </c>
      <c r="G2672" s="3" t="str">
        <f>VLOOKUP(Registros[[#This Row],[Cliente]],Cliente_Region[],2,FALSE)</f>
        <v>Peru</v>
      </c>
      <c r="H2672" s="3" t="str">
        <f>VLOOKUP(Registros[[#This Row],[Producto]],Producto[],2,FALSE)</f>
        <v>QUOKAR</v>
      </c>
    </row>
    <row r="2673" spans="1:8" ht="20.100000000000001" customHeight="1" x14ac:dyDescent="0.25">
      <c r="A2673" s="3" t="s">
        <v>310</v>
      </c>
      <c r="B2673" s="3" t="s">
        <v>392</v>
      </c>
      <c r="C2673" s="3">
        <v>2022</v>
      </c>
      <c r="D2673" s="4">
        <v>1</v>
      </c>
      <c r="E2673" s="5">
        <v>36</v>
      </c>
      <c r="F2673" s="5">
        <v>24.97</v>
      </c>
      <c r="G2673" s="3" t="str">
        <f>VLOOKUP(Registros[[#This Row],[Cliente]],Cliente_Region[],2,FALSE)</f>
        <v>Peru</v>
      </c>
      <c r="H2673" s="3" t="str">
        <f>VLOOKUP(Registros[[#This Row],[Producto]],Producto[],2,FALSE)</f>
        <v>DONANY</v>
      </c>
    </row>
    <row r="2674" spans="1:8" ht="20.100000000000001" customHeight="1" x14ac:dyDescent="0.25">
      <c r="A2674" s="3" t="s">
        <v>295</v>
      </c>
      <c r="B2674" s="3" t="s">
        <v>392</v>
      </c>
      <c r="C2674" s="3">
        <v>2022</v>
      </c>
      <c r="D2674" s="4">
        <v>1</v>
      </c>
      <c r="E2674" s="5">
        <v>116</v>
      </c>
      <c r="F2674" s="5">
        <v>71.88</v>
      </c>
      <c r="G2674" s="3" t="str">
        <f>VLOOKUP(Registros[[#This Row],[Cliente]],Cliente_Region[],2,FALSE)</f>
        <v>Peru</v>
      </c>
      <c r="H2674" s="3" t="str">
        <f>VLOOKUP(Registros[[#This Row],[Producto]],Producto[],2,FALSE)</f>
        <v>QUOKAR</v>
      </c>
    </row>
    <row r="2675" spans="1:8" ht="20.100000000000001" customHeight="1" x14ac:dyDescent="0.25">
      <c r="A2675" s="3" t="s">
        <v>296</v>
      </c>
      <c r="B2675" s="3" t="s">
        <v>392</v>
      </c>
      <c r="C2675" s="3">
        <v>2022</v>
      </c>
      <c r="D2675" s="4">
        <v>2</v>
      </c>
      <c r="E2675" s="5">
        <v>44.1</v>
      </c>
      <c r="F2675" s="5">
        <v>27.55</v>
      </c>
      <c r="G2675" s="3" t="str">
        <f>VLOOKUP(Registros[[#This Row],[Cliente]],Cliente_Region[],2,FALSE)</f>
        <v>Peru</v>
      </c>
      <c r="H2675" s="3" t="str">
        <f>VLOOKUP(Registros[[#This Row],[Producto]],Producto[],2,FALSE)</f>
        <v>SALF</v>
      </c>
    </row>
    <row r="2676" spans="1:8" ht="20.100000000000001" customHeight="1" x14ac:dyDescent="0.25">
      <c r="A2676" s="3" t="s">
        <v>296</v>
      </c>
      <c r="B2676" s="3" t="s">
        <v>392</v>
      </c>
      <c r="C2676" s="3">
        <v>2022</v>
      </c>
      <c r="D2676" s="4">
        <v>4</v>
      </c>
      <c r="E2676" s="5">
        <v>35.4</v>
      </c>
      <c r="F2676" s="5">
        <v>24.37</v>
      </c>
      <c r="G2676" s="3" t="str">
        <f>VLOOKUP(Registros[[#This Row],[Cliente]],Cliente_Region[],2,FALSE)</f>
        <v>Peru</v>
      </c>
      <c r="H2676" s="3" t="str">
        <f>VLOOKUP(Registros[[#This Row],[Producto]],Producto[],2,FALSE)</f>
        <v>SALF</v>
      </c>
    </row>
    <row r="2677" spans="1:8" ht="20.100000000000001" customHeight="1" x14ac:dyDescent="0.25">
      <c r="A2677" s="3" t="s">
        <v>280</v>
      </c>
      <c r="B2677" s="3" t="s">
        <v>392</v>
      </c>
      <c r="C2677" s="3">
        <v>2022</v>
      </c>
      <c r="D2677" s="4">
        <v>1</v>
      </c>
      <c r="E2677" s="5">
        <v>43</v>
      </c>
      <c r="F2677" s="5">
        <v>24.27</v>
      </c>
      <c r="G2677" s="3" t="str">
        <f>VLOOKUP(Registros[[#This Row],[Cliente]],Cliente_Region[],2,FALSE)</f>
        <v>Peru</v>
      </c>
      <c r="H2677" s="3" t="str">
        <f>VLOOKUP(Registros[[#This Row],[Producto]],Producto[],2,FALSE)</f>
        <v>CHOTUS</v>
      </c>
    </row>
    <row r="2678" spans="1:8" ht="20.100000000000001" customHeight="1" x14ac:dyDescent="0.25">
      <c r="A2678" s="3" t="s">
        <v>281</v>
      </c>
      <c r="B2678" s="3" t="s">
        <v>392</v>
      </c>
      <c r="C2678" s="3">
        <v>2022</v>
      </c>
      <c r="D2678" s="4">
        <v>2</v>
      </c>
      <c r="E2678" s="5">
        <v>65.55</v>
      </c>
      <c r="F2678" s="5">
        <v>37.46</v>
      </c>
      <c r="G2678" s="3" t="str">
        <f>VLOOKUP(Registros[[#This Row],[Cliente]],Cliente_Region[],2,FALSE)</f>
        <v>Peru</v>
      </c>
      <c r="H2678" s="3" t="str">
        <f>VLOOKUP(Registros[[#This Row],[Producto]],Producto[],2,FALSE)</f>
        <v>SALF</v>
      </c>
    </row>
    <row r="2679" spans="1:8" ht="20.100000000000001" customHeight="1" x14ac:dyDescent="0.25">
      <c r="A2679" s="3" t="s">
        <v>282</v>
      </c>
      <c r="B2679" s="3" t="s">
        <v>392</v>
      </c>
      <c r="C2679" s="3">
        <v>2022</v>
      </c>
      <c r="D2679" s="4">
        <v>1</v>
      </c>
      <c r="E2679" s="5">
        <v>246</v>
      </c>
      <c r="F2679" s="5">
        <v>147.82</v>
      </c>
      <c r="G2679" s="3" t="str">
        <f>VLOOKUP(Registros[[#This Row],[Cliente]],Cliente_Region[],2,FALSE)</f>
        <v>Peru</v>
      </c>
      <c r="H2679" s="3" t="str">
        <f>VLOOKUP(Registros[[#This Row],[Producto]],Producto[],2,FALSE)</f>
        <v>DAWNE</v>
      </c>
    </row>
    <row r="2680" spans="1:8" ht="20.100000000000001" customHeight="1" x14ac:dyDescent="0.25">
      <c r="A2680" s="3" t="s">
        <v>114</v>
      </c>
      <c r="B2680" s="3" t="s">
        <v>392</v>
      </c>
      <c r="C2680" s="3">
        <v>2022</v>
      </c>
      <c r="D2680" s="4">
        <v>2</v>
      </c>
      <c r="E2680" s="5">
        <v>90</v>
      </c>
      <c r="F2680" s="5">
        <v>54.94</v>
      </c>
      <c r="G2680" s="3" t="str">
        <f>VLOOKUP(Registros[[#This Row],[Cliente]],Cliente_Region[],2,FALSE)</f>
        <v>Peru</v>
      </c>
      <c r="H2680" s="3" t="str">
        <f>VLOOKUP(Registros[[#This Row],[Producto]],Producto[],2,FALSE)</f>
        <v>DAWNE</v>
      </c>
    </row>
    <row r="2681" spans="1:8" ht="20.100000000000001" customHeight="1" x14ac:dyDescent="0.25">
      <c r="A2681" s="3" t="s">
        <v>114</v>
      </c>
      <c r="B2681" s="3" t="s">
        <v>392</v>
      </c>
      <c r="C2681" s="3">
        <v>2022</v>
      </c>
      <c r="D2681" s="4">
        <v>4</v>
      </c>
      <c r="E2681" s="5">
        <v>97</v>
      </c>
      <c r="F2681" s="5">
        <v>68.95</v>
      </c>
      <c r="G2681" s="3" t="str">
        <f>VLOOKUP(Registros[[#This Row],[Cliente]],Cliente_Region[],2,FALSE)</f>
        <v>Peru</v>
      </c>
      <c r="H2681" s="3" t="str">
        <f>VLOOKUP(Registros[[#This Row],[Producto]],Producto[],2,FALSE)</f>
        <v>DAWNE</v>
      </c>
    </row>
    <row r="2682" spans="1:8" ht="20.100000000000001" customHeight="1" x14ac:dyDescent="0.25">
      <c r="A2682" s="3" t="s">
        <v>135</v>
      </c>
      <c r="B2682" s="3" t="s">
        <v>392</v>
      </c>
      <c r="C2682" s="3">
        <v>2022</v>
      </c>
      <c r="D2682" s="4">
        <v>1</v>
      </c>
      <c r="E2682" s="5">
        <v>1156.5</v>
      </c>
      <c r="F2682" s="5">
        <v>846.46</v>
      </c>
      <c r="G2682" s="3" t="str">
        <f>VLOOKUP(Registros[[#This Row],[Cliente]],Cliente_Region[],2,FALSE)</f>
        <v>Peru</v>
      </c>
      <c r="H2682" s="3" t="str">
        <f>VLOOKUP(Registros[[#This Row],[Producto]],Producto[],2,FALSE)</f>
        <v>GAMBO</v>
      </c>
    </row>
    <row r="2683" spans="1:8" ht="20.100000000000001" customHeight="1" x14ac:dyDescent="0.25">
      <c r="A2683" s="3" t="s">
        <v>93</v>
      </c>
      <c r="B2683" s="3" t="s">
        <v>392</v>
      </c>
      <c r="C2683" s="3">
        <v>2022</v>
      </c>
      <c r="D2683" s="4">
        <v>2</v>
      </c>
      <c r="E2683" s="5">
        <v>287.3</v>
      </c>
      <c r="F2683" s="5">
        <v>219.9</v>
      </c>
      <c r="G2683" s="3" t="str">
        <f>VLOOKUP(Registros[[#This Row],[Cliente]],Cliente_Region[],2,FALSE)</f>
        <v>Peru</v>
      </c>
      <c r="H2683" s="3" t="str">
        <f>VLOOKUP(Registros[[#This Row],[Producto]],Producto[],2,FALSE)</f>
        <v>GAMBO</v>
      </c>
    </row>
    <row r="2684" spans="1:8" ht="20.100000000000001" customHeight="1" x14ac:dyDescent="0.25">
      <c r="A2684" s="3" t="s">
        <v>93</v>
      </c>
      <c r="B2684" s="3" t="s">
        <v>392</v>
      </c>
      <c r="C2684" s="3">
        <v>2022</v>
      </c>
      <c r="D2684" s="4">
        <v>4</v>
      </c>
      <c r="E2684" s="5">
        <v>217.5</v>
      </c>
      <c r="F2684" s="5">
        <v>177.06</v>
      </c>
      <c r="G2684" s="3" t="str">
        <f>VLOOKUP(Registros[[#This Row],[Cliente]],Cliente_Region[],2,FALSE)</f>
        <v>Peru</v>
      </c>
      <c r="H2684" s="3" t="str">
        <f>VLOOKUP(Registros[[#This Row],[Producto]],Producto[],2,FALSE)</f>
        <v>GAMBO</v>
      </c>
    </row>
    <row r="2685" spans="1:8" ht="20.100000000000001" customHeight="1" x14ac:dyDescent="0.25">
      <c r="A2685" s="3" t="s">
        <v>86</v>
      </c>
      <c r="B2685" s="3" t="s">
        <v>392</v>
      </c>
      <c r="C2685" s="3">
        <v>2022</v>
      </c>
      <c r="D2685" s="4">
        <v>2</v>
      </c>
      <c r="E2685" s="5">
        <v>16.079999999999998</v>
      </c>
      <c r="F2685" s="5">
        <v>10.75</v>
      </c>
      <c r="G2685" s="3" t="str">
        <f>VLOOKUP(Registros[[#This Row],[Cliente]],Cliente_Region[],2,FALSE)</f>
        <v>Peru</v>
      </c>
      <c r="H2685" s="3" t="str">
        <f>VLOOKUP(Registros[[#This Row],[Producto]],Producto[],2,FALSE)</f>
        <v>GAMBO</v>
      </c>
    </row>
    <row r="2686" spans="1:8" ht="20.100000000000001" customHeight="1" x14ac:dyDescent="0.25">
      <c r="A2686" s="3" t="s">
        <v>88</v>
      </c>
      <c r="B2686" s="3" t="s">
        <v>392</v>
      </c>
      <c r="C2686" s="3">
        <v>2022</v>
      </c>
      <c r="D2686" s="4">
        <v>2</v>
      </c>
      <c r="E2686" s="5">
        <v>14.7</v>
      </c>
      <c r="F2686" s="5">
        <v>12.25</v>
      </c>
      <c r="G2686" s="3" t="str">
        <f>VLOOKUP(Registros[[#This Row],[Cliente]],Cliente_Region[],2,FALSE)</f>
        <v>Peru</v>
      </c>
      <c r="H2686" s="3" t="str">
        <f>VLOOKUP(Registros[[#This Row],[Producto]],Producto[],2,FALSE)</f>
        <v>DAWNE</v>
      </c>
    </row>
    <row r="2687" spans="1:8" ht="20.100000000000001" customHeight="1" x14ac:dyDescent="0.25">
      <c r="A2687" s="3" t="s">
        <v>90</v>
      </c>
      <c r="B2687" s="3" t="s">
        <v>392</v>
      </c>
      <c r="C2687" s="3">
        <v>2022</v>
      </c>
      <c r="D2687" s="4">
        <v>1</v>
      </c>
      <c r="E2687" s="5">
        <v>31.5</v>
      </c>
      <c r="F2687" s="5">
        <v>28.38</v>
      </c>
      <c r="G2687" s="3" t="str">
        <f>VLOOKUP(Registros[[#This Row],[Cliente]],Cliente_Region[],2,FALSE)</f>
        <v>Peru</v>
      </c>
      <c r="H2687" s="3" t="str">
        <f>VLOOKUP(Registros[[#This Row],[Producto]],Producto[],2,FALSE)</f>
        <v>CHOTUS</v>
      </c>
    </row>
    <row r="2688" spans="1:8" ht="20.100000000000001" customHeight="1" x14ac:dyDescent="0.25">
      <c r="A2688" s="3" t="s">
        <v>91</v>
      </c>
      <c r="B2688" s="3" t="s">
        <v>392</v>
      </c>
      <c r="C2688" s="3">
        <v>2022</v>
      </c>
      <c r="D2688" s="4">
        <v>2</v>
      </c>
      <c r="E2688" s="5">
        <v>16.63</v>
      </c>
      <c r="F2688" s="5">
        <v>13.51</v>
      </c>
      <c r="G2688" s="3" t="str">
        <f>VLOOKUP(Registros[[#This Row],[Cliente]],Cliente_Region[],2,FALSE)</f>
        <v>Peru</v>
      </c>
      <c r="H2688" s="3" t="str">
        <f>VLOOKUP(Registros[[#This Row],[Producto]],Producto[],2,FALSE)</f>
        <v>GAMBO</v>
      </c>
    </row>
    <row r="2689" spans="1:8" ht="20.100000000000001" customHeight="1" x14ac:dyDescent="0.25">
      <c r="A2689" s="3" t="s">
        <v>297</v>
      </c>
      <c r="B2689" s="3" t="s">
        <v>392</v>
      </c>
      <c r="C2689" s="3">
        <v>2022</v>
      </c>
      <c r="D2689" s="4">
        <v>2</v>
      </c>
      <c r="E2689" s="5">
        <v>38.5</v>
      </c>
      <c r="F2689" s="5">
        <v>20.170000000000002</v>
      </c>
      <c r="G2689" s="3" t="str">
        <f>VLOOKUP(Registros[[#This Row],[Cliente]],Cliente_Region[],2,FALSE)</f>
        <v>Peru</v>
      </c>
      <c r="H2689" s="3" t="str">
        <f>VLOOKUP(Registros[[#This Row],[Producto]],Producto[],2,FALSE)</f>
        <v>LAX</v>
      </c>
    </row>
    <row r="2690" spans="1:8" ht="20.100000000000001" customHeight="1" x14ac:dyDescent="0.25">
      <c r="A2690" s="3" t="s">
        <v>77</v>
      </c>
      <c r="B2690" s="3" t="s">
        <v>392</v>
      </c>
      <c r="C2690" s="3">
        <v>2022</v>
      </c>
      <c r="D2690" s="4">
        <v>1</v>
      </c>
      <c r="E2690" s="5">
        <v>27.35</v>
      </c>
      <c r="F2690" s="5">
        <v>17.47</v>
      </c>
      <c r="G2690" s="3" t="str">
        <f>VLOOKUP(Registros[[#This Row],[Cliente]],Cliente_Region[],2,FALSE)</f>
        <v>Peru</v>
      </c>
      <c r="H2690" s="3" t="str">
        <f>VLOOKUP(Registros[[#This Row],[Producto]],Producto[],2,FALSE)</f>
        <v>LAX</v>
      </c>
    </row>
    <row r="2691" spans="1:8" ht="20.100000000000001" customHeight="1" x14ac:dyDescent="0.25">
      <c r="A2691" s="3" t="s">
        <v>78</v>
      </c>
      <c r="B2691" s="3" t="s">
        <v>392</v>
      </c>
      <c r="C2691" s="3">
        <v>2022</v>
      </c>
      <c r="D2691" s="4">
        <v>2</v>
      </c>
      <c r="E2691" s="5">
        <v>35.6</v>
      </c>
      <c r="F2691" s="5">
        <v>25.72</v>
      </c>
      <c r="G2691" s="3" t="str">
        <f>VLOOKUP(Registros[[#This Row],[Cliente]],Cliente_Region[],2,FALSE)</f>
        <v>Peru</v>
      </c>
      <c r="H2691" s="3" t="str">
        <f>VLOOKUP(Registros[[#This Row],[Producto]],Producto[],2,FALSE)</f>
        <v>MOC</v>
      </c>
    </row>
    <row r="2692" spans="1:8" ht="20.100000000000001" customHeight="1" x14ac:dyDescent="0.25">
      <c r="A2692" s="3" t="s">
        <v>92</v>
      </c>
      <c r="B2692" s="3" t="s">
        <v>392</v>
      </c>
      <c r="C2692" s="3">
        <v>2022</v>
      </c>
      <c r="D2692" s="4">
        <v>2</v>
      </c>
      <c r="E2692" s="5">
        <v>41.65</v>
      </c>
      <c r="F2692" s="5">
        <v>22.92</v>
      </c>
      <c r="G2692" s="3" t="str">
        <f>VLOOKUP(Registros[[#This Row],[Cliente]],Cliente_Region[],2,FALSE)</f>
        <v>Peru</v>
      </c>
      <c r="H2692" s="3" t="str">
        <f>VLOOKUP(Registros[[#This Row],[Producto]],Producto[],2,FALSE)</f>
        <v>MOC</v>
      </c>
    </row>
    <row r="2693" spans="1:8" ht="20.100000000000001" customHeight="1" x14ac:dyDescent="0.25">
      <c r="A2693" s="3" t="s">
        <v>299</v>
      </c>
      <c r="B2693" s="3" t="s">
        <v>392</v>
      </c>
      <c r="C2693" s="3">
        <v>2022</v>
      </c>
      <c r="D2693" s="4">
        <v>2</v>
      </c>
      <c r="E2693" s="5">
        <v>96.5</v>
      </c>
      <c r="F2693" s="5">
        <v>54.4</v>
      </c>
      <c r="G2693" s="3" t="str">
        <f>VLOOKUP(Registros[[#This Row],[Cliente]],Cliente_Region[],2,FALSE)</f>
        <v>Peru</v>
      </c>
      <c r="H2693" s="3" t="str">
        <f>VLOOKUP(Registros[[#This Row],[Producto]],Producto[],2,FALSE)</f>
        <v>SALF</v>
      </c>
    </row>
    <row r="2694" spans="1:8" ht="20.100000000000001" customHeight="1" x14ac:dyDescent="0.25">
      <c r="A2694" s="3" t="s">
        <v>369</v>
      </c>
      <c r="B2694" s="3" t="s">
        <v>393</v>
      </c>
      <c r="C2694" s="3">
        <v>2022</v>
      </c>
      <c r="D2694" s="4">
        <v>4</v>
      </c>
      <c r="E2694" s="5">
        <v>15</v>
      </c>
      <c r="F2694" s="5">
        <v>9.61</v>
      </c>
      <c r="G2694" s="3" t="str">
        <f>VLOOKUP(Registros[[#This Row],[Cliente]],Cliente_Region[],2,FALSE)</f>
        <v>Canada</v>
      </c>
      <c r="H2694" s="3" t="str">
        <f>VLOOKUP(Registros[[#This Row],[Producto]],Producto[],2,FALSE)</f>
        <v>LAX</v>
      </c>
    </row>
    <row r="2695" spans="1:8" ht="20.100000000000001" customHeight="1" x14ac:dyDescent="0.25">
      <c r="A2695" s="3" t="s">
        <v>394</v>
      </c>
      <c r="B2695" s="3" t="s">
        <v>393</v>
      </c>
      <c r="C2695" s="3">
        <v>2022</v>
      </c>
      <c r="D2695" s="4">
        <v>5</v>
      </c>
      <c r="E2695" s="5">
        <v>50</v>
      </c>
      <c r="F2695" s="5">
        <v>26.14</v>
      </c>
      <c r="G2695" s="3" t="str">
        <f>VLOOKUP(Registros[[#This Row],[Cliente]],Cliente_Region[],2,FALSE)</f>
        <v>Canada</v>
      </c>
      <c r="H2695" s="3" t="str">
        <f>VLOOKUP(Registros[[#This Row],[Producto]],Producto[],2,FALSE)</f>
        <v>DAWNE</v>
      </c>
    </row>
    <row r="2696" spans="1:8" ht="20.100000000000001" customHeight="1" x14ac:dyDescent="0.25">
      <c r="A2696" s="3" t="s">
        <v>175</v>
      </c>
      <c r="B2696" s="3" t="s">
        <v>393</v>
      </c>
      <c r="C2696" s="3">
        <v>2022</v>
      </c>
      <c r="D2696" s="4">
        <v>1</v>
      </c>
      <c r="E2696" s="5">
        <v>161.9</v>
      </c>
      <c r="F2696" s="5">
        <v>-4.0199999999999996</v>
      </c>
      <c r="G2696" s="3" t="str">
        <f>VLOOKUP(Registros[[#This Row],[Cliente]],Cliente_Region[],2,FALSE)</f>
        <v>Canada</v>
      </c>
      <c r="H2696" s="3" t="str">
        <f>VLOOKUP(Registros[[#This Row],[Producto]],Producto[],2,FALSE)</f>
        <v>GAMBO</v>
      </c>
    </row>
    <row r="2697" spans="1:8" ht="20.100000000000001" customHeight="1" x14ac:dyDescent="0.25">
      <c r="A2697" s="3" t="s">
        <v>371</v>
      </c>
      <c r="B2697" s="3" t="s">
        <v>393</v>
      </c>
      <c r="C2697" s="3">
        <v>2022</v>
      </c>
      <c r="D2697" s="4">
        <v>2</v>
      </c>
      <c r="E2697" s="5">
        <v>133.21</v>
      </c>
      <c r="F2697" s="5">
        <v>35.61</v>
      </c>
      <c r="G2697" s="3" t="str">
        <f>VLOOKUP(Registros[[#This Row],[Cliente]],Cliente_Region[],2,FALSE)</f>
        <v>Canada</v>
      </c>
      <c r="H2697" s="3" t="str">
        <f>VLOOKUP(Registros[[#This Row],[Producto]],Producto[],2,FALSE)</f>
        <v>QUOKAR</v>
      </c>
    </row>
    <row r="2698" spans="1:8" ht="20.100000000000001" customHeight="1" x14ac:dyDescent="0.25">
      <c r="A2698" s="3" t="s">
        <v>371</v>
      </c>
      <c r="B2698" s="3" t="s">
        <v>393</v>
      </c>
      <c r="C2698" s="3">
        <v>2022</v>
      </c>
      <c r="D2698" s="4">
        <v>3</v>
      </c>
      <c r="E2698" s="5">
        <v>109.2</v>
      </c>
      <c r="F2698" s="5">
        <v>-7.92</v>
      </c>
      <c r="G2698" s="3" t="str">
        <f>VLOOKUP(Registros[[#This Row],[Cliente]],Cliente_Region[],2,FALSE)</f>
        <v>Canada</v>
      </c>
      <c r="H2698" s="3" t="str">
        <f>VLOOKUP(Registros[[#This Row],[Producto]],Producto[],2,FALSE)</f>
        <v>QUOKAR</v>
      </c>
    </row>
    <row r="2699" spans="1:8" ht="20.100000000000001" customHeight="1" x14ac:dyDescent="0.25">
      <c r="A2699" s="3" t="s">
        <v>371</v>
      </c>
      <c r="B2699" s="3" t="s">
        <v>393</v>
      </c>
      <c r="C2699" s="3">
        <v>2022</v>
      </c>
      <c r="D2699" s="4">
        <v>4</v>
      </c>
      <c r="E2699" s="5">
        <v>122</v>
      </c>
      <c r="F2699" s="5">
        <v>43.92</v>
      </c>
      <c r="G2699" s="3" t="str">
        <f>VLOOKUP(Registros[[#This Row],[Cliente]],Cliente_Region[],2,FALSE)</f>
        <v>Canada</v>
      </c>
      <c r="H2699" s="3" t="str">
        <f>VLOOKUP(Registros[[#This Row],[Producto]],Producto[],2,FALSE)</f>
        <v>QUOKAR</v>
      </c>
    </row>
    <row r="2700" spans="1:8" ht="20.100000000000001" customHeight="1" x14ac:dyDescent="0.25">
      <c r="A2700" s="3" t="s">
        <v>371</v>
      </c>
      <c r="B2700" s="3" t="s">
        <v>393</v>
      </c>
      <c r="C2700" s="3">
        <v>2022</v>
      </c>
      <c r="D2700" s="4">
        <v>5</v>
      </c>
      <c r="E2700" s="5">
        <v>228.75</v>
      </c>
      <c r="F2700" s="5">
        <v>82.35</v>
      </c>
      <c r="G2700" s="3" t="str">
        <f>VLOOKUP(Registros[[#This Row],[Cliente]],Cliente_Region[],2,FALSE)</f>
        <v>Canada</v>
      </c>
      <c r="H2700" s="3" t="str">
        <f>VLOOKUP(Registros[[#This Row],[Producto]],Producto[],2,FALSE)</f>
        <v>QUOKAR</v>
      </c>
    </row>
    <row r="2701" spans="1:8" ht="20.100000000000001" customHeight="1" x14ac:dyDescent="0.25">
      <c r="A2701" s="3" t="s">
        <v>371</v>
      </c>
      <c r="B2701" s="3" t="s">
        <v>393</v>
      </c>
      <c r="C2701" s="3">
        <v>2022</v>
      </c>
      <c r="D2701" s="4">
        <v>6</v>
      </c>
      <c r="E2701" s="5">
        <v>198.25</v>
      </c>
      <c r="F2701" s="5">
        <v>71.37</v>
      </c>
      <c r="G2701" s="3" t="str">
        <f>VLOOKUP(Registros[[#This Row],[Cliente]],Cliente_Region[],2,FALSE)</f>
        <v>Canada</v>
      </c>
      <c r="H2701" s="3" t="str">
        <f>VLOOKUP(Registros[[#This Row],[Producto]],Producto[],2,FALSE)</f>
        <v>QUOKAR</v>
      </c>
    </row>
    <row r="2702" spans="1:8" ht="20.100000000000001" customHeight="1" x14ac:dyDescent="0.25">
      <c r="A2702" s="3" t="s">
        <v>286</v>
      </c>
      <c r="B2702" s="3" t="s">
        <v>393</v>
      </c>
      <c r="C2702" s="3">
        <v>2022</v>
      </c>
      <c r="D2702" s="4">
        <v>1</v>
      </c>
      <c r="E2702" s="5">
        <v>43.1</v>
      </c>
      <c r="F2702" s="5">
        <v>21.02</v>
      </c>
      <c r="G2702" s="3" t="str">
        <f>VLOOKUP(Registros[[#This Row],[Cliente]],Cliente_Region[],2,FALSE)</f>
        <v>Canada</v>
      </c>
      <c r="H2702" s="3" t="str">
        <f>VLOOKUP(Registros[[#This Row],[Producto]],Producto[],2,FALSE)</f>
        <v>SALF</v>
      </c>
    </row>
    <row r="2703" spans="1:8" ht="20.100000000000001" customHeight="1" x14ac:dyDescent="0.25">
      <c r="A2703" s="3" t="s">
        <v>287</v>
      </c>
      <c r="B2703" s="3" t="s">
        <v>393</v>
      </c>
      <c r="C2703" s="3">
        <v>2022</v>
      </c>
      <c r="D2703" s="4">
        <v>2</v>
      </c>
      <c r="E2703" s="5">
        <v>49.8</v>
      </c>
      <c r="F2703" s="5">
        <v>27.72</v>
      </c>
      <c r="G2703" s="3" t="str">
        <f>VLOOKUP(Registros[[#This Row],[Cliente]],Cliente_Region[],2,FALSE)</f>
        <v>Canada</v>
      </c>
      <c r="H2703" s="3" t="str">
        <f>VLOOKUP(Registros[[#This Row],[Producto]],Producto[],2,FALSE)</f>
        <v>QUOKAR</v>
      </c>
    </row>
    <row r="2704" spans="1:8" ht="20.100000000000001" customHeight="1" x14ac:dyDescent="0.25">
      <c r="A2704" s="3" t="s">
        <v>287</v>
      </c>
      <c r="B2704" s="3" t="s">
        <v>393</v>
      </c>
      <c r="C2704" s="3">
        <v>2022</v>
      </c>
      <c r="D2704" s="4">
        <v>3</v>
      </c>
      <c r="E2704" s="5">
        <v>20.399999999999999</v>
      </c>
      <c r="F2704" s="5">
        <v>9.36</v>
      </c>
      <c r="G2704" s="3" t="str">
        <f>VLOOKUP(Registros[[#This Row],[Cliente]],Cliente_Region[],2,FALSE)</f>
        <v>Canada</v>
      </c>
      <c r="H2704" s="3" t="str">
        <f>VLOOKUP(Registros[[#This Row],[Producto]],Producto[],2,FALSE)</f>
        <v>QUOKAR</v>
      </c>
    </row>
    <row r="2705" spans="1:8" ht="20.100000000000001" customHeight="1" x14ac:dyDescent="0.25">
      <c r="A2705" s="3" t="s">
        <v>287</v>
      </c>
      <c r="B2705" s="3" t="s">
        <v>393</v>
      </c>
      <c r="C2705" s="3">
        <v>2022</v>
      </c>
      <c r="D2705" s="4">
        <v>4</v>
      </c>
      <c r="E2705" s="5">
        <v>26.5</v>
      </c>
      <c r="F2705" s="5">
        <v>15.46</v>
      </c>
      <c r="G2705" s="3" t="str">
        <f>VLOOKUP(Registros[[#This Row],[Cliente]],Cliente_Region[],2,FALSE)</f>
        <v>Canada</v>
      </c>
      <c r="H2705" s="3" t="str">
        <f>VLOOKUP(Registros[[#This Row],[Producto]],Producto[],2,FALSE)</f>
        <v>QUOKAR</v>
      </c>
    </row>
    <row r="2706" spans="1:8" ht="20.100000000000001" customHeight="1" x14ac:dyDescent="0.25">
      <c r="A2706" s="3" t="s">
        <v>287</v>
      </c>
      <c r="B2706" s="3" t="s">
        <v>393</v>
      </c>
      <c r="C2706" s="3">
        <v>2022</v>
      </c>
      <c r="D2706" s="4">
        <v>6</v>
      </c>
      <c r="E2706" s="5">
        <v>39.75</v>
      </c>
      <c r="F2706" s="5">
        <v>23.19</v>
      </c>
      <c r="G2706" s="3" t="str">
        <f>VLOOKUP(Registros[[#This Row],[Cliente]],Cliente_Region[],2,FALSE)</f>
        <v>Canada</v>
      </c>
      <c r="H2706" s="3" t="str">
        <f>VLOOKUP(Registros[[#This Row],[Producto]],Producto[],2,FALSE)</f>
        <v>QUOKAR</v>
      </c>
    </row>
    <row r="2707" spans="1:8" ht="20.100000000000001" customHeight="1" x14ac:dyDescent="0.25">
      <c r="A2707" s="3" t="s">
        <v>26</v>
      </c>
      <c r="B2707" s="3" t="s">
        <v>393</v>
      </c>
      <c r="C2707" s="3">
        <v>2022</v>
      </c>
      <c r="D2707" s="4">
        <v>1</v>
      </c>
      <c r="E2707" s="5">
        <v>484.45</v>
      </c>
      <c r="F2707" s="5">
        <v>230.42</v>
      </c>
      <c r="G2707" s="3" t="str">
        <f>VLOOKUP(Registros[[#This Row],[Cliente]],Cliente_Region[],2,FALSE)</f>
        <v>Canada</v>
      </c>
      <c r="H2707" s="3" t="str">
        <f>VLOOKUP(Registros[[#This Row],[Producto]],Producto[],2,FALSE)</f>
        <v>CHOTUS</v>
      </c>
    </row>
    <row r="2708" spans="1:8" ht="20.100000000000001" customHeight="1" x14ac:dyDescent="0.25">
      <c r="A2708" s="3" t="s">
        <v>27</v>
      </c>
      <c r="B2708" s="3" t="s">
        <v>393</v>
      </c>
      <c r="C2708" s="3">
        <v>2022</v>
      </c>
      <c r="D2708" s="4">
        <v>2</v>
      </c>
      <c r="E2708" s="5">
        <v>264.2</v>
      </c>
      <c r="F2708" s="5">
        <v>114.78</v>
      </c>
      <c r="G2708" s="3" t="str">
        <f>VLOOKUP(Registros[[#This Row],[Cliente]],Cliente_Region[],2,FALSE)</f>
        <v>Canada</v>
      </c>
      <c r="H2708" s="3" t="str">
        <f>VLOOKUP(Registros[[#This Row],[Producto]],Producto[],2,FALSE)</f>
        <v>MOC</v>
      </c>
    </row>
    <row r="2709" spans="1:8" ht="20.100000000000001" customHeight="1" x14ac:dyDescent="0.25">
      <c r="A2709" s="3" t="s">
        <v>27</v>
      </c>
      <c r="B2709" s="3" t="s">
        <v>393</v>
      </c>
      <c r="C2709" s="3">
        <v>2022</v>
      </c>
      <c r="D2709" s="4">
        <v>3</v>
      </c>
      <c r="E2709" s="5">
        <v>371</v>
      </c>
      <c r="F2709" s="5">
        <v>161.81</v>
      </c>
      <c r="G2709" s="3" t="str">
        <f>VLOOKUP(Registros[[#This Row],[Cliente]],Cliente_Region[],2,FALSE)</f>
        <v>Canada</v>
      </c>
      <c r="H2709" s="3" t="str">
        <f>VLOOKUP(Registros[[#This Row],[Producto]],Producto[],2,FALSE)</f>
        <v>MOC</v>
      </c>
    </row>
    <row r="2710" spans="1:8" ht="20.100000000000001" customHeight="1" x14ac:dyDescent="0.25">
      <c r="A2710" s="3" t="s">
        <v>27</v>
      </c>
      <c r="B2710" s="3" t="s">
        <v>393</v>
      </c>
      <c r="C2710" s="3">
        <v>2022</v>
      </c>
      <c r="D2710" s="4">
        <v>4</v>
      </c>
      <c r="E2710" s="5">
        <v>317.25</v>
      </c>
      <c r="F2710" s="5">
        <v>182.77</v>
      </c>
      <c r="G2710" s="3" t="str">
        <f>VLOOKUP(Registros[[#This Row],[Cliente]],Cliente_Region[],2,FALSE)</f>
        <v>Canada</v>
      </c>
      <c r="H2710" s="3" t="str">
        <f>VLOOKUP(Registros[[#This Row],[Producto]],Producto[],2,FALSE)</f>
        <v>MOC</v>
      </c>
    </row>
    <row r="2711" spans="1:8" ht="20.100000000000001" customHeight="1" x14ac:dyDescent="0.25">
      <c r="A2711" s="3" t="s">
        <v>27</v>
      </c>
      <c r="B2711" s="3" t="s">
        <v>393</v>
      </c>
      <c r="C2711" s="3">
        <v>2022</v>
      </c>
      <c r="D2711" s="4">
        <v>5</v>
      </c>
      <c r="E2711" s="5">
        <v>458.25</v>
      </c>
      <c r="F2711" s="5">
        <v>264</v>
      </c>
      <c r="G2711" s="3" t="str">
        <f>VLOOKUP(Registros[[#This Row],[Cliente]],Cliente_Region[],2,FALSE)</f>
        <v>Canada</v>
      </c>
      <c r="H2711" s="3" t="str">
        <f>VLOOKUP(Registros[[#This Row],[Producto]],Producto[],2,FALSE)</f>
        <v>MOC</v>
      </c>
    </row>
    <row r="2712" spans="1:8" ht="20.100000000000001" customHeight="1" x14ac:dyDescent="0.25">
      <c r="A2712" s="3" t="s">
        <v>27</v>
      </c>
      <c r="B2712" s="3" t="s">
        <v>393</v>
      </c>
      <c r="C2712" s="3">
        <v>2022</v>
      </c>
      <c r="D2712" s="4">
        <v>6</v>
      </c>
      <c r="E2712" s="5">
        <v>423</v>
      </c>
      <c r="F2712" s="5">
        <v>243.69</v>
      </c>
      <c r="G2712" s="3" t="str">
        <f>VLOOKUP(Registros[[#This Row],[Cliente]],Cliente_Region[],2,FALSE)</f>
        <v>Canada</v>
      </c>
      <c r="H2712" s="3" t="str">
        <f>VLOOKUP(Registros[[#This Row],[Producto]],Producto[],2,FALSE)</f>
        <v>MOC</v>
      </c>
    </row>
    <row r="2713" spans="1:8" ht="20.100000000000001" customHeight="1" x14ac:dyDescent="0.25">
      <c r="A2713" s="3" t="s">
        <v>288</v>
      </c>
      <c r="B2713" s="3" t="s">
        <v>393</v>
      </c>
      <c r="C2713" s="3">
        <v>2022</v>
      </c>
      <c r="D2713" s="4">
        <v>1</v>
      </c>
      <c r="E2713" s="5">
        <v>75</v>
      </c>
      <c r="F2713" s="5">
        <v>54.54</v>
      </c>
      <c r="G2713" s="3" t="str">
        <f>VLOOKUP(Registros[[#This Row],[Cliente]],Cliente_Region[],2,FALSE)</f>
        <v>Canada</v>
      </c>
      <c r="H2713" s="3" t="str">
        <f>VLOOKUP(Registros[[#This Row],[Producto]],Producto[],2,FALSE)</f>
        <v>DAWNE</v>
      </c>
    </row>
    <row r="2714" spans="1:8" ht="20.100000000000001" customHeight="1" x14ac:dyDescent="0.25">
      <c r="A2714" s="3" t="s">
        <v>289</v>
      </c>
      <c r="B2714" s="3" t="s">
        <v>393</v>
      </c>
      <c r="C2714" s="3">
        <v>2022</v>
      </c>
      <c r="D2714" s="4">
        <v>2</v>
      </c>
      <c r="E2714" s="5">
        <v>27.84</v>
      </c>
      <c r="F2714" s="5">
        <v>21.02</v>
      </c>
      <c r="G2714" s="3" t="str">
        <f>VLOOKUP(Registros[[#This Row],[Cliente]],Cliente_Region[],2,FALSE)</f>
        <v>Canada</v>
      </c>
      <c r="H2714" s="3" t="str">
        <f>VLOOKUP(Registros[[#This Row],[Producto]],Producto[],2,FALSE)</f>
        <v>CHOTUS</v>
      </c>
    </row>
    <row r="2715" spans="1:8" ht="20.100000000000001" customHeight="1" x14ac:dyDescent="0.25">
      <c r="A2715" s="3" t="s">
        <v>289</v>
      </c>
      <c r="B2715" s="3" t="s">
        <v>393</v>
      </c>
      <c r="C2715" s="3">
        <v>2022</v>
      </c>
      <c r="D2715" s="4">
        <v>3</v>
      </c>
      <c r="E2715" s="5">
        <v>97.44</v>
      </c>
      <c r="F2715" s="5">
        <v>73.569999999999993</v>
      </c>
      <c r="G2715" s="3" t="str">
        <f>VLOOKUP(Registros[[#This Row],[Cliente]],Cliente_Region[],2,FALSE)</f>
        <v>Canada</v>
      </c>
      <c r="H2715" s="3" t="str">
        <f>VLOOKUP(Registros[[#This Row],[Producto]],Producto[],2,FALSE)</f>
        <v>CHOTUS</v>
      </c>
    </row>
    <row r="2716" spans="1:8" ht="20.100000000000001" customHeight="1" x14ac:dyDescent="0.25">
      <c r="A2716" s="3" t="s">
        <v>289</v>
      </c>
      <c r="B2716" s="3" t="s">
        <v>393</v>
      </c>
      <c r="C2716" s="3">
        <v>2022</v>
      </c>
      <c r="D2716" s="4">
        <v>4</v>
      </c>
      <c r="E2716" s="5">
        <v>55.84</v>
      </c>
      <c r="F2716" s="5">
        <v>42.2</v>
      </c>
      <c r="G2716" s="3" t="str">
        <f>VLOOKUP(Registros[[#This Row],[Cliente]],Cliente_Region[],2,FALSE)</f>
        <v>Canada</v>
      </c>
      <c r="H2716" s="3" t="str">
        <f>VLOOKUP(Registros[[#This Row],[Producto]],Producto[],2,FALSE)</f>
        <v>CHOTUS</v>
      </c>
    </row>
    <row r="2717" spans="1:8" ht="20.100000000000001" customHeight="1" x14ac:dyDescent="0.25">
      <c r="A2717" s="3" t="s">
        <v>289</v>
      </c>
      <c r="B2717" s="3" t="s">
        <v>393</v>
      </c>
      <c r="C2717" s="3">
        <v>2022</v>
      </c>
      <c r="D2717" s="4">
        <v>5</v>
      </c>
      <c r="E2717" s="5">
        <v>83.52</v>
      </c>
      <c r="F2717" s="5">
        <v>63.06</v>
      </c>
      <c r="G2717" s="3" t="str">
        <f>VLOOKUP(Registros[[#This Row],[Cliente]],Cliente_Region[],2,FALSE)</f>
        <v>Canada</v>
      </c>
      <c r="H2717" s="3" t="str">
        <f>VLOOKUP(Registros[[#This Row],[Producto]],Producto[],2,FALSE)</f>
        <v>CHOTUS</v>
      </c>
    </row>
    <row r="2718" spans="1:8" ht="20.100000000000001" customHeight="1" x14ac:dyDescent="0.25">
      <c r="A2718" s="3" t="s">
        <v>289</v>
      </c>
      <c r="B2718" s="3" t="s">
        <v>393</v>
      </c>
      <c r="C2718" s="3">
        <v>2022</v>
      </c>
      <c r="D2718" s="4">
        <v>6</v>
      </c>
      <c r="E2718" s="5">
        <v>69.599999999999994</v>
      </c>
      <c r="F2718" s="5">
        <v>52.55</v>
      </c>
      <c r="G2718" s="3" t="str">
        <f>VLOOKUP(Registros[[#This Row],[Cliente]],Cliente_Region[],2,FALSE)</f>
        <v>Canada</v>
      </c>
      <c r="H2718" s="3" t="str">
        <f>VLOOKUP(Registros[[#This Row],[Producto]],Producto[],2,FALSE)</f>
        <v>CHOTUS</v>
      </c>
    </row>
    <row r="2719" spans="1:8" ht="20.100000000000001" customHeight="1" x14ac:dyDescent="0.25">
      <c r="A2719" s="3" t="s">
        <v>135</v>
      </c>
      <c r="B2719" s="3" t="s">
        <v>393</v>
      </c>
      <c r="C2719" s="3">
        <v>2022</v>
      </c>
      <c r="D2719" s="4">
        <v>1</v>
      </c>
      <c r="E2719" s="5">
        <v>148.5</v>
      </c>
      <c r="F2719" s="5">
        <v>108.06</v>
      </c>
      <c r="G2719" s="3" t="str">
        <f>VLOOKUP(Registros[[#This Row],[Cliente]],Cliente_Region[],2,FALSE)</f>
        <v>Canada</v>
      </c>
      <c r="H2719" s="3" t="str">
        <f>VLOOKUP(Registros[[#This Row],[Producto]],Producto[],2,FALSE)</f>
        <v>GAMBO</v>
      </c>
    </row>
    <row r="2720" spans="1:8" ht="20.100000000000001" customHeight="1" x14ac:dyDescent="0.25">
      <c r="A2720" s="3" t="s">
        <v>93</v>
      </c>
      <c r="B2720" s="3" t="s">
        <v>393</v>
      </c>
      <c r="C2720" s="3">
        <v>2022</v>
      </c>
      <c r="D2720" s="4">
        <v>2</v>
      </c>
      <c r="E2720" s="5">
        <v>190.61</v>
      </c>
      <c r="F2720" s="5">
        <v>143.43</v>
      </c>
      <c r="G2720" s="3" t="str">
        <f>VLOOKUP(Registros[[#This Row],[Cliente]],Cliente_Region[],2,FALSE)</f>
        <v>Canada</v>
      </c>
      <c r="H2720" s="3" t="str">
        <f>VLOOKUP(Registros[[#This Row],[Producto]],Producto[],2,FALSE)</f>
        <v>GAMBO</v>
      </c>
    </row>
    <row r="2721" spans="1:8" ht="20.100000000000001" customHeight="1" x14ac:dyDescent="0.25">
      <c r="A2721" s="3" t="s">
        <v>93</v>
      </c>
      <c r="B2721" s="3" t="s">
        <v>393</v>
      </c>
      <c r="C2721" s="3">
        <v>2022</v>
      </c>
      <c r="D2721" s="4">
        <v>3</v>
      </c>
      <c r="E2721" s="5">
        <v>108.92</v>
      </c>
      <c r="F2721" s="5">
        <v>81.96</v>
      </c>
      <c r="G2721" s="3" t="str">
        <f>VLOOKUP(Registros[[#This Row],[Cliente]],Cliente_Region[],2,FALSE)</f>
        <v>Canada</v>
      </c>
      <c r="H2721" s="3" t="str">
        <f>VLOOKUP(Registros[[#This Row],[Producto]],Producto[],2,FALSE)</f>
        <v>GAMBO</v>
      </c>
    </row>
    <row r="2722" spans="1:8" ht="20.100000000000001" customHeight="1" x14ac:dyDescent="0.25">
      <c r="A2722" s="3" t="s">
        <v>93</v>
      </c>
      <c r="B2722" s="3" t="s">
        <v>393</v>
      </c>
      <c r="C2722" s="3">
        <v>2022</v>
      </c>
      <c r="D2722" s="4">
        <v>4</v>
      </c>
      <c r="E2722" s="5">
        <v>99.46</v>
      </c>
      <c r="F2722" s="5">
        <v>72.5</v>
      </c>
      <c r="G2722" s="3" t="str">
        <f>VLOOKUP(Registros[[#This Row],[Cliente]],Cliente_Region[],2,FALSE)</f>
        <v>Canada</v>
      </c>
      <c r="H2722" s="3" t="str">
        <f>VLOOKUP(Registros[[#This Row],[Producto]],Producto[],2,FALSE)</f>
        <v>GAMBO</v>
      </c>
    </row>
    <row r="2723" spans="1:8" ht="20.100000000000001" customHeight="1" x14ac:dyDescent="0.25">
      <c r="A2723" s="3" t="s">
        <v>93</v>
      </c>
      <c r="B2723" s="3" t="s">
        <v>393</v>
      </c>
      <c r="C2723" s="3">
        <v>2022</v>
      </c>
      <c r="D2723" s="4">
        <v>5</v>
      </c>
      <c r="E2723" s="5">
        <v>163.38</v>
      </c>
      <c r="F2723" s="5">
        <v>122.94</v>
      </c>
      <c r="G2723" s="3" t="str">
        <f>VLOOKUP(Registros[[#This Row],[Cliente]],Cliente_Region[],2,FALSE)</f>
        <v>Canada</v>
      </c>
      <c r="H2723" s="3" t="str">
        <f>VLOOKUP(Registros[[#This Row],[Producto]],Producto[],2,FALSE)</f>
        <v>GAMBO</v>
      </c>
    </row>
    <row r="2724" spans="1:8" ht="20.100000000000001" customHeight="1" x14ac:dyDescent="0.25">
      <c r="A2724" s="3" t="s">
        <v>93</v>
      </c>
      <c r="B2724" s="3" t="s">
        <v>393</v>
      </c>
      <c r="C2724" s="3">
        <v>2022</v>
      </c>
      <c r="D2724" s="4">
        <v>6</v>
      </c>
      <c r="E2724" s="5">
        <v>163.38</v>
      </c>
      <c r="F2724" s="5">
        <v>122.94</v>
      </c>
      <c r="G2724" s="3" t="str">
        <f>VLOOKUP(Registros[[#This Row],[Cliente]],Cliente_Region[],2,FALSE)</f>
        <v>Canada</v>
      </c>
      <c r="H2724" s="3" t="str">
        <f>VLOOKUP(Registros[[#This Row],[Producto]],Producto[],2,FALSE)</f>
        <v>GAMBO</v>
      </c>
    </row>
    <row r="2725" spans="1:8" ht="20.100000000000001" customHeight="1" x14ac:dyDescent="0.25">
      <c r="A2725" s="3" t="s">
        <v>136</v>
      </c>
      <c r="B2725" s="3" t="s">
        <v>393</v>
      </c>
      <c r="C2725" s="3">
        <v>2022</v>
      </c>
      <c r="D2725" s="4">
        <v>1</v>
      </c>
      <c r="E2725" s="5">
        <v>154</v>
      </c>
      <c r="F2725" s="5">
        <v>79.22</v>
      </c>
      <c r="G2725" s="3" t="str">
        <f>VLOOKUP(Registros[[#This Row],[Cliente]],Cliente_Region[],2,FALSE)</f>
        <v>Canada</v>
      </c>
      <c r="H2725" s="3" t="str">
        <f>VLOOKUP(Registros[[#This Row],[Producto]],Producto[],2,FALSE)</f>
        <v>CHOTUS</v>
      </c>
    </row>
    <row r="2726" spans="1:8" ht="20.100000000000001" customHeight="1" x14ac:dyDescent="0.25">
      <c r="A2726" s="3" t="s">
        <v>137</v>
      </c>
      <c r="B2726" s="3" t="s">
        <v>393</v>
      </c>
      <c r="C2726" s="3">
        <v>2022</v>
      </c>
      <c r="D2726" s="4">
        <v>2</v>
      </c>
      <c r="E2726" s="5">
        <v>242.55</v>
      </c>
      <c r="F2726" s="5">
        <v>155.30000000000001</v>
      </c>
      <c r="G2726" s="3" t="str">
        <f>VLOOKUP(Registros[[#This Row],[Cliente]],Cliente_Region[],2,FALSE)</f>
        <v>Canada</v>
      </c>
      <c r="H2726" s="3" t="str">
        <f>VLOOKUP(Registros[[#This Row],[Producto]],Producto[],2,FALSE)</f>
        <v>QUOKAR</v>
      </c>
    </row>
    <row r="2727" spans="1:8" ht="20.100000000000001" customHeight="1" x14ac:dyDescent="0.25">
      <c r="A2727" s="3" t="s">
        <v>137</v>
      </c>
      <c r="B2727" s="3" t="s">
        <v>393</v>
      </c>
      <c r="C2727" s="3">
        <v>2022</v>
      </c>
      <c r="D2727" s="4">
        <v>3</v>
      </c>
      <c r="E2727" s="5">
        <v>138.6</v>
      </c>
      <c r="F2727" s="5">
        <v>88.74</v>
      </c>
      <c r="G2727" s="3" t="str">
        <f>VLOOKUP(Registros[[#This Row],[Cliente]],Cliente_Region[],2,FALSE)</f>
        <v>Canada</v>
      </c>
      <c r="H2727" s="3" t="str">
        <f>VLOOKUP(Registros[[#This Row],[Producto]],Producto[],2,FALSE)</f>
        <v>QUOKAR</v>
      </c>
    </row>
    <row r="2728" spans="1:8" ht="20.100000000000001" customHeight="1" x14ac:dyDescent="0.25">
      <c r="A2728" s="3" t="s">
        <v>137</v>
      </c>
      <c r="B2728" s="3" t="s">
        <v>393</v>
      </c>
      <c r="C2728" s="3">
        <v>2022</v>
      </c>
      <c r="D2728" s="4">
        <v>4</v>
      </c>
      <c r="E2728" s="5">
        <v>111.3</v>
      </c>
      <c r="F2728" s="5">
        <v>61.44</v>
      </c>
      <c r="G2728" s="3" t="str">
        <f>VLOOKUP(Registros[[#This Row],[Cliente]],Cliente_Region[],2,FALSE)</f>
        <v>Canada</v>
      </c>
      <c r="H2728" s="3" t="str">
        <f>VLOOKUP(Registros[[#This Row],[Producto]],Producto[],2,FALSE)</f>
        <v>QUOKAR</v>
      </c>
    </row>
    <row r="2729" spans="1:8" ht="20.100000000000001" customHeight="1" x14ac:dyDescent="0.25">
      <c r="A2729" s="3" t="s">
        <v>137</v>
      </c>
      <c r="B2729" s="3" t="s">
        <v>393</v>
      </c>
      <c r="C2729" s="3">
        <v>2022</v>
      </c>
      <c r="D2729" s="4">
        <v>5</v>
      </c>
      <c r="E2729" s="5">
        <v>207.9</v>
      </c>
      <c r="F2729" s="5">
        <v>133.11000000000001</v>
      </c>
      <c r="G2729" s="3" t="str">
        <f>VLOOKUP(Registros[[#This Row],[Cliente]],Cliente_Region[],2,FALSE)</f>
        <v>Canada</v>
      </c>
      <c r="H2729" s="3" t="str">
        <f>VLOOKUP(Registros[[#This Row],[Producto]],Producto[],2,FALSE)</f>
        <v>QUOKAR</v>
      </c>
    </row>
    <row r="2730" spans="1:8" ht="20.100000000000001" customHeight="1" x14ac:dyDescent="0.25">
      <c r="A2730" s="3" t="s">
        <v>137</v>
      </c>
      <c r="B2730" s="3" t="s">
        <v>393</v>
      </c>
      <c r="C2730" s="3">
        <v>2022</v>
      </c>
      <c r="D2730" s="4">
        <v>6</v>
      </c>
      <c r="E2730" s="5">
        <v>242.55</v>
      </c>
      <c r="F2730" s="5">
        <v>155.31</v>
      </c>
      <c r="G2730" s="3" t="str">
        <f>VLOOKUP(Registros[[#This Row],[Cliente]],Cliente_Region[],2,FALSE)</f>
        <v>Canada</v>
      </c>
      <c r="H2730" s="3" t="str">
        <f>VLOOKUP(Registros[[#This Row],[Producto]],Producto[],2,FALSE)</f>
        <v>QUOKAR</v>
      </c>
    </row>
    <row r="2731" spans="1:8" ht="20.100000000000001" customHeight="1" x14ac:dyDescent="0.25">
      <c r="A2731" s="3" t="s">
        <v>308</v>
      </c>
      <c r="B2731" s="3" t="s">
        <v>395</v>
      </c>
      <c r="C2731" s="3">
        <v>2022</v>
      </c>
      <c r="D2731" s="4">
        <v>6</v>
      </c>
      <c r="E2731" s="5">
        <v>0</v>
      </c>
      <c r="F2731" s="5">
        <v>12.43</v>
      </c>
      <c r="G2731" s="3" t="str">
        <f>VLOOKUP(Registros[[#This Row],[Cliente]],Cliente_Region[],2,FALSE)</f>
        <v>Mexico</v>
      </c>
      <c r="H2731" s="3" t="str">
        <f>VLOOKUP(Registros[[#This Row],[Producto]],Producto[],2,FALSE)</f>
        <v>SALF</v>
      </c>
    </row>
    <row r="2732" spans="1:8" ht="20.100000000000001" customHeight="1" x14ac:dyDescent="0.25">
      <c r="A2732" s="3" t="s">
        <v>321</v>
      </c>
      <c r="B2732" s="3" t="s">
        <v>395</v>
      </c>
      <c r="C2732" s="3">
        <v>2022</v>
      </c>
      <c r="D2732" s="4">
        <v>6</v>
      </c>
      <c r="E2732" s="5">
        <v>40.700000000000003</v>
      </c>
      <c r="F2732" s="5">
        <v>-0.09</v>
      </c>
      <c r="G2732" s="3" t="str">
        <f>VLOOKUP(Registros[[#This Row],[Cliente]],Cliente_Region[],2,FALSE)</f>
        <v>Mexico</v>
      </c>
      <c r="H2732" s="3" t="str">
        <f>VLOOKUP(Registros[[#This Row],[Producto]],Producto[],2,FALSE)</f>
        <v>GAMBO</v>
      </c>
    </row>
    <row r="2733" spans="1:8" ht="20.100000000000001" customHeight="1" x14ac:dyDescent="0.25">
      <c r="A2733" s="3" t="s">
        <v>327</v>
      </c>
      <c r="B2733" s="3" t="s">
        <v>395</v>
      </c>
      <c r="C2733" s="3">
        <v>2022</v>
      </c>
      <c r="D2733" s="4">
        <v>6</v>
      </c>
      <c r="E2733" s="5">
        <v>28</v>
      </c>
      <c r="F2733" s="5">
        <v>4.5</v>
      </c>
      <c r="G2733" s="3" t="str">
        <f>VLOOKUP(Registros[[#This Row],[Cliente]],Cliente_Region[],2,FALSE)</f>
        <v>Mexico</v>
      </c>
      <c r="H2733" s="3" t="str">
        <f>VLOOKUP(Registros[[#This Row],[Producto]],Producto[],2,FALSE)</f>
        <v>CHOTUS</v>
      </c>
    </row>
    <row r="2734" spans="1:8" ht="20.100000000000001" customHeight="1" x14ac:dyDescent="0.25">
      <c r="A2734" s="3" t="s">
        <v>11</v>
      </c>
      <c r="B2734" s="3" t="s">
        <v>395</v>
      </c>
      <c r="C2734" s="3">
        <v>2022</v>
      </c>
      <c r="D2734" s="4">
        <v>6</v>
      </c>
      <c r="E2734" s="5">
        <v>12.38</v>
      </c>
      <c r="F2734" s="5">
        <v>6.4</v>
      </c>
      <c r="G2734" s="3" t="str">
        <f>VLOOKUP(Registros[[#This Row],[Cliente]],Cliente_Region[],2,FALSE)</f>
        <v>Mexico</v>
      </c>
      <c r="H2734" s="3" t="str">
        <f>VLOOKUP(Registros[[#This Row],[Producto]],Producto[],2,FALSE)</f>
        <v>DONANY</v>
      </c>
    </row>
    <row r="2735" spans="1:8" ht="20.100000000000001" customHeight="1" x14ac:dyDescent="0.25">
      <c r="A2735" s="3" t="s">
        <v>293</v>
      </c>
      <c r="B2735" s="3" t="s">
        <v>395</v>
      </c>
      <c r="C2735" s="3">
        <v>2022</v>
      </c>
      <c r="D2735" s="4">
        <v>6</v>
      </c>
      <c r="E2735" s="5">
        <v>12.38</v>
      </c>
      <c r="F2735" s="5">
        <v>2.58</v>
      </c>
      <c r="G2735" s="3" t="str">
        <f>VLOOKUP(Registros[[#This Row],[Cliente]],Cliente_Region[],2,FALSE)</f>
        <v>Mexico</v>
      </c>
      <c r="H2735" s="3" t="str">
        <f>VLOOKUP(Registros[[#This Row],[Producto]],Producto[],2,FALSE)</f>
        <v>QUOKAR</v>
      </c>
    </row>
    <row r="2736" spans="1:8" ht="20.100000000000001" customHeight="1" x14ac:dyDescent="0.25">
      <c r="A2736" s="3" t="s">
        <v>390</v>
      </c>
      <c r="B2736" s="3" t="s">
        <v>395</v>
      </c>
      <c r="C2736" s="3">
        <v>2022</v>
      </c>
      <c r="D2736" s="4">
        <v>6</v>
      </c>
      <c r="E2736" s="5">
        <v>27.4</v>
      </c>
      <c r="F2736" s="5">
        <v>9.02</v>
      </c>
      <c r="G2736" s="3" t="str">
        <f>VLOOKUP(Registros[[#This Row],[Cliente]],Cliente_Region[],2,FALSE)</f>
        <v>Mexico</v>
      </c>
      <c r="H2736" s="3" t="str">
        <f>VLOOKUP(Registros[[#This Row],[Producto]],Producto[],2,FALSE)</f>
        <v>SALF</v>
      </c>
    </row>
    <row r="2737" spans="1:8" ht="20.100000000000001" customHeight="1" x14ac:dyDescent="0.25">
      <c r="A2737" s="3" t="s">
        <v>304</v>
      </c>
      <c r="B2737" s="3" t="s">
        <v>395</v>
      </c>
      <c r="C2737" s="3">
        <v>2022</v>
      </c>
      <c r="D2737" s="4">
        <v>6</v>
      </c>
      <c r="E2737" s="5">
        <v>14.3</v>
      </c>
      <c r="F2737" s="5">
        <v>9.81</v>
      </c>
      <c r="G2737" s="3" t="str">
        <f>VLOOKUP(Registros[[#This Row],[Cliente]],Cliente_Region[],2,FALSE)</f>
        <v>Mexico</v>
      </c>
      <c r="H2737" s="3" t="str">
        <f>VLOOKUP(Registros[[#This Row],[Producto]],Producto[],2,FALSE)</f>
        <v>QUOKAR</v>
      </c>
    </row>
    <row r="2738" spans="1:8" ht="20.100000000000001" customHeight="1" x14ac:dyDescent="0.25">
      <c r="A2738" s="3" t="s">
        <v>301</v>
      </c>
      <c r="B2738" s="3" t="s">
        <v>395</v>
      </c>
      <c r="C2738" s="3">
        <v>2022</v>
      </c>
      <c r="D2738" s="4">
        <v>6</v>
      </c>
      <c r="E2738" s="5">
        <v>20</v>
      </c>
      <c r="F2738" s="5">
        <v>10.86</v>
      </c>
      <c r="G2738" s="3" t="str">
        <f>VLOOKUP(Registros[[#This Row],[Cliente]],Cliente_Region[],2,FALSE)</f>
        <v>Mexico</v>
      </c>
      <c r="H2738" s="3" t="str">
        <f>VLOOKUP(Registros[[#This Row],[Producto]],Producto[],2,FALSE)</f>
        <v>CHOTUS</v>
      </c>
    </row>
    <row r="2739" spans="1:8" ht="20.100000000000001" customHeight="1" x14ac:dyDescent="0.25">
      <c r="A2739" s="3" t="s">
        <v>295</v>
      </c>
      <c r="B2739" s="3" t="s">
        <v>395</v>
      </c>
      <c r="C2739" s="3">
        <v>2022</v>
      </c>
      <c r="D2739" s="4">
        <v>6</v>
      </c>
      <c r="E2739" s="5">
        <v>13.75</v>
      </c>
      <c r="F2739" s="5">
        <v>8.23</v>
      </c>
      <c r="G2739" s="3" t="str">
        <f>VLOOKUP(Registros[[#This Row],[Cliente]],Cliente_Region[],2,FALSE)</f>
        <v>Mexico</v>
      </c>
      <c r="H2739" s="3" t="str">
        <f>VLOOKUP(Registros[[#This Row],[Producto]],Producto[],2,FALSE)</f>
        <v>QUOKAR</v>
      </c>
    </row>
    <row r="2740" spans="1:8" ht="20.100000000000001" customHeight="1" x14ac:dyDescent="0.25">
      <c r="A2740" s="3" t="s">
        <v>280</v>
      </c>
      <c r="B2740" s="3" t="s">
        <v>395</v>
      </c>
      <c r="C2740" s="3">
        <v>2022</v>
      </c>
      <c r="D2740" s="4">
        <v>6</v>
      </c>
      <c r="E2740" s="5">
        <v>20.5</v>
      </c>
      <c r="F2740" s="5">
        <v>11.14</v>
      </c>
      <c r="G2740" s="3" t="str">
        <f>VLOOKUP(Registros[[#This Row],[Cliente]],Cliente_Region[],2,FALSE)</f>
        <v>Mexico</v>
      </c>
      <c r="H2740" s="3" t="str">
        <f>VLOOKUP(Registros[[#This Row],[Producto]],Producto[],2,FALSE)</f>
        <v>CHOTUS</v>
      </c>
    </row>
    <row r="2741" spans="1:8" ht="20.100000000000001" customHeight="1" x14ac:dyDescent="0.25">
      <c r="A2741" s="3" t="s">
        <v>282</v>
      </c>
      <c r="B2741" s="3" t="s">
        <v>395</v>
      </c>
      <c r="C2741" s="3">
        <v>2022</v>
      </c>
      <c r="D2741" s="4">
        <v>6</v>
      </c>
      <c r="E2741" s="5">
        <v>16.5</v>
      </c>
      <c r="F2741" s="5">
        <v>9.49</v>
      </c>
      <c r="G2741" s="3" t="str">
        <f>VLOOKUP(Registros[[#This Row],[Cliente]],Cliente_Region[],2,FALSE)</f>
        <v>Mexico</v>
      </c>
      <c r="H2741" s="3" t="str">
        <f>VLOOKUP(Registros[[#This Row],[Producto]],Producto[],2,FALSE)</f>
        <v>DAWNE</v>
      </c>
    </row>
    <row r="2742" spans="1:8" ht="20.100000000000001" customHeight="1" x14ac:dyDescent="0.25">
      <c r="A2742" s="3" t="s">
        <v>135</v>
      </c>
      <c r="B2742" s="3" t="s">
        <v>395</v>
      </c>
      <c r="C2742" s="3">
        <v>2022</v>
      </c>
      <c r="D2742" s="4">
        <v>6</v>
      </c>
      <c r="E2742" s="5">
        <v>22.5</v>
      </c>
      <c r="F2742" s="5">
        <v>15.76</v>
      </c>
      <c r="G2742" s="3" t="str">
        <f>VLOOKUP(Registros[[#This Row],[Cliente]],Cliente_Region[],2,FALSE)</f>
        <v>Mexico</v>
      </c>
      <c r="H2742" s="3" t="str">
        <f>VLOOKUP(Registros[[#This Row],[Producto]],Producto[],2,FALSE)</f>
        <v>GAMBO</v>
      </c>
    </row>
    <row r="2743" spans="1:8" ht="20.100000000000001" customHeight="1" x14ac:dyDescent="0.25">
      <c r="A2743" s="3" t="s">
        <v>136</v>
      </c>
      <c r="B2743" s="3" t="s">
        <v>395</v>
      </c>
      <c r="C2743" s="3">
        <v>2022</v>
      </c>
      <c r="D2743" s="4">
        <v>6</v>
      </c>
      <c r="E2743" s="5">
        <v>21</v>
      </c>
      <c r="F2743" s="5">
        <v>8.5399999999999991</v>
      </c>
      <c r="G2743" s="3" t="str">
        <f>VLOOKUP(Registros[[#This Row],[Cliente]],Cliente_Region[],2,FALSE)</f>
        <v>Mexico</v>
      </c>
      <c r="H2743" s="3" t="str">
        <f>VLOOKUP(Registros[[#This Row],[Producto]],Producto[],2,FALSE)</f>
        <v>CHOTUS</v>
      </c>
    </row>
    <row r="2744" spans="1:8" ht="20.100000000000001" customHeight="1" x14ac:dyDescent="0.25">
      <c r="A2744" s="3" t="s">
        <v>86</v>
      </c>
      <c r="B2744" s="3" t="s">
        <v>395</v>
      </c>
      <c r="C2744" s="3">
        <v>2022</v>
      </c>
      <c r="D2744" s="4">
        <v>6</v>
      </c>
      <c r="E2744" s="5">
        <v>14.58</v>
      </c>
      <c r="F2744" s="5">
        <v>9.2899999999999991</v>
      </c>
      <c r="G2744" s="3" t="str">
        <f>VLOOKUP(Registros[[#This Row],[Cliente]],Cliente_Region[],2,FALSE)</f>
        <v>Mexico</v>
      </c>
      <c r="H2744" s="3" t="str">
        <f>VLOOKUP(Registros[[#This Row],[Producto]],Producto[],2,FALSE)</f>
        <v>GAMBO</v>
      </c>
    </row>
    <row r="2745" spans="1:8" ht="20.100000000000001" customHeight="1" x14ac:dyDescent="0.25">
      <c r="A2745" s="3" t="s">
        <v>88</v>
      </c>
      <c r="B2745" s="3" t="s">
        <v>395</v>
      </c>
      <c r="C2745" s="3">
        <v>2022</v>
      </c>
      <c r="D2745" s="4">
        <v>6</v>
      </c>
      <c r="E2745" s="5">
        <v>13.2</v>
      </c>
      <c r="F2745" s="5">
        <v>10.75</v>
      </c>
      <c r="G2745" s="3" t="str">
        <f>VLOOKUP(Registros[[#This Row],[Cliente]],Cliente_Region[],2,FALSE)</f>
        <v>Mexico</v>
      </c>
      <c r="H2745" s="3" t="str">
        <f>VLOOKUP(Registros[[#This Row],[Producto]],Producto[],2,FALSE)</f>
        <v>DAWNE</v>
      </c>
    </row>
    <row r="2746" spans="1:8" ht="20.100000000000001" customHeight="1" x14ac:dyDescent="0.25">
      <c r="A2746" s="3" t="s">
        <v>90</v>
      </c>
      <c r="B2746" s="3" t="s">
        <v>395</v>
      </c>
      <c r="C2746" s="3">
        <v>2022</v>
      </c>
      <c r="D2746" s="4">
        <v>6</v>
      </c>
      <c r="E2746" s="5">
        <v>15.13</v>
      </c>
      <c r="F2746" s="5">
        <v>12.01</v>
      </c>
      <c r="G2746" s="3" t="str">
        <f>VLOOKUP(Registros[[#This Row],[Cliente]],Cliente_Region[],2,FALSE)</f>
        <v>Mexico</v>
      </c>
      <c r="H2746" s="3" t="str">
        <f>VLOOKUP(Registros[[#This Row],[Producto]],Producto[],2,FALSE)</f>
        <v>CHOTUS</v>
      </c>
    </row>
    <row r="2747" spans="1:8" ht="20.100000000000001" customHeight="1" x14ac:dyDescent="0.25">
      <c r="A2747" s="3" t="s">
        <v>361</v>
      </c>
      <c r="B2747" s="3" t="s">
        <v>396</v>
      </c>
      <c r="C2747" s="3">
        <v>2022</v>
      </c>
      <c r="D2747" s="4">
        <v>3</v>
      </c>
      <c r="E2747" s="5">
        <v>68.2</v>
      </c>
      <c r="F2747" s="5">
        <v>32.909999999999997</v>
      </c>
      <c r="G2747" s="3" t="str">
        <f>VLOOKUP(Registros[[#This Row],[Cliente]],Cliente_Region[],2,FALSE)</f>
        <v>Mexico</v>
      </c>
      <c r="H2747" s="3" t="str">
        <f>VLOOKUP(Registros[[#This Row],[Producto]],Producto[],2,FALSE)</f>
        <v>CHOTUS</v>
      </c>
    </row>
    <row r="2748" spans="1:8" ht="20.100000000000001" customHeight="1" x14ac:dyDescent="0.25">
      <c r="A2748" s="3" t="s">
        <v>13</v>
      </c>
      <c r="B2748" s="3" t="s">
        <v>396</v>
      </c>
      <c r="C2748" s="3">
        <v>2022</v>
      </c>
      <c r="D2748" s="4">
        <v>3</v>
      </c>
      <c r="E2748" s="5">
        <v>31</v>
      </c>
      <c r="F2748" s="5">
        <v>11.88</v>
      </c>
      <c r="G2748" s="3" t="str">
        <f>VLOOKUP(Registros[[#This Row],[Cliente]],Cliente_Region[],2,FALSE)</f>
        <v>Mexico</v>
      </c>
      <c r="H2748" s="3" t="str">
        <f>VLOOKUP(Registros[[#This Row],[Producto]],Producto[],2,FALSE)</f>
        <v>DAWNE</v>
      </c>
    </row>
    <row r="2749" spans="1:8" ht="20.100000000000001" customHeight="1" x14ac:dyDescent="0.25">
      <c r="A2749" s="3" t="s">
        <v>385</v>
      </c>
      <c r="B2749" s="3" t="s">
        <v>396</v>
      </c>
      <c r="C2749" s="3">
        <v>2022</v>
      </c>
      <c r="D2749" s="4">
        <v>1</v>
      </c>
      <c r="E2749" s="5">
        <v>116</v>
      </c>
      <c r="F2749" s="5">
        <v>27.95</v>
      </c>
      <c r="G2749" s="3" t="str">
        <f>VLOOKUP(Registros[[#This Row],[Cliente]],Cliente_Region[],2,FALSE)</f>
        <v>Mexico</v>
      </c>
      <c r="H2749" s="3" t="str">
        <f>VLOOKUP(Registros[[#This Row],[Producto]],Producto[],2,FALSE)</f>
        <v>GAMBO</v>
      </c>
    </row>
    <row r="2750" spans="1:8" ht="20.100000000000001" customHeight="1" x14ac:dyDescent="0.25">
      <c r="A2750" s="3" t="s">
        <v>200</v>
      </c>
      <c r="B2750" s="3" t="s">
        <v>396</v>
      </c>
      <c r="C2750" s="3">
        <v>2022</v>
      </c>
      <c r="D2750" s="4">
        <v>2</v>
      </c>
      <c r="E2750" s="5">
        <v>136.4</v>
      </c>
      <c r="F2750" s="5">
        <v>46.82</v>
      </c>
      <c r="G2750" s="3" t="str">
        <f>VLOOKUP(Registros[[#This Row],[Cliente]],Cliente_Region[],2,FALSE)</f>
        <v>Mexico</v>
      </c>
      <c r="H2750" s="3" t="str">
        <f>VLOOKUP(Registros[[#This Row],[Producto]],Producto[],2,FALSE)</f>
        <v>QUOKAR</v>
      </c>
    </row>
    <row r="2751" spans="1:8" ht="20.100000000000001" customHeight="1" x14ac:dyDescent="0.25">
      <c r="A2751" s="3" t="s">
        <v>200</v>
      </c>
      <c r="B2751" s="3" t="s">
        <v>396</v>
      </c>
      <c r="C2751" s="3">
        <v>2022</v>
      </c>
      <c r="D2751" s="4">
        <v>3</v>
      </c>
      <c r="E2751" s="5">
        <v>51.15</v>
      </c>
      <c r="F2751" s="5">
        <v>11.54</v>
      </c>
      <c r="G2751" s="3" t="str">
        <f>VLOOKUP(Registros[[#This Row],[Cliente]],Cliente_Region[],2,FALSE)</f>
        <v>Mexico</v>
      </c>
      <c r="H2751" s="3" t="str">
        <f>VLOOKUP(Registros[[#This Row],[Producto]],Producto[],2,FALSE)</f>
        <v>QUOKAR</v>
      </c>
    </row>
    <row r="2752" spans="1:8" ht="20.100000000000001" customHeight="1" x14ac:dyDescent="0.25">
      <c r="A2752" s="3" t="s">
        <v>200</v>
      </c>
      <c r="B2752" s="3" t="s">
        <v>396</v>
      </c>
      <c r="C2752" s="3">
        <v>2022</v>
      </c>
      <c r="D2752" s="4">
        <v>4</v>
      </c>
      <c r="E2752" s="5">
        <v>85.25</v>
      </c>
      <c r="F2752" s="5">
        <v>28.41</v>
      </c>
      <c r="G2752" s="3" t="str">
        <f>VLOOKUP(Registros[[#This Row],[Cliente]],Cliente_Region[],2,FALSE)</f>
        <v>Mexico</v>
      </c>
      <c r="H2752" s="3" t="str">
        <f>VLOOKUP(Registros[[#This Row],[Producto]],Producto[],2,FALSE)</f>
        <v>QUOKAR</v>
      </c>
    </row>
    <row r="2753" spans="1:8" ht="20.100000000000001" customHeight="1" x14ac:dyDescent="0.25">
      <c r="A2753" s="3" t="s">
        <v>200</v>
      </c>
      <c r="B2753" s="3" t="s">
        <v>396</v>
      </c>
      <c r="C2753" s="3">
        <v>2022</v>
      </c>
      <c r="D2753" s="4">
        <v>5</v>
      </c>
      <c r="E2753" s="5">
        <v>68.2</v>
      </c>
      <c r="F2753" s="5">
        <v>22.39</v>
      </c>
      <c r="G2753" s="3" t="str">
        <f>VLOOKUP(Registros[[#This Row],[Cliente]],Cliente_Region[],2,FALSE)</f>
        <v>Mexico</v>
      </c>
      <c r="H2753" s="3" t="str">
        <f>VLOOKUP(Registros[[#This Row],[Producto]],Producto[],2,FALSE)</f>
        <v>QUOKAR</v>
      </c>
    </row>
    <row r="2754" spans="1:8" ht="20.100000000000001" customHeight="1" x14ac:dyDescent="0.25">
      <c r="A2754" s="3" t="s">
        <v>200</v>
      </c>
      <c r="B2754" s="3" t="s">
        <v>396</v>
      </c>
      <c r="C2754" s="3">
        <v>2022</v>
      </c>
      <c r="D2754" s="4">
        <v>6</v>
      </c>
      <c r="E2754" s="5">
        <v>85.25</v>
      </c>
      <c r="F2754" s="5">
        <v>22.31</v>
      </c>
      <c r="G2754" s="3" t="str">
        <f>VLOOKUP(Registros[[#This Row],[Cliente]],Cliente_Region[],2,FALSE)</f>
        <v>Mexico</v>
      </c>
      <c r="H2754" s="3" t="str">
        <f>VLOOKUP(Registros[[#This Row],[Producto]],Producto[],2,FALSE)</f>
        <v>QUOKAR</v>
      </c>
    </row>
    <row r="2755" spans="1:8" ht="20.100000000000001" customHeight="1" x14ac:dyDescent="0.25">
      <c r="A2755" s="3" t="s">
        <v>308</v>
      </c>
      <c r="B2755" s="3" t="s">
        <v>396</v>
      </c>
      <c r="C2755" s="3">
        <v>2022</v>
      </c>
      <c r="D2755" s="4">
        <v>1</v>
      </c>
      <c r="E2755" s="5">
        <v>57.25</v>
      </c>
      <c r="F2755" s="5">
        <v>23.72</v>
      </c>
      <c r="G2755" s="3" t="str">
        <f>VLOOKUP(Registros[[#This Row],[Cliente]],Cliente_Region[],2,FALSE)</f>
        <v>Mexico</v>
      </c>
      <c r="H2755" s="3" t="str">
        <f>VLOOKUP(Registros[[#This Row],[Producto]],Producto[],2,FALSE)</f>
        <v>SALF</v>
      </c>
    </row>
    <row r="2756" spans="1:8" ht="20.100000000000001" customHeight="1" x14ac:dyDescent="0.25">
      <c r="A2756" s="3" t="s">
        <v>309</v>
      </c>
      <c r="B2756" s="3" t="s">
        <v>396</v>
      </c>
      <c r="C2756" s="3">
        <v>2022</v>
      </c>
      <c r="D2756" s="4">
        <v>2</v>
      </c>
      <c r="E2756" s="5">
        <v>51.72</v>
      </c>
      <c r="F2756" s="5">
        <v>24.9</v>
      </c>
      <c r="G2756" s="3" t="str">
        <f>VLOOKUP(Registros[[#This Row],[Cliente]],Cliente_Region[],2,FALSE)</f>
        <v>Mexico</v>
      </c>
      <c r="H2756" s="3" t="str">
        <f>VLOOKUP(Registros[[#This Row],[Producto]],Producto[],2,FALSE)</f>
        <v>SALF</v>
      </c>
    </row>
    <row r="2757" spans="1:8" ht="20.100000000000001" customHeight="1" x14ac:dyDescent="0.25">
      <c r="A2757" s="3" t="s">
        <v>309</v>
      </c>
      <c r="B2757" s="3" t="s">
        <v>396</v>
      </c>
      <c r="C2757" s="3">
        <v>2022</v>
      </c>
      <c r="D2757" s="4">
        <v>3</v>
      </c>
      <c r="E2757" s="5">
        <v>21.5</v>
      </c>
      <c r="F2757" s="5">
        <v>4.04</v>
      </c>
      <c r="G2757" s="3" t="str">
        <f>VLOOKUP(Registros[[#This Row],[Cliente]],Cliente_Region[],2,FALSE)</f>
        <v>Mexico</v>
      </c>
      <c r="H2757" s="3" t="str">
        <f>VLOOKUP(Registros[[#This Row],[Producto]],Producto[],2,FALSE)</f>
        <v>SALF</v>
      </c>
    </row>
    <row r="2758" spans="1:8" ht="20.100000000000001" customHeight="1" x14ac:dyDescent="0.25">
      <c r="A2758" s="3" t="s">
        <v>309</v>
      </c>
      <c r="B2758" s="3" t="s">
        <v>396</v>
      </c>
      <c r="C2758" s="3">
        <v>2022</v>
      </c>
      <c r="D2758" s="4">
        <v>4</v>
      </c>
      <c r="E2758" s="5">
        <v>60.5</v>
      </c>
      <c r="F2758" s="5">
        <v>18.53</v>
      </c>
      <c r="G2758" s="3" t="str">
        <f>VLOOKUP(Registros[[#This Row],[Cliente]],Cliente_Region[],2,FALSE)</f>
        <v>Mexico</v>
      </c>
      <c r="H2758" s="3" t="str">
        <f>VLOOKUP(Registros[[#This Row],[Producto]],Producto[],2,FALSE)</f>
        <v>SALF</v>
      </c>
    </row>
    <row r="2759" spans="1:8" ht="20.100000000000001" customHeight="1" x14ac:dyDescent="0.25">
      <c r="A2759" s="3" t="s">
        <v>309</v>
      </c>
      <c r="B2759" s="3" t="s">
        <v>396</v>
      </c>
      <c r="C2759" s="3">
        <v>2022</v>
      </c>
      <c r="D2759" s="4">
        <v>5</v>
      </c>
      <c r="E2759" s="5">
        <v>52</v>
      </c>
      <c r="F2759" s="5">
        <v>25.17</v>
      </c>
      <c r="G2759" s="3" t="str">
        <f>VLOOKUP(Registros[[#This Row],[Cliente]],Cliente_Region[],2,FALSE)</f>
        <v>Mexico</v>
      </c>
      <c r="H2759" s="3" t="str">
        <f>VLOOKUP(Registros[[#This Row],[Producto]],Producto[],2,FALSE)</f>
        <v>SALF</v>
      </c>
    </row>
    <row r="2760" spans="1:8" ht="20.100000000000001" customHeight="1" x14ac:dyDescent="0.25">
      <c r="A2760" s="3" t="s">
        <v>309</v>
      </c>
      <c r="B2760" s="3" t="s">
        <v>396</v>
      </c>
      <c r="C2760" s="3">
        <v>2022</v>
      </c>
      <c r="D2760" s="4">
        <v>6</v>
      </c>
      <c r="E2760" s="5">
        <v>26</v>
      </c>
      <c r="F2760" s="5">
        <v>5.93</v>
      </c>
      <c r="G2760" s="3" t="str">
        <f>VLOOKUP(Registros[[#This Row],[Cliente]],Cliente_Region[],2,FALSE)</f>
        <v>Mexico</v>
      </c>
      <c r="H2760" s="3" t="str">
        <f>VLOOKUP(Registros[[#This Row],[Producto]],Producto[],2,FALSE)</f>
        <v>SALF</v>
      </c>
    </row>
    <row r="2761" spans="1:8" ht="20.100000000000001" customHeight="1" x14ac:dyDescent="0.25">
      <c r="A2761" s="3" t="s">
        <v>327</v>
      </c>
      <c r="B2761" s="3" t="s">
        <v>396</v>
      </c>
      <c r="C2761" s="3">
        <v>2022</v>
      </c>
      <c r="D2761" s="4">
        <v>4</v>
      </c>
      <c r="E2761" s="5">
        <v>28</v>
      </c>
      <c r="F2761" s="5">
        <v>4.51</v>
      </c>
      <c r="G2761" s="3" t="str">
        <f>VLOOKUP(Registros[[#This Row],[Cliente]],Cliente_Region[],2,FALSE)</f>
        <v>Mexico</v>
      </c>
      <c r="H2761" s="3" t="str">
        <f>VLOOKUP(Registros[[#This Row],[Producto]],Producto[],2,FALSE)</f>
        <v>CHOTUS</v>
      </c>
    </row>
    <row r="2762" spans="1:8" ht="20.100000000000001" customHeight="1" x14ac:dyDescent="0.25">
      <c r="A2762" s="3" t="s">
        <v>11</v>
      </c>
      <c r="B2762" s="3" t="s">
        <v>396</v>
      </c>
      <c r="C2762" s="3">
        <v>2022</v>
      </c>
      <c r="D2762" s="4">
        <v>1</v>
      </c>
      <c r="E2762" s="5">
        <v>22.25</v>
      </c>
      <c r="F2762" s="5">
        <v>10.29</v>
      </c>
      <c r="G2762" s="3" t="str">
        <f>VLOOKUP(Registros[[#This Row],[Cliente]],Cliente_Region[],2,FALSE)</f>
        <v>Mexico</v>
      </c>
      <c r="H2762" s="3" t="str">
        <f>VLOOKUP(Registros[[#This Row],[Producto]],Producto[],2,FALSE)</f>
        <v>DONANY</v>
      </c>
    </row>
    <row r="2763" spans="1:8" ht="20.100000000000001" customHeight="1" x14ac:dyDescent="0.25">
      <c r="A2763" s="3" t="s">
        <v>292</v>
      </c>
      <c r="B2763" s="3" t="s">
        <v>396</v>
      </c>
      <c r="C2763" s="3">
        <v>2022</v>
      </c>
      <c r="D2763" s="4">
        <v>2</v>
      </c>
      <c r="E2763" s="5">
        <v>24.76</v>
      </c>
      <c r="F2763" s="5">
        <v>12.8</v>
      </c>
      <c r="G2763" s="3" t="str">
        <f>VLOOKUP(Registros[[#This Row],[Cliente]],Cliente_Region[],2,FALSE)</f>
        <v>Mexico</v>
      </c>
      <c r="H2763" s="3" t="str">
        <f>VLOOKUP(Registros[[#This Row],[Producto]],Producto[],2,FALSE)</f>
        <v>QUOKAR</v>
      </c>
    </row>
    <row r="2764" spans="1:8" ht="20.100000000000001" customHeight="1" x14ac:dyDescent="0.25">
      <c r="A2764" s="3" t="s">
        <v>292</v>
      </c>
      <c r="B2764" s="3" t="s">
        <v>396</v>
      </c>
      <c r="C2764" s="3">
        <v>2022</v>
      </c>
      <c r="D2764" s="4">
        <v>3</v>
      </c>
      <c r="E2764" s="5">
        <v>20.5</v>
      </c>
      <c r="F2764" s="5">
        <v>8.5399999999999991</v>
      </c>
      <c r="G2764" s="3" t="str">
        <f>VLOOKUP(Registros[[#This Row],[Cliente]],Cliente_Region[],2,FALSE)</f>
        <v>Mexico</v>
      </c>
      <c r="H2764" s="3" t="str">
        <f>VLOOKUP(Registros[[#This Row],[Producto]],Producto[],2,FALSE)</f>
        <v>QUOKAR</v>
      </c>
    </row>
    <row r="2765" spans="1:8" ht="20.100000000000001" customHeight="1" x14ac:dyDescent="0.25">
      <c r="A2765" s="3" t="s">
        <v>292</v>
      </c>
      <c r="B2765" s="3" t="s">
        <v>396</v>
      </c>
      <c r="C2765" s="3">
        <v>2022</v>
      </c>
      <c r="D2765" s="4">
        <v>4</v>
      </c>
      <c r="E2765" s="5">
        <v>60.25</v>
      </c>
      <c r="F2765" s="5">
        <v>15.81</v>
      </c>
      <c r="G2765" s="3" t="str">
        <f>VLOOKUP(Registros[[#This Row],[Cliente]],Cliente_Region[],2,FALSE)</f>
        <v>Mexico</v>
      </c>
      <c r="H2765" s="3" t="str">
        <f>VLOOKUP(Registros[[#This Row],[Producto]],Producto[],2,FALSE)</f>
        <v>QUOKAR</v>
      </c>
    </row>
    <row r="2766" spans="1:8" ht="20.100000000000001" customHeight="1" x14ac:dyDescent="0.25">
      <c r="A2766" s="3" t="s">
        <v>292</v>
      </c>
      <c r="B2766" s="3" t="s">
        <v>396</v>
      </c>
      <c r="C2766" s="3">
        <v>2022</v>
      </c>
      <c r="D2766" s="4">
        <v>5</v>
      </c>
      <c r="E2766" s="5">
        <v>25</v>
      </c>
      <c r="F2766" s="5">
        <v>13.04</v>
      </c>
      <c r="G2766" s="3" t="str">
        <f>VLOOKUP(Registros[[#This Row],[Cliente]],Cliente_Region[],2,FALSE)</f>
        <v>Mexico</v>
      </c>
      <c r="H2766" s="3" t="str">
        <f>VLOOKUP(Registros[[#This Row],[Producto]],Producto[],2,FALSE)</f>
        <v>QUOKAR</v>
      </c>
    </row>
    <row r="2767" spans="1:8" ht="20.100000000000001" customHeight="1" x14ac:dyDescent="0.25">
      <c r="A2767" s="3" t="s">
        <v>292</v>
      </c>
      <c r="B2767" s="3" t="s">
        <v>396</v>
      </c>
      <c r="C2767" s="3">
        <v>2022</v>
      </c>
      <c r="D2767" s="4">
        <v>6</v>
      </c>
      <c r="E2767" s="5">
        <v>12.5</v>
      </c>
      <c r="F2767" s="5">
        <v>6.52</v>
      </c>
      <c r="G2767" s="3" t="str">
        <f>VLOOKUP(Registros[[#This Row],[Cliente]],Cliente_Region[],2,FALSE)</f>
        <v>Mexico</v>
      </c>
      <c r="H2767" s="3" t="str">
        <f>VLOOKUP(Registros[[#This Row],[Producto]],Producto[],2,FALSE)</f>
        <v>QUOKAR</v>
      </c>
    </row>
    <row r="2768" spans="1:8" ht="20.100000000000001" customHeight="1" x14ac:dyDescent="0.25">
      <c r="A2768" s="3" t="s">
        <v>323</v>
      </c>
      <c r="B2768" s="3" t="s">
        <v>396</v>
      </c>
      <c r="C2768" s="3">
        <v>2022</v>
      </c>
      <c r="D2768" s="4">
        <v>1</v>
      </c>
      <c r="E2768" s="5">
        <v>119</v>
      </c>
      <c r="F2768" s="5">
        <v>29.25</v>
      </c>
      <c r="G2768" s="3" t="str">
        <f>VLOOKUP(Registros[[#This Row],[Cliente]],Cliente_Region[],2,FALSE)</f>
        <v>Mexico</v>
      </c>
      <c r="H2768" s="3" t="str">
        <f>VLOOKUP(Registros[[#This Row],[Producto]],Producto[],2,FALSE)</f>
        <v>GAMBO</v>
      </c>
    </row>
    <row r="2769" spans="1:8" ht="20.100000000000001" customHeight="1" x14ac:dyDescent="0.25">
      <c r="A2769" s="3" t="s">
        <v>324</v>
      </c>
      <c r="B2769" s="3" t="s">
        <v>396</v>
      </c>
      <c r="C2769" s="3">
        <v>2022</v>
      </c>
      <c r="D2769" s="4">
        <v>2</v>
      </c>
      <c r="E2769" s="5">
        <v>154</v>
      </c>
      <c r="F2769" s="5">
        <v>52.68</v>
      </c>
      <c r="G2769" s="3" t="str">
        <f>VLOOKUP(Registros[[#This Row],[Cliente]],Cliente_Region[],2,FALSE)</f>
        <v>Mexico</v>
      </c>
      <c r="H2769" s="3" t="str">
        <f>VLOOKUP(Registros[[#This Row],[Producto]],Producto[],2,FALSE)</f>
        <v>DONANY</v>
      </c>
    </row>
    <row r="2770" spans="1:8" ht="20.100000000000001" customHeight="1" x14ac:dyDescent="0.25">
      <c r="A2770" s="3" t="s">
        <v>324</v>
      </c>
      <c r="B2770" s="3" t="s">
        <v>396</v>
      </c>
      <c r="C2770" s="3">
        <v>2022</v>
      </c>
      <c r="D2770" s="4">
        <v>3</v>
      </c>
      <c r="E2770" s="5">
        <v>57.75</v>
      </c>
      <c r="F2770" s="5">
        <v>13.36</v>
      </c>
      <c r="G2770" s="3" t="str">
        <f>VLOOKUP(Registros[[#This Row],[Cliente]],Cliente_Region[],2,FALSE)</f>
        <v>Mexico</v>
      </c>
      <c r="H2770" s="3" t="str">
        <f>VLOOKUP(Registros[[#This Row],[Producto]],Producto[],2,FALSE)</f>
        <v>DONANY</v>
      </c>
    </row>
    <row r="2771" spans="1:8" ht="20.100000000000001" customHeight="1" x14ac:dyDescent="0.25">
      <c r="A2771" s="3" t="s">
        <v>324</v>
      </c>
      <c r="B2771" s="3" t="s">
        <v>396</v>
      </c>
      <c r="C2771" s="3">
        <v>2022</v>
      </c>
      <c r="D2771" s="4">
        <v>4</v>
      </c>
      <c r="E2771" s="5">
        <v>57.75</v>
      </c>
      <c r="F2771" s="5">
        <v>20.22</v>
      </c>
      <c r="G2771" s="3" t="str">
        <f>VLOOKUP(Registros[[#This Row],[Cliente]],Cliente_Region[],2,FALSE)</f>
        <v>Mexico</v>
      </c>
      <c r="H2771" s="3" t="str">
        <f>VLOOKUP(Registros[[#This Row],[Producto]],Producto[],2,FALSE)</f>
        <v>DONANY</v>
      </c>
    </row>
    <row r="2772" spans="1:8" ht="20.100000000000001" customHeight="1" x14ac:dyDescent="0.25">
      <c r="A2772" s="3" t="s">
        <v>324</v>
      </c>
      <c r="B2772" s="3" t="s">
        <v>396</v>
      </c>
      <c r="C2772" s="3">
        <v>2022</v>
      </c>
      <c r="D2772" s="4">
        <v>5</v>
      </c>
      <c r="E2772" s="5">
        <v>57.75</v>
      </c>
      <c r="F2772" s="5">
        <v>20.38</v>
      </c>
      <c r="G2772" s="3" t="str">
        <f>VLOOKUP(Registros[[#This Row],[Cliente]],Cliente_Region[],2,FALSE)</f>
        <v>Mexico</v>
      </c>
      <c r="H2772" s="3" t="str">
        <f>VLOOKUP(Registros[[#This Row],[Producto]],Producto[],2,FALSE)</f>
        <v>DONANY</v>
      </c>
    </row>
    <row r="2773" spans="1:8" ht="20.100000000000001" customHeight="1" x14ac:dyDescent="0.25">
      <c r="A2773" s="3" t="s">
        <v>324</v>
      </c>
      <c r="B2773" s="3" t="s">
        <v>396</v>
      </c>
      <c r="C2773" s="3">
        <v>2022</v>
      </c>
      <c r="D2773" s="4">
        <v>6</v>
      </c>
      <c r="E2773" s="5">
        <v>77</v>
      </c>
      <c r="F2773" s="5">
        <v>27.2</v>
      </c>
      <c r="G2773" s="3" t="str">
        <f>VLOOKUP(Registros[[#This Row],[Cliente]],Cliente_Region[],2,FALSE)</f>
        <v>Mexico</v>
      </c>
      <c r="H2773" s="3" t="str">
        <f>VLOOKUP(Registros[[#This Row],[Producto]],Producto[],2,FALSE)</f>
        <v>DONANY</v>
      </c>
    </row>
    <row r="2774" spans="1:8" ht="20.100000000000001" customHeight="1" x14ac:dyDescent="0.25">
      <c r="A2774" s="3" t="s">
        <v>293</v>
      </c>
      <c r="B2774" s="3" t="s">
        <v>396</v>
      </c>
      <c r="C2774" s="3">
        <v>2022</v>
      </c>
      <c r="D2774" s="4">
        <v>1</v>
      </c>
      <c r="E2774" s="5">
        <v>33.75</v>
      </c>
      <c r="F2774" s="5">
        <v>2.7</v>
      </c>
      <c r="G2774" s="3" t="str">
        <f>VLOOKUP(Registros[[#This Row],[Cliente]],Cliente_Region[],2,FALSE)</f>
        <v>Mexico</v>
      </c>
      <c r="H2774" s="3" t="str">
        <f>VLOOKUP(Registros[[#This Row],[Producto]],Producto[],2,FALSE)</f>
        <v>QUOKAR</v>
      </c>
    </row>
    <row r="2775" spans="1:8" ht="20.100000000000001" customHeight="1" x14ac:dyDescent="0.25">
      <c r="A2775" s="3" t="s">
        <v>294</v>
      </c>
      <c r="B2775" s="3" t="s">
        <v>396</v>
      </c>
      <c r="C2775" s="3">
        <v>2022</v>
      </c>
      <c r="D2775" s="4">
        <v>2</v>
      </c>
      <c r="E2775" s="5">
        <v>12.38</v>
      </c>
      <c r="F2775" s="5">
        <v>2.58</v>
      </c>
      <c r="G2775" s="3" t="str">
        <f>VLOOKUP(Registros[[#This Row],[Cliente]],Cliente_Region[],2,FALSE)</f>
        <v>Mexico</v>
      </c>
      <c r="H2775" s="3" t="str">
        <f>VLOOKUP(Registros[[#This Row],[Producto]],Producto[],2,FALSE)</f>
        <v>CHOTUS</v>
      </c>
    </row>
    <row r="2776" spans="1:8" ht="20.100000000000001" customHeight="1" x14ac:dyDescent="0.25">
      <c r="A2776" s="3" t="s">
        <v>294</v>
      </c>
      <c r="B2776" s="3" t="s">
        <v>396</v>
      </c>
      <c r="C2776" s="3">
        <v>2022</v>
      </c>
      <c r="D2776" s="4">
        <v>3</v>
      </c>
      <c r="E2776" s="5">
        <v>23.63</v>
      </c>
      <c r="F2776" s="5">
        <v>2.64</v>
      </c>
      <c r="G2776" s="3" t="str">
        <f>VLOOKUP(Registros[[#This Row],[Cliente]],Cliente_Region[],2,FALSE)</f>
        <v>Mexico</v>
      </c>
      <c r="H2776" s="3" t="str">
        <f>VLOOKUP(Registros[[#This Row],[Producto]],Producto[],2,FALSE)</f>
        <v>CHOTUS</v>
      </c>
    </row>
    <row r="2777" spans="1:8" ht="20.100000000000001" customHeight="1" x14ac:dyDescent="0.25">
      <c r="A2777" s="3" t="s">
        <v>294</v>
      </c>
      <c r="B2777" s="3" t="s">
        <v>396</v>
      </c>
      <c r="C2777" s="3">
        <v>2022</v>
      </c>
      <c r="D2777" s="4">
        <v>4</v>
      </c>
      <c r="E2777" s="5">
        <v>37.25</v>
      </c>
      <c r="F2777" s="5">
        <v>8.14</v>
      </c>
      <c r="G2777" s="3" t="str">
        <f>VLOOKUP(Registros[[#This Row],[Cliente]],Cliente_Region[],2,FALSE)</f>
        <v>Mexico</v>
      </c>
      <c r="H2777" s="3" t="str">
        <f>VLOOKUP(Registros[[#This Row],[Producto]],Producto[],2,FALSE)</f>
        <v>CHOTUS</v>
      </c>
    </row>
    <row r="2778" spans="1:8" ht="20.100000000000001" customHeight="1" x14ac:dyDescent="0.25">
      <c r="A2778" s="3" t="s">
        <v>294</v>
      </c>
      <c r="B2778" s="3" t="s">
        <v>396</v>
      </c>
      <c r="C2778" s="3">
        <v>2022</v>
      </c>
      <c r="D2778" s="4">
        <v>5</v>
      </c>
      <c r="E2778" s="5">
        <v>39</v>
      </c>
      <c r="F2778" s="5">
        <v>3.45</v>
      </c>
      <c r="G2778" s="3" t="str">
        <f>VLOOKUP(Registros[[#This Row],[Cliente]],Cliente_Region[],2,FALSE)</f>
        <v>Mexico</v>
      </c>
      <c r="H2778" s="3" t="str">
        <f>VLOOKUP(Registros[[#This Row],[Producto]],Producto[],2,FALSE)</f>
        <v>CHOTUS</v>
      </c>
    </row>
    <row r="2779" spans="1:8" ht="20.100000000000001" customHeight="1" x14ac:dyDescent="0.25">
      <c r="A2779" s="3" t="s">
        <v>294</v>
      </c>
      <c r="B2779" s="3" t="s">
        <v>396</v>
      </c>
      <c r="C2779" s="3">
        <v>2022</v>
      </c>
      <c r="D2779" s="4">
        <v>6</v>
      </c>
      <c r="E2779" s="5">
        <v>26</v>
      </c>
      <c r="F2779" s="5">
        <v>6.4</v>
      </c>
      <c r="G2779" s="3" t="str">
        <f>VLOOKUP(Registros[[#This Row],[Cliente]],Cliente_Region[],2,FALSE)</f>
        <v>Mexico</v>
      </c>
      <c r="H2779" s="3" t="str">
        <f>VLOOKUP(Registros[[#This Row],[Producto]],Producto[],2,FALSE)</f>
        <v>CHOTUS</v>
      </c>
    </row>
    <row r="2780" spans="1:8" ht="20.100000000000001" customHeight="1" x14ac:dyDescent="0.25">
      <c r="A2780" s="3" t="s">
        <v>390</v>
      </c>
      <c r="B2780" s="3" t="s">
        <v>396</v>
      </c>
      <c r="C2780" s="3">
        <v>2022</v>
      </c>
      <c r="D2780" s="4">
        <v>4</v>
      </c>
      <c r="E2780" s="5">
        <v>27.4</v>
      </c>
      <c r="F2780" s="5">
        <v>9.02</v>
      </c>
      <c r="G2780" s="3" t="str">
        <f>VLOOKUP(Registros[[#This Row],[Cliente]],Cliente_Region[],2,FALSE)</f>
        <v>Mexico</v>
      </c>
      <c r="H2780" s="3" t="str">
        <f>VLOOKUP(Registros[[#This Row],[Producto]],Producto[],2,FALSE)</f>
        <v>SALF</v>
      </c>
    </row>
    <row r="2781" spans="1:8" ht="20.100000000000001" customHeight="1" x14ac:dyDescent="0.25">
      <c r="A2781" s="3" t="s">
        <v>304</v>
      </c>
      <c r="B2781" s="3" t="s">
        <v>396</v>
      </c>
      <c r="C2781" s="3">
        <v>2022</v>
      </c>
      <c r="D2781" s="4">
        <v>1</v>
      </c>
      <c r="E2781" s="5">
        <v>37</v>
      </c>
      <c r="F2781" s="5">
        <v>23.53</v>
      </c>
      <c r="G2781" s="3" t="str">
        <f>VLOOKUP(Registros[[#This Row],[Cliente]],Cliente_Region[],2,FALSE)</f>
        <v>Mexico</v>
      </c>
      <c r="H2781" s="3" t="str">
        <f>VLOOKUP(Registros[[#This Row],[Producto]],Producto[],2,FALSE)</f>
        <v>QUOKAR</v>
      </c>
    </row>
    <row r="2782" spans="1:8" ht="20.100000000000001" customHeight="1" x14ac:dyDescent="0.25">
      <c r="A2782" s="3" t="s">
        <v>305</v>
      </c>
      <c r="B2782" s="3" t="s">
        <v>396</v>
      </c>
      <c r="C2782" s="3">
        <v>2022</v>
      </c>
      <c r="D2782" s="4">
        <v>2</v>
      </c>
      <c r="E2782" s="5">
        <v>28.6</v>
      </c>
      <c r="F2782" s="5">
        <v>19.62</v>
      </c>
      <c r="G2782" s="3" t="str">
        <f>VLOOKUP(Registros[[#This Row],[Cliente]],Cliente_Region[],2,FALSE)</f>
        <v>Mexico</v>
      </c>
      <c r="H2782" s="3" t="str">
        <f>VLOOKUP(Registros[[#This Row],[Producto]],Producto[],2,FALSE)</f>
        <v>DAWNE</v>
      </c>
    </row>
    <row r="2783" spans="1:8" ht="20.100000000000001" customHeight="1" x14ac:dyDescent="0.25">
      <c r="A2783" s="3" t="s">
        <v>305</v>
      </c>
      <c r="B2783" s="3" t="s">
        <v>396</v>
      </c>
      <c r="C2783" s="3">
        <v>2022</v>
      </c>
      <c r="D2783" s="4">
        <v>3</v>
      </c>
      <c r="E2783" s="5">
        <v>37.799999999999997</v>
      </c>
      <c r="F2783" s="5">
        <v>24.33</v>
      </c>
      <c r="G2783" s="3" t="str">
        <f>VLOOKUP(Registros[[#This Row],[Cliente]],Cliente_Region[],2,FALSE)</f>
        <v>Mexico</v>
      </c>
      <c r="H2783" s="3" t="str">
        <f>VLOOKUP(Registros[[#This Row],[Producto]],Producto[],2,FALSE)</f>
        <v>DAWNE</v>
      </c>
    </row>
    <row r="2784" spans="1:8" ht="20.100000000000001" customHeight="1" x14ac:dyDescent="0.25">
      <c r="A2784" s="3" t="s">
        <v>305</v>
      </c>
      <c r="B2784" s="3" t="s">
        <v>396</v>
      </c>
      <c r="C2784" s="3">
        <v>2022</v>
      </c>
      <c r="D2784" s="4">
        <v>4</v>
      </c>
      <c r="E2784" s="5">
        <v>69.75</v>
      </c>
      <c r="F2784" s="5">
        <v>26.67</v>
      </c>
      <c r="G2784" s="3" t="str">
        <f>VLOOKUP(Registros[[#This Row],[Cliente]],Cliente_Region[],2,FALSE)</f>
        <v>Mexico</v>
      </c>
      <c r="H2784" s="3" t="str">
        <f>VLOOKUP(Registros[[#This Row],[Producto]],Producto[],2,FALSE)</f>
        <v>DAWNE</v>
      </c>
    </row>
    <row r="2785" spans="1:8" ht="20.100000000000001" customHeight="1" x14ac:dyDescent="0.25">
      <c r="A2785" s="3" t="s">
        <v>305</v>
      </c>
      <c r="B2785" s="3" t="s">
        <v>396</v>
      </c>
      <c r="C2785" s="3">
        <v>2022</v>
      </c>
      <c r="D2785" s="4">
        <v>5</v>
      </c>
      <c r="E2785" s="5">
        <v>29</v>
      </c>
      <c r="F2785" s="5">
        <v>20.02</v>
      </c>
      <c r="G2785" s="3" t="str">
        <f>VLOOKUP(Registros[[#This Row],[Cliente]],Cliente_Region[],2,FALSE)</f>
        <v>Mexico</v>
      </c>
      <c r="H2785" s="3" t="str">
        <f>VLOOKUP(Registros[[#This Row],[Producto]],Producto[],2,FALSE)</f>
        <v>DAWNE</v>
      </c>
    </row>
    <row r="2786" spans="1:8" ht="20.100000000000001" customHeight="1" x14ac:dyDescent="0.25">
      <c r="A2786" s="3" t="s">
        <v>305</v>
      </c>
      <c r="B2786" s="3" t="s">
        <v>396</v>
      </c>
      <c r="C2786" s="3">
        <v>2022</v>
      </c>
      <c r="D2786" s="4">
        <v>6</v>
      </c>
      <c r="E2786" s="5">
        <v>29</v>
      </c>
      <c r="F2786" s="5">
        <v>20.02</v>
      </c>
      <c r="G2786" s="3" t="str">
        <f>VLOOKUP(Registros[[#This Row],[Cliente]],Cliente_Region[],2,FALSE)</f>
        <v>Mexico</v>
      </c>
      <c r="H2786" s="3" t="str">
        <f>VLOOKUP(Registros[[#This Row],[Producto]],Producto[],2,FALSE)</f>
        <v>DAWNE</v>
      </c>
    </row>
    <row r="2787" spans="1:8" ht="20.100000000000001" customHeight="1" x14ac:dyDescent="0.25">
      <c r="A2787" s="3" t="s">
        <v>337</v>
      </c>
      <c r="B2787" s="3" t="s">
        <v>396</v>
      </c>
      <c r="C2787" s="3">
        <v>2022</v>
      </c>
      <c r="D2787" s="4">
        <v>6</v>
      </c>
      <c r="E2787" s="5">
        <v>16.25</v>
      </c>
      <c r="F2787" s="5">
        <v>9.19</v>
      </c>
      <c r="G2787" s="3" t="str">
        <f>VLOOKUP(Registros[[#This Row],[Cliente]],Cliente_Region[],2,FALSE)</f>
        <v>Mexico</v>
      </c>
      <c r="H2787" s="3" t="str">
        <f>VLOOKUP(Registros[[#This Row],[Producto]],Producto[],2,FALSE)</f>
        <v>LAX</v>
      </c>
    </row>
    <row r="2788" spans="1:8" ht="20.100000000000001" customHeight="1" x14ac:dyDescent="0.25">
      <c r="A2788" s="3" t="s">
        <v>301</v>
      </c>
      <c r="B2788" s="3" t="s">
        <v>396</v>
      </c>
      <c r="C2788" s="3">
        <v>2022</v>
      </c>
      <c r="D2788" s="4">
        <v>5</v>
      </c>
      <c r="E2788" s="5">
        <v>80</v>
      </c>
      <c r="F2788" s="5">
        <v>43.45</v>
      </c>
      <c r="G2788" s="3" t="str">
        <f>VLOOKUP(Registros[[#This Row],[Cliente]],Cliente_Region[],2,FALSE)</f>
        <v>Mexico</v>
      </c>
      <c r="H2788" s="3" t="str">
        <f>VLOOKUP(Registros[[#This Row],[Producto]],Producto[],2,FALSE)</f>
        <v>CHOTUS</v>
      </c>
    </row>
    <row r="2789" spans="1:8" ht="20.100000000000001" customHeight="1" x14ac:dyDescent="0.25">
      <c r="A2789" s="3" t="s">
        <v>302</v>
      </c>
      <c r="B2789" s="3" t="s">
        <v>396</v>
      </c>
      <c r="C2789" s="3">
        <v>2022</v>
      </c>
      <c r="D2789" s="4">
        <v>6</v>
      </c>
      <c r="E2789" s="5">
        <v>20</v>
      </c>
      <c r="F2789" s="5">
        <v>-10.87</v>
      </c>
      <c r="G2789" s="3" t="str">
        <f>VLOOKUP(Registros[[#This Row],[Cliente]],Cliente_Region[],2,FALSE)</f>
        <v>Mexico</v>
      </c>
      <c r="H2789" s="3" t="str">
        <f>VLOOKUP(Registros[[#This Row],[Producto]],Producto[],2,FALSE)</f>
        <v>CHOTUS</v>
      </c>
    </row>
    <row r="2790" spans="1:8" ht="20.100000000000001" customHeight="1" x14ac:dyDescent="0.25">
      <c r="A2790" s="3" t="s">
        <v>295</v>
      </c>
      <c r="B2790" s="3" t="s">
        <v>396</v>
      </c>
      <c r="C2790" s="3">
        <v>2022</v>
      </c>
      <c r="D2790" s="4">
        <v>1</v>
      </c>
      <c r="E2790" s="5">
        <v>0</v>
      </c>
      <c r="F2790" s="5">
        <v>0</v>
      </c>
      <c r="G2790" s="3" t="str">
        <f>VLOOKUP(Registros[[#This Row],[Cliente]],Cliente_Region[],2,FALSE)</f>
        <v>Mexico</v>
      </c>
      <c r="H2790" s="3" t="str">
        <f>VLOOKUP(Registros[[#This Row],[Producto]],Producto[],2,FALSE)</f>
        <v>QUOKAR</v>
      </c>
    </row>
    <row r="2791" spans="1:8" ht="20.100000000000001" customHeight="1" x14ac:dyDescent="0.25">
      <c r="A2791" s="3" t="s">
        <v>296</v>
      </c>
      <c r="B2791" s="3" t="s">
        <v>396</v>
      </c>
      <c r="C2791" s="3">
        <v>2022</v>
      </c>
      <c r="D2791" s="4">
        <v>3</v>
      </c>
      <c r="E2791" s="5">
        <v>11.5</v>
      </c>
      <c r="F2791" s="5">
        <v>5.98</v>
      </c>
      <c r="G2791" s="3" t="str">
        <f>VLOOKUP(Registros[[#This Row],[Cliente]],Cliente_Region[],2,FALSE)</f>
        <v>Mexico</v>
      </c>
      <c r="H2791" s="3" t="str">
        <f>VLOOKUP(Registros[[#This Row],[Producto]],Producto[],2,FALSE)</f>
        <v>SALF</v>
      </c>
    </row>
    <row r="2792" spans="1:8" ht="20.100000000000001" customHeight="1" x14ac:dyDescent="0.25">
      <c r="A2792" s="3" t="s">
        <v>296</v>
      </c>
      <c r="B2792" s="3" t="s">
        <v>396</v>
      </c>
      <c r="C2792" s="3">
        <v>2022</v>
      </c>
      <c r="D2792" s="4">
        <v>4</v>
      </c>
      <c r="E2792" s="5">
        <v>41.25</v>
      </c>
      <c r="F2792" s="5">
        <v>24.69</v>
      </c>
      <c r="G2792" s="3" t="str">
        <f>VLOOKUP(Registros[[#This Row],[Cliente]],Cliente_Region[],2,FALSE)</f>
        <v>Mexico</v>
      </c>
      <c r="H2792" s="3" t="str">
        <f>VLOOKUP(Registros[[#This Row],[Producto]],Producto[],2,FALSE)</f>
        <v>SALF</v>
      </c>
    </row>
    <row r="2793" spans="1:8" ht="20.100000000000001" customHeight="1" x14ac:dyDescent="0.25">
      <c r="A2793" s="3" t="s">
        <v>296</v>
      </c>
      <c r="B2793" s="3" t="s">
        <v>396</v>
      </c>
      <c r="C2793" s="3">
        <v>2022</v>
      </c>
      <c r="D2793" s="4">
        <v>5</v>
      </c>
      <c r="E2793" s="5">
        <v>27.5</v>
      </c>
      <c r="F2793" s="5">
        <v>16.46</v>
      </c>
      <c r="G2793" s="3" t="str">
        <f>VLOOKUP(Registros[[#This Row],[Cliente]],Cliente_Region[],2,FALSE)</f>
        <v>Mexico</v>
      </c>
      <c r="H2793" s="3" t="str">
        <f>VLOOKUP(Registros[[#This Row],[Producto]],Producto[],2,FALSE)</f>
        <v>SALF</v>
      </c>
    </row>
    <row r="2794" spans="1:8" ht="20.100000000000001" customHeight="1" x14ac:dyDescent="0.25">
      <c r="A2794" s="3" t="s">
        <v>296</v>
      </c>
      <c r="B2794" s="3" t="s">
        <v>396</v>
      </c>
      <c r="C2794" s="3">
        <v>2022</v>
      </c>
      <c r="D2794" s="4">
        <v>6</v>
      </c>
      <c r="E2794" s="5">
        <v>13.75</v>
      </c>
      <c r="F2794" s="5">
        <v>8.23</v>
      </c>
      <c r="G2794" s="3" t="str">
        <f>VLOOKUP(Registros[[#This Row],[Cliente]],Cliente_Region[],2,FALSE)</f>
        <v>Mexico</v>
      </c>
      <c r="H2794" s="3" t="str">
        <f>VLOOKUP(Registros[[#This Row],[Producto]],Producto[],2,FALSE)</f>
        <v>SALF</v>
      </c>
    </row>
    <row r="2795" spans="1:8" ht="20.100000000000001" customHeight="1" x14ac:dyDescent="0.25">
      <c r="A2795" s="3" t="s">
        <v>280</v>
      </c>
      <c r="B2795" s="3" t="s">
        <v>396</v>
      </c>
      <c r="C2795" s="3">
        <v>2022</v>
      </c>
      <c r="D2795" s="4">
        <v>1</v>
      </c>
      <c r="E2795" s="5">
        <v>53.1</v>
      </c>
      <c r="F2795" s="5">
        <v>16.3</v>
      </c>
      <c r="G2795" s="3" t="str">
        <f>VLOOKUP(Registros[[#This Row],[Cliente]],Cliente_Region[],2,FALSE)</f>
        <v>Mexico</v>
      </c>
      <c r="H2795" s="3" t="str">
        <f>VLOOKUP(Registros[[#This Row],[Producto]],Producto[],2,FALSE)</f>
        <v>CHOTUS</v>
      </c>
    </row>
    <row r="2796" spans="1:8" ht="20.100000000000001" customHeight="1" x14ac:dyDescent="0.25">
      <c r="A2796" s="3" t="s">
        <v>281</v>
      </c>
      <c r="B2796" s="3" t="s">
        <v>396</v>
      </c>
      <c r="C2796" s="3">
        <v>2022</v>
      </c>
      <c r="D2796" s="4">
        <v>2</v>
      </c>
      <c r="E2796" s="5">
        <v>40.700000000000003</v>
      </c>
      <c r="F2796" s="5">
        <v>21.98</v>
      </c>
      <c r="G2796" s="3" t="str">
        <f>VLOOKUP(Registros[[#This Row],[Cliente]],Cliente_Region[],2,FALSE)</f>
        <v>Mexico</v>
      </c>
      <c r="H2796" s="3" t="str">
        <f>VLOOKUP(Registros[[#This Row],[Producto]],Producto[],2,FALSE)</f>
        <v>SALF</v>
      </c>
    </row>
    <row r="2797" spans="1:8" ht="20.100000000000001" customHeight="1" x14ac:dyDescent="0.25">
      <c r="A2797" s="3" t="s">
        <v>281</v>
      </c>
      <c r="B2797" s="3" t="s">
        <v>396</v>
      </c>
      <c r="C2797" s="3">
        <v>2022</v>
      </c>
      <c r="D2797" s="4">
        <v>3</v>
      </c>
      <c r="E2797" s="5">
        <v>35.4</v>
      </c>
      <c r="F2797" s="5">
        <v>16.68</v>
      </c>
      <c r="G2797" s="3" t="str">
        <f>VLOOKUP(Registros[[#This Row],[Cliente]],Cliente_Region[],2,FALSE)</f>
        <v>Mexico</v>
      </c>
      <c r="H2797" s="3" t="str">
        <f>VLOOKUP(Registros[[#This Row],[Producto]],Producto[],2,FALSE)</f>
        <v>SALF</v>
      </c>
    </row>
    <row r="2798" spans="1:8" ht="20.100000000000001" customHeight="1" x14ac:dyDescent="0.25">
      <c r="A2798" s="3" t="s">
        <v>281</v>
      </c>
      <c r="B2798" s="3" t="s">
        <v>396</v>
      </c>
      <c r="C2798" s="3">
        <v>2022</v>
      </c>
      <c r="D2798" s="4">
        <v>4</v>
      </c>
      <c r="E2798" s="5">
        <v>82</v>
      </c>
      <c r="F2798" s="5">
        <v>33.04</v>
      </c>
      <c r="G2798" s="3" t="str">
        <f>VLOOKUP(Registros[[#This Row],[Cliente]],Cliente_Region[],2,FALSE)</f>
        <v>Mexico</v>
      </c>
      <c r="H2798" s="3" t="str">
        <f>VLOOKUP(Registros[[#This Row],[Producto]],Producto[],2,FALSE)</f>
        <v>SALF</v>
      </c>
    </row>
    <row r="2799" spans="1:8" ht="20.100000000000001" customHeight="1" x14ac:dyDescent="0.25">
      <c r="A2799" s="3" t="s">
        <v>281</v>
      </c>
      <c r="B2799" s="3" t="s">
        <v>396</v>
      </c>
      <c r="C2799" s="3">
        <v>2022</v>
      </c>
      <c r="D2799" s="4">
        <v>5</v>
      </c>
      <c r="E2799" s="5">
        <v>41</v>
      </c>
      <c r="F2799" s="5">
        <v>22.28</v>
      </c>
      <c r="G2799" s="3" t="str">
        <f>VLOOKUP(Registros[[#This Row],[Cliente]],Cliente_Region[],2,FALSE)</f>
        <v>Mexico</v>
      </c>
      <c r="H2799" s="3" t="str">
        <f>VLOOKUP(Registros[[#This Row],[Producto]],Producto[],2,FALSE)</f>
        <v>SALF</v>
      </c>
    </row>
    <row r="2800" spans="1:8" ht="20.100000000000001" customHeight="1" x14ac:dyDescent="0.25">
      <c r="A2800" s="3" t="s">
        <v>281</v>
      </c>
      <c r="B2800" s="3" t="s">
        <v>396</v>
      </c>
      <c r="C2800" s="3">
        <v>2022</v>
      </c>
      <c r="D2800" s="4">
        <v>6</v>
      </c>
      <c r="E2800" s="5">
        <v>20.5</v>
      </c>
      <c r="F2800" s="5">
        <v>11.14</v>
      </c>
      <c r="G2800" s="3" t="str">
        <f>VLOOKUP(Registros[[#This Row],[Cliente]],Cliente_Region[],2,FALSE)</f>
        <v>Mexico</v>
      </c>
      <c r="H2800" s="3" t="str">
        <f>VLOOKUP(Registros[[#This Row],[Producto]],Producto[],2,FALSE)</f>
        <v>SALF</v>
      </c>
    </row>
    <row r="2801" spans="1:8" ht="20.100000000000001" customHeight="1" x14ac:dyDescent="0.25">
      <c r="A2801" s="3" t="s">
        <v>282</v>
      </c>
      <c r="B2801" s="3" t="s">
        <v>396</v>
      </c>
      <c r="C2801" s="3">
        <v>2022</v>
      </c>
      <c r="D2801" s="4">
        <v>1</v>
      </c>
      <c r="E2801" s="5">
        <v>31.25</v>
      </c>
      <c r="F2801" s="5">
        <v>17.23</v>
      </c>
      <c r="G2801" s="3" t="str">
        <f>VLOOKUP(Registros[[#This Row],[Cliente]],Cliente_Region[],2,FALSE)</f>
        <v>Mexico</v>
      </c>
      <c r="H2801" s="3" t="str">
        <f>VLOOKUP(Registros[[#This Row],[Producto]],Producto[],2,FALSE)</f>
        <v>DAWNE</v>
      </c>
    </row>
    <row r="2802" spans="1:8" ht="20.100000000000001" customHeight="1" x14ac:dyDescent="0.25">
      <c r="A2802" s="3" t="s">
        <v>114</v>
      </c>
      <c r="B2802" s="3" t="s">
        <v>396</v>
      </c>
      <c r="C2802" s="3">
        <v>2022</v>
      </c>
      <c r="D2802" s="4">
        <v>2</v>
      </c>
      <c r="E2802" s="5">
        <v>16.5</v>
      </c>
      <c r="F2802" s="5">
        <v>9.49</v>
      </c>
      <c r="G2802" s="3" t="str">
        <f>VLOOKUP(Registros[[#This Row],[Cliente]],Cliente_Region[],2,FALSE)</f>
        <v>Mexico</v>
      </c>
      <c r="H2802" s="3" t="str">
        <f>VLOOKUP(Registros[[#This Row],[Producto]],Producto[],2,FALSE)</f>
        <v>DAWNE</v>
      </c>
    </row>
    <row r="2803" spans="1:8" ht="20.100000000000001" customHeight="1" x14ac:dyDescent="0.25">
      <c r="A2803" s="3" t="s">
        <v>114</v>
      </c>
      <c r="B2803" s="3" t="s">
        <v>396</v>
      </c>
      <c r="C2803" s="3">
        <v>2022</v>
      </c>
      <c r="D2803" s="4">
        <v>3</v>
      </c>
      <c r="E2803" s="5">
        <v>14.75</v>
      </c>
      <c r="F2803" s="5">
        <v>7.74</v>
      </c>
      <c r="G2803" s="3" t="str">
        <f>VLOOKUP(Registros[[#This Row],[Cliente]],Cliente_Region[],2,FALSE)</f>
        <v>Mexico</v>
      </c>
      <c r="H2803" s="3" t="str">
        <f>VLOOKUP(Registros[[#This Row],[Producto]],Producto[],2,FALSE)</f>
        <v>DAWNE</v>
      </c>
    </row>
    <row r="2804" spans="1:8" ht="20.100000000000001" customHeight="1" x14ac:dyDescent="0.25">
      <c r="A2804" s="3" t="s">
        <v>114</v>
      </c>
      <c r="B2804" s="3" t="s">
        <v>396</v>
      </c>
      <c r="C2804" s="3">
        <v>2022</v>
      </c>
      <c r="D2804" s="4">
        <v>4</v>
      </c>
      <c r="E2804" s="5">
        <v>47.75</v>
      </c>
      <c r="F2804" s="5">
        <v>6.73</v>
      </c>
      <c r="G2804" s="3" t="str">
        <f>VLOOKUP(Registros[[#This Row],[Cliente]],Cliente_Region[],2,FALSE)</f>
        <v>Mexico</v>
      </c>
      <c r="H2804" s="3" t="str">
        <f>VLOOKUP(Registros[[#This Row],[Producto]],Producto[],2,FALSE)</f>
        <v>DAWNE</v>
      </c>
    </row>
    <row r="2805" spans="1:8" ht="20.100000000000001" customHeight="1" x14ac:dyDescent="0.25">
      <c r="A2805" s="3" t="s">
        <v>135</v>
      </c>
      <c r="B2805" s="3" t="s">
        <v>396</v>
      </c>
      <c r="C2805" s="3">
        <v>2022</v>
      </c>
      <c r="D2805" s="4">
        <v>1</v>
      </c>
      <c r="E2805" s="5">
        <v>83.25</v>
      </c>
      <c r="F2805" s="5">
        <v>45.9</v>
      </c>
      <c r="G2805" s="3" t="str">
        <f>VLOOKUP(Registros[[#This Row],[Cliente]],Cliente_Region[],2,FALSE)</f>
        <v>Mexico</v>
      </c>
      <c r="H2805" s="3" t="str">
        <f>VLOOKUP(Registros[[#This Row],[Producto]],Producto[],2,FALSE)</f>
        <v>GAMBO</v>
      </c>
    </row>
    <row r="2806" spans="1:8" ht="20.100000000000001" customHeight="1" x14ac:dyDescent="0.25">
      <c r="A2806" s="3" t="s">
        <v>93</v>
      </c>
      <c r="B2806" s="3" t="s">
        <v>396</v>
      </c>
      <c r="C2806" s="3">
        <v>2022</v>
      </c>
      <c r="D2806" s="4">
        <v>2</v>
      </c>
      <c r="E2806" s="5">
        <v>54.46</v>
      </c>
      <c r="F2806" s="5">
        <v>40.98</v>
      </c>
      <c r="G2806" s="3" t="str">
        <f>VLOOKUP(Registros[[#This Row],[Cliente]],Cliente_Region[],2,FALSE)</f>
        <v>Mexico</v>
      </c>
      <c r="H2806" s="3" t="str">
        <f>VLOOKUP(Registros[[#This Row],[Producto]],Producto[],2,FALSE)</f>
        <v>GAMBO</v>
      </c>
    </row>
    <row r="2807" spans="1:8" ht="20.100000000000001" customHeight="1" x14ac:dyDescent="0.25">
      <c r="A2807" s="3" t="s">
        <v>93</v>
      </c>
      <c r="B2807" s="3" t="s">
        <v>396</v>
      </c>
      <c r="C2807" s="3">
        <v>2022</v>
      </c>
      <c r="D2807" s="4">
        <v>3</v>
      </c>
      <c r="E2807" s="5">
        <v>93.46</v>
      </c>
      <c r="F2807" s="5">
        <v>66.5</v>
      </c>
      <c r="G2807" s="3" t="str">
        <f>VLOOKUP(Registros[[#This Row],[Cliente]],Cliente_Region[],2,FALSE)</f>
        <v>Mexico</v>
      </c>
      <c r="H2807" s="3" t="str">
        <f>VLOOKUP(Registros[[#This Row],[Producto]],Producto[],2,FALSE)</f>
        <v>GAMBO</v>
      </c>
    </row>
    <row r="2808" spans="1:8" ht="20.100000000000001" customHeight="1" x14ac:dyDescent="0.25">
      <c r="A2808" s="3" t="s">
        <v>93</v>
      </c>
      <c r="B2808" s="3" t="s">
        <v>396</v>
      </c>
      <c r="C2808" s="3">
        <v>2022</v>
      </c>
      <c r="D2808" s="4">
        <v>4</v>
      </c>
      <c r="E2808" s="5">
        <v>109.5</v>
      </c>
      <c r="F2808" s="5">
        <v>49.01</v>
      </c>
      <c r="G2808" s="3" t="str">
        <f>VLOOKUP(Registros[[#This Row],[Cliente]],Cliente_Region[],2,FALSE)</f>
        <v>Mexico</v>
      </c>
      <c r="H2808" s="3" t="str">
        <f>VLOOKUP(Registros[[#This Row],[Producto]],Producto[],2,FALSE)</f>
        <v>GAMBO</v>
      </c>
    </row>
    <row r="2809" spans="1:8" ht="20.100000000000001" customHeight="1" x14ac:dyDescent="0.25">
      <c r="A2809" s="3" t="s">
        <v>93</v>
      </c>
      <c r="B2809" s="3" t="s">
        <v>396</v>
      </c>
      <c r="C2809" s="3">
        <v>2022</v>
      </c>
      <c r="D2809" s="4">
        <v>5</v>
      </c>
      <c r="E2809" s="5">
        <v>90</v>
      </c>
      <c r="F2809" s="5">
        <v>63.04</v>
      </c>
      <c r="G2809" s="3" t="str">
        <f>VLOOKUP(Registros[[#This Row],[Cliente]],Cliente_Region[],2,FALSE)</f>
        <v>Mexico</v>
      </c>
      <c r="H2809" s="3" t="str">
        <f>VLOOKUP(Registros[[#This Row],[Producto]],Producto[],2,FALSE)</f>
        <v>GAMBO</v>
      </c>
    </row>
    <row r="2810" spans="1:8" ht="20.100000000000001" customHeight="1" x14ac:dyDescent="0.25">
      <c r="A2810" s="3" t="s">
        <v>93</v>
      </c>
      <c r="B2810" s="3" t="s">
        <v>396</v>
      </c>
      <c r="C2810" s="3">
        <v>2022</v>
      </c>
      <c r="D2810" s="4">
        <v>6</v>
      </c>
      <c r="E2810" s="5">
        <v>22.5</v>
      </c>
      <c r="F2810" s="5">
        <v>15.76</v>
      </c>
      <c r="G2810" s="3" t="str">
        <f>VLOOKUP(Registros[[#This Row],[Cliente]],Cliente_Region[],2,FALSE)</f>
        <v>Mexico</v>
      </c>
      <c r="H2810" s="3" t="str">
        <f>VLOOKUP(Registros[[#This Row],[Producto]],Producto[],2,FALSE)</f>
        <v>GAMBO</v>
      </c>
    </row>
    <row r="2811" spans="1:8" ht="20.100000000000001" customHeight="1" x14ac:dyDescent="0.25">
      <c r="A2811" s="3" t="s">
        <v>136</v>
      </c>
      <c r="B2811" s="3" t="s">
        <v>396</v>
      </c>
      <c r="C2811" s="3">
        <v>2022</v>
      </c>
      <c r="D2811" s="4">
        <v>1</v>
      </c>
      <c r="E2811" s="5">
        <v>80.5</v>
      </c>
      <c r="F2811" s="5">
        <v>23.93</v>
      </c>
      <c r="G2811" s="3" t="str">
        <f>VLOOKUP(Registros[[#This Row],[Cliente]],Cliente_Region[],2,FALSE)</f>
        <v>Mexico</v>
      </c>
      <c r="H2811" s="3" t="str">
        <f>VLOOKUP(Registros[[#This Row],[Producto]],Producto[],2,FALSE)</f>
        <v>CHOTUS</v>
      </c>
    </row>
    <row r="2812" spans="1:8" ht="20.100000000000001" customHeight="1" x14ac:dyDescent="0.25">
      <c r="A2812" s="3" t="s">
        <v>137</v>
      </c>
      <c r="B2812" s="3" t="s">
        <v>396</v>
      </c>
      <c r="C2812" s="3">
        <v>2022</v>
      </c>
      <c r="D2812" s="4">
        <v>2</v>
      </c>
      <c r="E2812" s="5">
        <v>69.3</v>
      </c>
      <c r="F2812" s="5">
        <v>44.38</v>
      </c>
      <c r="G2812" s="3" t="str">
        <f>VLOOKUP(Registros[[#This Row],[Cliente]],Cliente_Region[],2,FALSE)</f>
        <v>Mexico</v>
      </c>
      <c r="H2812" s="3" t="str">
        <f>VLOOKUP(Registros[[#This Row],[Producto]],Producto[],2,FALSE)</f>
        <v>QUOKAR</v>
      </c>
    </row>
    <row r="2813" spans="1:8" ht="20.100000000000001" customHeight="1" x14ac:dyDescent="0.25">
      <c r="A2813" s="3" t="s">
        <v>137</v>
      </c>
      <c r="B2813" s="3" t="s">
        <v>396</v>
      </c>
      <c r="C2813" s="3">
        <v>2022</v>
      </c>
      <c r="D2813" s="4">
        <v>3</v>
      </c>
      <c r="E2813" s="5">
        <v>105.8</v>
      </c>
      <c r="F2813" s="5">
        <v>55.95</v>
      </c>
      <c r="G2813" s="3" t="str">
        <f>VLOOKUP(Registros[[#This Row],[Cliente]],Cliente_Region[],2,FALSE)</f>
        <v>Mexico</v>
      </c>
      <c r="H2813" s="3" t="str">
        <f>VLOOKUP(Registros[[#This Row],[Producto]],Producto[],2,FALSE)</f>
        <v>QUOKAR</v>
      </c>
    </row>
    <row r="2814" spans="1:8" ht="20.100000000000001" customHeight="1" x14ac:dyDescent="0.25">
      <c r="A2814" s="3" t="s">
        <v>137</v>
      </c>
      <c r="B2814" s="3" t="s">
        <v>396</v>
      </c>
      <c r="C2814" s="3">
        <v>2022</v>
      </c>
      <c r="D2814" s="4">
        <v>4</v>
      </c>
      <c r="E2814" s="5">
        <v>81.25</v>
      </c>
      <c r="F2814" s="5">
        <v>21.93</v>
      </c>
      <c r="G2814" s="3" t="str">
        <f>VLOOKUP(Registros[[#This Row],[Cliente]],Cliente_Region[],2,FALSE)</f>
        <v>Mexico</v>
      </c>
      <c r="H2814" s="3" t="str">
        <f>VLOOKUP(Registros[[#This Row],[Producto]],Producto[],2,FALSE)</f>
        <v>QUOKAR</v>
      </c>
    </row>
    <row r="2815" spans="1:8" ht="20.100000000000001" customHeight="1" x14ac:dyDescent="0.25">
      <c r="A2815" s="3" t="s">
        <v>137</v>
      </c>
      <c r="B2815" s="3" t="s">
        <v>396</v>
      </c>
      <c r="C2815" s="3">
        <v>2022</v>
      </c>
      <c r="D2815" s="4">
        <v>5</v>
      </c>
      <c r="E2815" s="5">
        <v>76.650000000000006</v>
      </c>
      <c r="F2815" s="5">
        <v>39.26</v>
      </c>
      <c r="G2815" s="3" t="str">
        <f>VLOOKUP(Registros[[#This Row],[Cliente]],Cliente_Region[],2,FALSE)</f>
        <v>Mexico</v>
      </c>
      <c r="H2815" s="3" t="str">
        <f>VLOOKUP(Registros[[#This Row],[Producto]],Producto[],2,FALSE)</f>
        <v>QUOKAR</v>
      </c>
    </row>
    <row r="2816" spans="1:8" ht="20.100000000000001" customHeight="1" x14ac:dyDescent="0.25">
      <c r="A2816" s="3" t="s">
        <v>137</v>
      </c>
      <c r="B2816" s="3" t="s">
        <v>396</v>
      </c>
      <c r="C2816" s="3">
        <v>2022</v>
      </c>
      <c r="D2816" s="4">
        <v>6</v>
      </c>
      <c r="E2816" s="5">
        <v>63</v>
      </c>
      <c r="F2816" s="5">
        <v>25.61</v>
      </c>
      <c r="G2816" s="3" t="str">
        <f>VLOOKUP(Registros[[#This Row],[Cliente]],Cliente_Region[],2,FALSE)</f>
        <v>Mexico</v>
      </c>
      <c r="H2816" s="3" t="str">
        <f>VLOOKUP(Registros[[#This Row],[Producto]],Producto[],2,FALSE)</f>
        <v>QUOKAR</v>
      </c>
    </row>
    <row r="2817" spans="1:8" ht="20.100000000000001" customHeight="1" x14ac:dyDescent="0.25">
      <c r="A2817" s="3" t="s">
        <v>138</v>
      </c>
      <c r="B2817" s="3" t="s">
        <v>396</v>
      </c>
      <c r="C2817" s="3">
        <v>2022</v>
      </c>
      <c r="D2817" s="4">
        <v>3</v>
      </c>
      <c r="E2817" s="5">
        <v>46.75</v>
      </c>
      <c r="F2817" s="5">
        <v>0.17</v>
      </c>
      <c r="G2817" s="3" t="str">
        <f>VLOOKUP(Registros[[#This Row],[Cliente]],Cliente_Region[],2,FALSE)</f>
        <v>Mexico</v>
      </c>
      <c r="H2817" s="3" t="str">
        <f>VLOOKUP(Registros[[#This Row],[Producto]],Producto[],2,FALSE)</f>
        <v>SALF</v>
      </c>
    </row>
    <row r="2818" spans="1:8" ht="20.100000000000001" customHeight="1" x14ac:dyDescent="0.25">
      <c r="A2818" s="3" t="s">
        <v>77</v>
      </c>
      <c r="B2818" s="3" t="s">
        <v>396</v>
      </c>
      <c r="C2818" s="3">
        <v>2022</v>
      </c>
      <c r="D2818" s="4">
        <v>3</v>
      </c>
      <c r="E2818" s="5">
        <v>34.1</v>
      </c>
      <c r="F2818" s="5">
        <v>24.22</v>
      </c>
      <c r="G2818" s="3" t="str">
        <f>VLOOKUP(Registros[[#This Row],[Cliente]],Cliente_Region[],2,FALSE)</f>
        <v>Mexico</v>
      </c>
      <c r="H2818" s="3" t="str">
        <f>VLOOKUP(Registros[[#This Row],[Producto]],Producto[],2,FALSE)</f>
        <v>LAX</v>
      </c>
    </row>
    <row r="2819" spans="1:8" ht="20.100000000000001" customHeight="1" x14ac:dyDescent="0.25">
      <c r="A2819" s="3" t="s">
        <v>26</v>
      </c>
      <c r="B2819" s="3" t="s">
        <v>396</v>
      </c>
      <c r="C2819" s="3">
        <v>2022</v>
      </c>
      <c r="D2819" s="4">
        <v>3</v>
      </c>
      <c r="E2819" s="5">
        <v>34.75</v>
      </c>
      <c r="F2819" s="5">
        <v>0</v>
      </c>
      <c r="G2819" s="3" t="str">
        <f>VLOOKUP(Registros[[#This Row],[Cliente]],Cliente_Region[],2,FALSE)</f>
        <v>Mexico</v>
      </c>
      <c r="H2819" s="3" t="str">
        <f>VLOOKUP(Registros[[#This Row],[Producto]],Producto[],2,FALSE)</f>
        <v>CHOTUS</v>
      </c>
    </row>
    <row r="2820" spans="1:8" ht="20.100000000000001" customHeight="1" x14ac:dyDescent="0.25">
      <c r="A2820" s="3" t="s">
        <v>81</v>
      </c>
      <c r="B2820" s="3" t="s">
        <v>396</v>
      </c>
      <c r="C2820" s="3">
        <v>2022</v>
      </c>
      <c r="D2820" s="4">
        <v>3</v>
      </c>
      <c r="E2820" s="5">
        <v>23.93</v>
      </c>
      <c r="F2820" s="5">
        <v>9.9499999999999993</v>
      </c>
      <c r="G2820" s="3" t="str">
        <f>VLOOKUP(Registros[[#This Row],[Cliente]],Cliente_Region[],2,FALSE)</f>
        <v>Mexico</v>
      </c>
      <c r="H2820" s="3" t="str">
        <f>VLOOKUP(Registros[[#This Row],[Producto]],Producto[],2,FALSE)</f>
        <v>QUOKAR</v>
      </c>
    </row>
    <row r="2821" spans="1:8" ht="20.100000000000001" customHeight="1" x14ac:dyDescent="0.25">
      <c r="A2821" s="3" t="s">
        <v>194</v>
      </c>
      <c r="B2821" s="3" t="s">
        <v>397</v>
      </c>
      <c r="C2821" s="3">
        <v>2022</v>
      </c>
      <c r="D2821" s="4">
        <v>4</v>
      </c>
      <c r="E2821" s="5">
        <v>37.5</v>
      </c>
      <c r="F2821" s="5">
        <v>22.2</v>
      </c>
      <c r="G2821" s="3" t="str">
        <f>VLOOKUP(Registros[[#This Row],[Cliente]],Cliente_Region[],2,FALSE)</f>
        <v>Chile</v>
      </c>
      <c r="H2821" s="3" t="str">
        <f>VLOOKUP(Registros[[#This Row],[Producto]],Producto[],2,FALSE)</f>
        <v>LAX</v>
      </c>
    </row>
    <row r="2822" spans="1:8" ht="20.100000000000001" customHeight="1" x14ac:dyDescent="0.25">
      <c r="A2822" s="3" t="s">
        <v>284</v>
      </c>
      <c r="B2822" s="3" t="s">
        <v>397</v>
      </c>
      <c r="C2822" s="3">
        <v>2022</v>
      </c>
      <c r="D2822" s="4">
        <v>3</v>
      </c>
      <c r="E2822" s="5">
        <v>39.75</v>
      </c>
      <c r="F2822" s="5">
        <v>26.31</v>
      </c>
      <c r="G2822" s="3" t="str">
        <f>VLOOKUP(Registros[[#This Row],[Cliente]],Cliente_Region[],2,FALSE)</f>
        <v>Chile</v>
      </c>
      <c r="H2822" s="3" t="str">
        <f>VLOOKUP(Registros[[#This Row],[Producto]],Producto[],2,FALSE)</f>
        <v>DONANY</v>
      </c>
    </row>
    <row r="2823" spans="1:8" ht="20.100000000000001" customHeight="1" x14ac:dyDescent="0.25">
      <c r="A2823" s="3" t="s">
        <v>285</v>
      </c>
      <c r="B2823" s="3" t="s">
        <v>397</v>
      </c>
      <c r="C2823" s="3">
        <v>2022</v>
      </c>
      <c r="D2823" s="4">
        <v>4</v>
      </c>
      <c r="E2823" s="5">
        <v>39.75</v>
      </c>
      <c r="F2823" s="5">
        <v>26.31</v>
      </c>
      <c r="G2823" s="3" t="str">
        <f>VLOOKUP(Registros[[#This Row],[Cliente]],Cliente_Region[],2,FALSE)</f>
        <v>Chile</v>
      </c>
      <c r="H2823" s="3" t="str">
        <f>VLOOKUP(Registros[[#This Row],[Producto]],Producto[],2,FALSE)</f>
        <v>MOC</v>
      </c>
    </row>
    <row r="2824" spans="1:8" ht="20.100000000000001" customHeight="1" x14ac:dyDescent="0.25">
      <c r="A2824" s="3" t="s">
        <v>335</v>
      </c>
      <c r="B2824" s="3" t="s">
        <v>397</v>
      </c>
      <c r="C2824" s="3">
        <v>2022</v>
      </c>
      <c r="D2824" s="4">
        <v>3</v>
      </c>
      <c r="E2824" s="5">
        <v>35.5</v>
      </c>
      <c r="F2824" s="5">
        <v>17.23</v>
      </c>
      <c r="G2824" s="3" t="str">
        <f>VLOOKUP(Registros[[#This Row],[Cliente]],Cliente_Region[],2,FALSE)</f>
        <v>Chile</v>
      </c>
      <c r="H2824" s="3" t="str">
        <f>VLOOKUP(Registros[[#This Row],[Producto]],Producto[],2,FALSE)</f>
        <v>GAMBO</v>
      </c>
    </row>
    <row r="2825" spans="1:8" ht="20.100000000000001" customHeight="1" x14ac:dyDescent="0.25">
      <c r="A2825" s="3" t="s">
        <v>295</v>
      </c>
      <c r="B2825" s="3" t="s">
        <v>397</v>
      </c>
      <c r="C2825" s="3">
        <v>2022</v>
      </c>
      <c r="D2825" s="4">
        <v>3</v>
      </c>
      <c r="E2825" s="5">
        <v>27.5</v>
      </c>
      <c r="F2825" s="5">
        <v>16.47</v>
      </c>
      <c r="G2825" s="3" t="str">
        <f>VLOOKUP(Registros[[#This Row],[Cliente]],Cliente_Region[],2,FALSE)</f>
        <v>Chile</v>
      </c>
      <c r="H2825" s="3" t="str">
        <f>VLOOKUP(Registros[[#This Row],[Producto]],Producto[],2,FALSE)</f>
        <v>QUOKAR</v>
      </c>
    </row>
    <row r="2826" spans="1:8" ht="20.100000000000001" customHeight="1" x14ac:dyDescent="0.25">
      <c r="A2826" s="3" t="s">
        <v>280</v>
      </c>
      <c r="B2826" s="3" t="s">
        <v>397</v>
      </c>
      <c r="C2826" s="3">
        <v>2022</v>
      </c>
      <c r="D2826" s="4">
        <v>3</v>
      </c>
      <c r="E2826" s="5">
        <v>41</v>
      </c>
      <c r="F2826" s="5">
        <v>22.27</v>
      </c>
      <c r="G2826" s="3" t="str">
        <f>VLOOKUP(Registros[[#This Row],[Cliente]],Cliente_Region[],2,FALSE)</f>
        <v>Chile</v>
      </c>
      <c r="H2826" s="3" t="str">
        <f>VLOOKUP(Registros[[#This Row],[Producto]],Producto[],2,FALSE)</f>
        <v>CHOTUS</v>
      </c>
    </row>
    <row r="2827" spans="1:8" ht="20.100000000000001" customHeight="1" x14ac:dyDescent="0.25">
      <c r="A2827" s="3" t="s">
        <v>281</v>
      </c>
      <c r="B2827" s="3" t="s">
        <v>397</v>
      </c>
      <c r="C2827" s="3">
        <v>2022</v>
      </c>
      <c r="D2827" s="4">
        <v>4</v>
      </c>
      <c r="E2827" s="5">
        <v>61.5</v>
      </c>
      <c r="F2827" s="5">
        <v>33.409999999999997</v>
      </c>
      <c r="G2827" s="3" t="str">
        <f>VLOOKUP(Registros[[#This Row],[Cliente]],Cliente_Region[],2,FALSE)</f>
        <v>Chile</v>
      </c>
      <c r="H2827" s="3" t="str">
        <f>VLOOKUP(Registros[[#This Row],[Producto]],Producto[],2,FALSE)</f>
        <v>SALF</v>
      </c>
    </row>
    <row r="2828" spans="1:8" ht="20.100000000000001" customHeight="1" x14ac:dyDescent="0.25">
      <c r="A2828" s="3" t="s">
        <v>282</v>
      </c>
      <c r="B2828" s="3" t="s">
        <v>397</v>
      </c>
      <c r="C2828" s="3">
        <v>2022</v>
      </c>
      <c r="D2828" s="4">
        <v>3</v>
      </c>
      <c r="E2828" s="5">
        <v>33</v>
      </c>
      <c r="F2828" s="5">
        <v>18.97</v>
      </c>
      <c r="G2828" s="3" t="str">
        <f>VLOOKUP(Registros[[#This Row],[Cliente]],Cliente_Region[],2,FALSE)</f>
        <v>Chile</v>
      </c>
      <c r="H2828" s="3" t="str">
        <f>VLOOKUP(Registros[[#This Row],[Producto]],Producto[],2,FALSE)</f>
        <v>DAWNE</v>
      </c>
    </row>
    <row r="2829" spans="1:8" ht="20.100000000000001" customHeight="1" x14ac:dyDescent="0.25">
      <c r="A2829" s="3" t="s">
        <v>114</v>
      </c>
      <c r="B2829" s="3" t="s">
        <v>397</v>
      </c>
      <c r="C2829" s="3">
        <v>2022</v>
      </c>
      <c r="D2829" s="4">
        <v>4</v>
      </c>
      <c r="E2829" s="5">
        <v>16.5</v>
      </c>
      <c r="F2829" s="5">
        <v>9.49</v>
      </c>
      <c r="G2829" s="3" t="str">
        <f>VLOOKUP(Registros[[#This Row],[Cliente]],Cliente_Region[],2,FALSE)</f>
        <v>Chile</v>
      </c>
      <c r="H2829" s="3" t="str">
        <f>VLOOKUP(Registros[[#This Row],[Producto]],Producto[],2,FALSE)</f>
        <v>DAWNE</v>
      </c>
    </row>
    <row r="2830" spans="1:8" ht="20.100000000000001" customHeight="1" x14ac:dyDescent="0.25">
      <c r="A2830" s="3" t="s">
        <v>135</v>
      </c>
      <c r="B2830" s="3" t="s">
        <v>397</v>
      </c>
      <c r="C2830" s="3">
        <v>2022</v>
      </c>
      <c r="D2830" s="4">
        <v>3</v>
      </c>
      <c r="E2830" s="5">
        <v>49.5</v>
      </c>
      <c r="F2830" s="5">
        <v>36.020000000000003</v>
      </c>
      <c r="G2830" s="3" t="str">
        <f>VLOOKUP(Registros[[#This Row],[Cliente]],Cliente_Region[],2,FALSE)</f>
        <v>Chile</v>
      </c>
      <c r="H2830" s="3" t="str">
        <f>VLOOKUP(Registros[[#This Row],[Producto]],Producto[],2,FALSE)</f>
        <v>GAMBO</v>
      </c>
    </row>
    <row r="2831" spans="1:8" ht="20.100000000000001" customHeight="1" x14ac:dyDescent="0.25">
      <c r="A2831" s="3" t="s">
        <v>93</v>
      </c>
      <c r="B2831" s="3" t="s">
        <v>397</v>
      </c>
      <c r="C2831" s="3">
        <v>2022</v>
      </c>
      <c r="D2831" s="4">
        <v>4</v>
      </c>
      <c r="E2831" s="5">
        <v>74.25</v>
      </c>
      <c r="F2831" s="5">
        <v>54.03</v>
      </c>
      <c r="G2831" s="3" t="str">
        <f>VLOOKUP(Registros[[#This Row],[Cliente]],Cliente_Region[],2,FALSE)</f>
        <v>Chile</v>
      </c>
      <c r="H2831" s="3" t="str">
        <f>VLOOKUP(Registros[[#This Row],[Producto]],Producto[],2,FALSE)</f>
        <v>GAMBO</v>
      </c>
    </row>
    <row r="2832" spans="1:8" ht="20.100000000000001" customHeight="1" x14ac:dyDescent="0.25">
      <c r="A2832" s="3" t="s">
        <v>136</v>
      </c>
      <c r="B2832" s="3" t="s">
        <v>397</v>
      </c>
      <c r="C2832" s="3">
        <v>2022</v>
      </c>
      <c r="D2832" s="4">
        <v>3</v>
      </c>
      <c r="E2832" s="5">
        <v>51.5</v>
      </c>
      <c r="F2832" s="5">
        <v>26.57</v>
      </c>
      <c r="G2832" s="3" t="str">
        <f>VLOOKUP(Registros[[#This Row],[Cliente]],Cliente_Region[],2,FALSE)</f>
        <v>Chile</v>
      </c>
      <c r="H2832" s="3" t="str">
        <f>VLOOKUP(Registros[[#This Row],[Producto]],Producto[],2,FALSE)</f>
        <v>CHOTUS</v>
      </c>
    </row>
    <row r="2833" spans="1:8" ht="20.100000000000001" customHeight="1" x14ac:dyDescent="0.25">
      <c r="A2833" s="3" t="s">
        <v>137</v>
      </c>
      <c r="B2833" s="3" t="s">
        <v>397</v>
      </c>
      <c r="C2833" s="3">
        <v>2022</v>
      </c>
      <c r="D2833" s="4">
        <v>4</v>
      </c>
      <c r="E2833" s="5">
        <v>51.5</v>
      </c>
      <c r="F2833" s="5">
        <v>26.57</v>
      </c>
      <c r="G2833" s="3" t="str">
        <f>VLOOKUP(Registros[[#This Row],[Cliente]],Cliente_Region[],2,FALSE)</f>
        <v>Chile</v>
      </c>
      <c r="H2833" s="3" t="str">
        <f>VLOOKUP(Registros[[#This Row],[Producto]],Producto[],2,FALSE)</f>
        <v>QUOKAR</v>
      </c>
    </row>
    <row r="2834" spans="1:8" ht="20.100000000000001" customHeight="1" x14ac:dyDescent="0.25">
      <c r="A2834" s="3" t="s">
        <v>361</v>
      </c>
      <c r="B2834" s="3" t="s">
        <v>398</v>
      </c>
      <c r="C2834" s="3">
        <v>2022</v>
      </c>
      <c r="D2834" s="4">
        <v>1</v>
      </c>
      <c r="E2834" s="5">
        <v>157.69999999999999</v>
      </c>
      <c r="F2834" s="5">
        <v>39.51</v>
      </c>
      <c r="G2834" s="3" t="str">
        <f>VLOOKUP(Registros[[#This Row],[Cliente]],Cliente_Region[],2,FALSE)</f>
        <v>Colombia</v>
      </c>
      <c r="H2834" s="3" t="str">
        <f>VLOOKUP(Registros[[#This Row],[Producto]],Producto[],2,FALSE)</f>
        <v>CHOTUS</v>
      </c>
    </row>
    <row r="2835" spans="1:8" ht="20.100000000000001" customHeight="1" x14ac:dyDescent="0.25">
      <c r="A2835" s="3" t="s">
        <v>362</v>
      </c>
      <c r="B2835" s="3" t="s">
        <v>398</v>
      </c>
      <c r="C2835" s="3">
        <v>2022</v>
      </c>
      <c r="D2835" s="4">
        <v>2</v>
      </c>
      <c r="E2835" s="5">
        <v>143.44999999999999</v>
      </c>
      <c r="F2835" s="5">
        <v>46.4</v>
      </c>
      <c r="G2835" s="3" t="str">
        <f>VLOOKUP(Registros[[#This Row],[Cliente]],Cliente_Region[],2,FALSE)</f>
        <v>Colombia</v>
      </c>
      <c r="H2835" s="3" t="str">
        <f>VLOOKUP(Registros[[#This Row],[Producto]],Producto[],2,FALSE)</f>
        <v>LAX</v>
      </c>
    </row>
    <row r="2836" spans="1:8" ht="20.100000000000001" customHeight="1" x14ac:dyDescent="0.25">
      <c r="A2836" s="3" t="s">
        <v>383</v>
      </c>
      <c r="B2836" s="3" t="s">
        <v>398</v>
      </c>
      <c r="C2836" s="3">
        <v>2022</v>
      </c>
      <c r="D2836" s="4">
        <v>1</v>
      </c>
      <c r="E2836" s="5">
        <v>99</v>
      </c>
      <c r="F2836" s="5">
        <v>13.92</v>
      </c>
      <c r="G2836" s="3" t="str">
        <f>VLOOKUP(Registros[[#This Row],[Cliente]],Cliente_Region[],2,FALSE)</f>
        <v>Colombia</v>
      </c>
      <c r="H2836" s="3" t="str">
        <f>VLOOKUP(Registros[[#This Row],[Producto]],Producto[],2,FALSE)</f>
        <v>MOC</v>
      </c>
    </row>
    <row r="2837" spans="1:8" ht="20.100000000000001" customHeight="1" x14ac:dyDescent="0.25">
      <c r="A2837" s="3" t="s">
        <v>384</v>
      </c>
      <c r="B2837" s="3" t="s">
        <v>398</v>
      </c>
      <c r="C2837" s="3">
        <v>2022</v>
      </c>
      <c r="D2837" s="4">
        <v>2</v>
      </c>
      <c r="E2837" s="5">
        <v>115.8</v>
      </c>
      <c r="F2837" s="5">
        <v>30.72</v>
      </c>
      <c r="G2837" s="3" t="str">
        <f>VLOOKUP(Registros[[#This Row],[Cliente]],Cliente_Region[],2,FALSE)</f>
        <v>Colombia</v>
      </c>
      <c r="H2837" s="3" t="str">
        <f>VLOOKUP(Registros[[#This Row],[Producto]],Producto[],2,FALSE)</f>
        <v>SALF</v>
      </c>
    </row>
    <row r="2838" spans="1:8" ht="20.100000000000001" customHeight="1" x14ac:dyDescent="0.25">
      <c r="A2838" s="3" t="s">
        <v>384</v>
      </c>
      <c r="B2838" s="3" t="s">
        <v>398</v>
      </c>
      <c r="C2838" s="3">
        <v>2022</v>
      </c>
      <c r="D2838" s="4">
        <v>3</v>
      </c>
      <c r="E2838" s="5">
        <v>60</v>
      </c>
      <c r="F2838" s="5">
        <v>3.28</v>
      </c>
      <c r="G2838" s="3" t="str">
        <f>VLOOKUP(Registros[[#This Row],[Cliente]],Cliente_Region[],2,FALSE)</f>
        <v>Colombia</v>
      </c>
      <c r="H2838" s="3" t="str">
        <f>VLOOKUP(Registros[[#This Row],[Producto]],Producto[],2,FALSE)</f>
        <v>SALF</v>
      </c>
    </row>
    <row r="2839" spans="1:8" ht="20.100000000000001" customHeight="1" x14ac:dyDescent="0.25">
      <c r="A2839" s="3" t="s">
        <v>194</v>
      </c>
      <c r="B2839" s="3" t="s">
        <v>398</v>
      </c>
      <c r="C2839" s="3">
        <v>2022</v>
      </c>
      <c r="D2839" s="4">
        <v>1</v>
      </c>
      <c r="E2839" s="5">
        <v>72</v>
      </c>
      <c r="F2839" s="5">
        <v>36.299999999999997</v>
      </c>
      <c r="G2839" s="3" t="str">
        <f>VLOOKUP(Registros[[#This Row],[Cliente]],Cliente_Region[],2,FALSE)</f>
        <v>Colombia</v>
      </c>
      <c r="H2839" s="3" t="str">
        <f>VLOOKUP(Registros[[#This Row],[Producto]],Producto[],2,FALSE)</f>
        <v>LAX</v>
      </c>
    </row>
    <row r="2840" spans="1:8" ht="20.100000000000001" customHeight="1" x14ac:dyDescent="0.25">
      <c r="A2840" s="3" t="s">
        <v>333</v>
      </c>
      <c r="B2840" s="3" t="s">
        <v>398</v>
      </c>
      <c r="C2840" s="3">
        <v>2022</v>
      </c>
      <c r="D2840" s="4">
        <v>2</v>
      </c>
      <c r="E2840" s="5">
        <v>60.76</v>
      </c>
      <c r="F2840" s="5">
        <v>30.16</v>
      </c>
      <c r="G2840" s="3" t="str">
        <f>VLOOKUP(Registros[[#This Row],[Cliente]],Cliente_Region[],2,FALSE)</f>
        <v>Colombia</v>
      </c>
      <c r="H2840" s="3" t="str">
        <f>VLOOKUP(Registros[[#This Row],[Producto]],Producto[],2,FALSE)</f>
        <v>GAMBO</v>
      </c>
    </row>
    <row r="2841" spans="1:8" ht="20.100000000000001" customHeight="1" x14ac:dyDescent="0.25">
      <c r="A2841" s="3" t="s">
        <v>333</v>
      </c>
      <c r="B2841" s="3" t="s">
        <v>398</v>
      </c>
      <c r="C2841" s="3">
        <v>2022</v>
      </c>
      <c r="D2841" s="4">
        <v>3</v>
      </c>
      <c r="E2841" s="5">
        <v>54</v>
      </c>
      <c r="F2841" s="5">
        <v>23.4</v>
      </c>
      <c r="G2841" s="3" t="str">
        <f>VLOOKUP(Registros[[#This Row],[Cliente]],Cliente_Region[],2,FALSE)</f>
        <v>Colombia</v>
      </c>
      <c r="H2841" s="3" t="str">
        <f>VLOOKUP(Registros[[#This Row],[Producto]],Producto[],2,FALSE)</f>
        <v>GAMBO</v>
      </c>
    </row>
    <row r="2842" spans="1:8" ht="20.100000000000001" customHeight="1" x14ac:dyDescent="0.25">
      <c r="A2842" s="3" t="s">
        <v>333</v>
      </c>
      <c r="B2842" s="3" t="s">
        <v>398</v>
      </c>
      <c r="C2842" s="3">
        <v>2022</v>
      </c>
      <c r="D2842" s="4">
        <v>4</v>
      </c>
      <c r="E2842" s="5">
        <v>25</v>
      </c>
      <c r="F2842" s="5">
        <v>14.8</v>
      </c>
      <c r="G2842" s="3" t="str">
        <f>VLOOKUP(Registros[[#This Row],[Cliente]],Cliente_Region[],2,FALSE)</f>
        <v>Colombia</v>
      </c>
      <c r="H2842" s="3" t="str">
        <f>VLOOKUP(Registros[[#This Row],[Producto]],Producto[],2,FALSE)</f>
        <v>GAMBO</v>
      </c>
    </row>
    <row r="2843" spans="1:8" ht="20.100000000000001" customHeight="1" x14ac:dyDescent="0.25">
      <c r="A2843" s="3" t="s">
        <v>13</v>
      </c>
      <c r="B2843" s="3" t="s">
        <v>398</v>
      </c>
      <c r="C2843" s="3">
        <v>2022</v>
      </c>
      <c r="D2843" s="4">
        <v>1</v>
      </c>
      <c r="E2843" s="5">
        <v>121.05</v>
      </c>
      <c r="F2843" s="5">
        <v>36.28</v>
      </c>
      <c r="G2843" s="3" t="str">
        <f>VLOOKUP(Registros[[#This Row],[Cliente]],Cliente_Region[],2,FALSE)</f>
        <v>Colombia</v>
      </c>
      <c r="H2843" s="3" t="str">
        <f>VLOOKUP(Registros[[#This Row],[Producto]],Producto[],2,FALSE)</f>
        <v>DAWNE</v>
      </c>
    </row>
    <row r="2844" spans="1:8" ht="20.100000000000001" customHeight="1" x14ac:dyDescent="0.25">
      <c r="A2844" s="3" t="s">
        <v>14</v>
      </c>
      <c r="B2844" s="3" t="s">
        <v>398</v>
      </c>
      <c r="C2844" s="3">
        <v>2022</v>
      </c>
      <c r="D2844" s="4">
        <v>2</v>
      </c>
      <c r="E2844" s="5">
        <v>143.9</v>
      </c>
      <c r="F2844" s="5">
        <v>38.46</v>
      </c>
      <c r="G2844" s="3" t="str">
        <f>VLOOKUP(Registros[[#This Row],[Cliente]],Cliente_Region[],2,FALSE)</f>
        <v>Colombia</v>
      </c>
      <c r="H2844" s="3" t="str">
        <f>VLOOKUP(Registros[[#This Row],[Producto]],Producto[],2,FALSE)</f>
        <v>SALF</v>
      </c>
    </row>
    <row r="2845" spans="1:8" ht="20.100000000000001" customHeight="1" x14ac:dyDescent="0.25">
      <c r="A2845" s="3" t="s">
        <v>175</v>
      </c>
      <c r="B2845" s="3" t="s">
        <v>398</v>
      </c>
      <c r="C2845" s="3">
        <v>2022</v>
      </c>
      <c r="D2845" s="4">
        <v>1</v>
      </c>
      <c r="E2845" s="5">
        <v>74.5</v>
      </c>
      <c r="F2845" s="5">
        <v>6.18</v>
      </c>
      <c r="G2845" s="3" t="str">
        <f>VLOOKUP(Registros[[#This Row],[Cliente]],Cliente_Region[],2,FALSE)</f>
        <v>Colombia</v>
      </c>
      <c r="H2845" s="3" t="str">
        <f>VLOOKUP(Registros[[#This Row],[Producto]],Producto[],2,FALSE)</f>
        <v>GAMBO</v>
      </c>
    </row>
    <row r="2846" spans="1:8" ht="20.100000000000001" customHeight="1" x14ac:dyDescent="0.25">
      <c r="A2846" s="3" t="s">
        <v>371</v>
      </c>
      <c r="B2846" s="3" t="s">
        <v>398</v>
      </c>
      <c r="C2846" s="3">
        <v>2022</v>
      </c>
      <c r="D2846" s="4">
        <v>2</v>
      </c>
      <c r="E2846" s="5">
        <v>85.39</v>
      </c>
      <c r="F2846" s="5">
        <v>17.07</v>
      </c>
      <c r="G2846" s="3" t="str">
        <f>VLOOKUP(Registros[[#This Row],[Cliente]],Cliente_Region[],2,FALSE)</f>
        <v>Colombia</v>
      </c>
      <c r="H2846" s="3" t="str">
        <f>VLOOKUP(Registros[[#This Row],[Producto]],Producto[],2,FALSE)</f>
        <v>QUOKAR</v>
      </c>
    </row>
    <row r="2847" spans="1:8" ht="20.100000000000001" customHeight="1" x14ac:dyDescent="0.25">
      <c r="A2847" s="3" t="s">
        <v>371</v>
      </c>
      <c r="B2847" s="3" t="s">
        <v>398</v>
      </c>
      <c r="C2847" s="3">
        <v>2022</v>
      </c>
      <c r="D2847" s="4">
        <v>3</v>
      </c>
      <c r="E2847" s="5">
        <v>50</v>
      </c>
      <c r="F2847" s="5">
        <v>1.2</v>
      </c>
      <c r="G2847" s="3" t="str">
        <f>VLOOKUP(Registros[[#This Row],[Cliente]],Cliente_Region[],2,FALSE)</f>
        <v>Colombia</v>
      </c>
      <c r="H2847" s="3" t="str">
        <f>VLOOKUP(Registros[[#This Row],[Producto]],Producto[],2,FALSE)</f>
        <v>QUOKAR</v>
      </c>
    </row>
    <row r="2848" spans="1:8" ht="20.100000000000001" customHeight="1" x14ac:dyDescent="0.25">
      <c r="A2848" s="3" t="s">
        <v>371</v>
      </c>
      <c r="B2848" s="3" t="s">
        <v>398</v>
      </c>
      <c r="C2848" s="3">
        <v>2022</v>
      </c>
      <c r="D2848" s="4">
        <v>4</v>
      </c>
      <c r="E2848" s="5">
        <v>30.5</v>
      </c>
      <c r="F2848" s="5">
        <v>10.98</v>
      </c>
      <c r="G2848" s="3" t="str">
        <f>VLOOKUP(Registros[[#This Row],[Cliente]],Cliente_Region[],2,FALSE)</f>
        <v>Colombia</v>
      </c>
      <c r="H2848" s="3" t="str">
        <f>VLOOKUP(Registros[[#This Row],[Producto]],Producto[],2,FALSE)</f>
        <v>QUOKAR</v>
      </c>
    </row>
    <row r="2849" spans="1:8" ht="20.100000000000001" customHeight="1" x14ac:dyDescent="0.25">
      <c r="A2849" s="3" t="s">
        <v>284</v>
      </c>
      <c r="B2849" s="3" t="s">
        <v>398</v>
      </c>
      <c r="C2849" s="3">
        <v>2022</v>
      </c>
      <c r="D2849" s="4">
        <v>1</v>
      </c>
      <c r="E2849" s="5">
        <v>79.5</v>
      </c>
      <c r="F2849" s="5">
        <v>48.14</v>
      </c>
      <c r="G2849" s="3" t="str">
        <f>VLOOKUP(Registros[[#This Row],[Cliente]],Cliente_Region[],2,FALSE)</f>
        <v>Colombia</v>
      </c>
      <c r="H2849" s="3" t="str">
        <f>VLOOKUP(Registros[[#This Row],[Producto]],Producto[],2,FALSE)</f>
        <v>DONANY</v>
      </c>
    </row>
    <row r="2850" spans="1:8" ht="20.100000000000001" customHeight="1" x14ac:dyDescent="0.25">
      <c r="A2850" s="3" t="s">
        <v>285</v>
      </c>
      <c r="B2850" s="3" t="s">
        <v>398</v>
      </c>
      <c r="C2850" s="3">
        <v>2022</v>
      </c>
      <c r="D2850" s="4">
        <v>2</v>
      </c>
      <c r="E2850" s="5">
        <v>81.599999999999994</v>
      </c>
      <c r="F2850" s="5">
        <v>37.04</v>
      </c>
      <c r="G2850" s="3" t="str">
        <f>VLOOKUP(Registros[[#This Row],[Cliente]],Cliente_Region[],2,FALSE)</f>
        <v>Colombia</v>
      </c>
      <c r="H2850" s="3" t="str">
        <f>VLOOKUP(Registros[[#This Row],[Producto]],Producto[],2,FALSE)</f>
        <v>MOC</v>
      </c>
    </row>
    <row r="2851" spans="1:8" ht="20.100000000000001" customHeight="1" x14ac:dyDescent="0.25">
      <c r="A2851" s="3" t="s">
        <v>285</v>
      </c>
      <c r="B2851" s="3" t="s">
        <v>398</v>
      </c>
      <c r="C2851" s="3">
        <v>2022</v>
      </c>
      <c r="D2851" s="4">
        <v>3</v>
      </c>
      <c r="E2851" s="5">
        <v>31.5</v>
      </c>
      <c r="F2851" s="5">
        <v>18.059999999999999</v>
      </c>
      <c r="G2851" s="3" t="str">
        <f>VLOOKUP(Registros[[#This Row],[Cliente]],Cliente_Region[],2,FALSE)</f>
        <v>Colombia</v>
      </c>
      <c r="H2851" s="3" t="str">
        <f>VLOOKUP(Registros[[#This Row],[Producto]],Producto[],2,FALSE)</f>
        <v>MOC</v>
      </c>
    </row>
    <row r="2852" spans="1:8" ht="20.100000000000001" customHeight="1" x14ac:dyDescent="0.25">
      <c r="A2852" s="3" t="s">
        <v>285</v>
      </c>
      <c r="B2852" s="3" t="s">
        <v>398</v>
      </c>
      <c r="C2852" s="3">
        <v>2022</v>
      </c>
      <c r="D2852" s="4">
        <v>4</v>
      </c>
      <c r="E2852" s="5">
        <v>26.5</v>
      </c>
      <c r="F2852" s="5">
        <v>17.54</v>
      </c>
      <c r="G2852" s="3" t="str">
        <f>VLOOKUP(Registros[[#This Row],[Cliente]],Cliente_Region[],2,FALSE)</f>
        <v>Colombia</v>
      </c>
      <c r="H2852" s="3" t="str">
        <f>VLOOKUP(Registros[[#This Row],[Producto]],Producto[],2,FALSE)</f>
        <v>MOC</v>
      </c>
    </row>
    <row r="2853" spans="1:8" ht="20.100000000000001" customHeight="1" x14ac:dyDescent="0.25">
      <c r="A2853" s="3" t="s">
        <v>17</v>
      </c>
      <c r="B2853" s="3" t="s">
        <v>398</v>
      </c>
      <c r="C2853" s="3">
        <v>2022</v>
      </c>
      <c r="D2853" s="4">
        <v>1</v>
      </c>
      <c r="E2853" s="5">
        <v>105.05</v>
      </c>
      <c r="F2853" s="5">
        <v>32.549999999999997</v>
      </c>
      <c r="G2853" s="3" t="str">
        <f>VLOOKUP(Registros[[#This Row],[Cliente]],Cliente_Region[],2,FALSE)</f>
        <v>Colombia</v>
      </c>
      <c r="H2853" s="3" t="str">
        <f>VLOOKUP(Registros[[#This Row],[Producto]],Producto[],2,FALSE)</f>
        <v>LAX</v>
      </c>
    </row>
    <row r="2854" spans="1:8" ht="20.100000000000001" customHeight="1" x14ac:dyDescent="0.25">
      <c r="A2854" s="3" t="s">
        <v>18</v>
      </c>
      <c r="B2854" s="3" t="s">
        <v>398</v>
      </c>
      <c r="C2854" s="3">
        <v>2022</v>
      </c>
      <c r="D2854" s="4">
        <v>2</v>
      </c>
      <c r="E2854" s="5">
        <v>84.7</v>
      </c>
      <c r="F2854" s="5">
        <v>26.25</v>
      </c>
      <c r="G2854" s="3" t="str">
        <f>VLOOKUP(Registros[[#This Row],[Cliente]],Cliente_Region[],2,FALSE)</f>
        <v>Colombia</v>
      </c>
      <c r="H2854" s="3" t="str">
        <f>VLOOKUP(Registros[[#This Row],[Producto]],Producto[],2,FALSE)</f>
        <v>GAMBO</v>
      </c>
    </row>
    <row r="2855" spans="1:8" ht="20.100000000000001" customHeight="1" x14ac:dyDescent="0.25">
      <c r="A2855" s="3" t="s">
        <v>18</v>
      </c>
      <c r="B2855" s="3" t="s">
        <v>398</v>
      </c>
      <c r="C2855" s="3">
        <v>2022</v>
      </c>
      <c r="D2855" s="4">
        <v>4</v>
      </c>
      <c r="E2855" s="5">
        <v>22</v>
      </c>
      <c r="F2855" s="5">
        <v>7.43</v>
      </c>
      <c r="G2855" s="3" t="str">
        <f>VLOOKUP(Registros[[#This Row],[Cliente]],Cliente_Region[],2,FALSE)</f>
        <v>Colombia</v>
      </c>
      <c r="H2855" s="3" t="str">
        <f>VLOOKUP(Registros[[#This Row],[Producto]],Producto[],2,FALSE)</f>
        <v>GAMBO</v>
      </c>
    </row>
    <row r="2856" spans="1:8" ht="20.100000000000001" customHeight="1" x14ac:dyDescent="0.25">
      <c r="A2856" s="3" t="s">
        <v>335</v>
      </c>
      <c r="B2856" s="3" t="s">
        <v>398</v>
      </c>
      <c r="C2856" s="3">
        <v>2022</v>
      </c>
      <c r="D2856" s="4">
        <v>3</v>
      </c>
      <c r="E2856" s="5">
        <v>29.6</v>
      </c>
      <c r="F2856" s="5">
        <v>11.33</v>
      </c>
      <c r="G2856" s="3" t="str">
        <f>VLOOKUP(Registros[[#This Row],[Cliente]],Cliente_Region[],2,FALSE)</f>
        <v>Colombia</v>
      </c>
      <c r="H2856" s="3" t="str">
        <f>VLOOKUP(Registros[[#This Row],[Producto]],Producto[],2,FALSE)</f>
        <v>GAMBO</v>
      </c>
    </row>
    <row r="2857" spans="1:8" ht="20.100000000000001" customHeight="1" x14ac:dyDescent="0.25">
      <c r="A2857" s="3" t="s">
        <v>20</v>
      </c>
      <c r="B2857" s="3" t="s">
        <v>398</v>
      </c>
      <c r="C2857" s="3">
        <v>2022</v>
      </c>
      <c r="D2857" s="4">
        <v>1</v>
      </c>
      <c r="E2857" s="5">
        <v>89.1</v>
      </c>
      <c r="F2857" s="5">
        <v>40.15</v>
      </c>
      <c r="G2857" s="3" t="str">
        <f>VLOOKUP(Registros[[#This Row],[Cliente]],Cliente_Region[],2,FALSE)</f>
        <v>Colombia</v>
      </c>
      <c r="H2857" s="3" t="str">
        <f>VLOOKUP(Registros[[#This Row],[Producto]],Producto[],2,FALSE)</f>
        <v>CHOTUS</v>
      </c>
    </row>
    <row r="2858" spans="1:8" ht="20.100000000000001" customHeight="1" x14ac:dyDescent="0.25">
      <c r="A2858" s="3" t="s">
        <v>21</v>
      </c>
      <c r="B2858" s="3" t="s">
        <v>398</v>
      </c>
      <c r="C2858" s="3">
        <v>2022</v>
      </c>
      <c r="D2858" s="4">
        <v>2</v>
      </c>
      <c r="E2858" s="5">
        <v>27.5</v>
      </c>
      <c r="F2858" s="5">
        <v>10.08</v>
      </c>
      <c r="G2858" s="3" t="str">
        <f>VLOOKUP(Registros[[#This Row],[Cliente]],Cliente_Region[],2,FALSE)</f>
        <v>Colombia</v>
      </c>
      <c r="H2858" s="3" t="str">
        <f>VLOOKUP(Registros[[#This Row],[Producto]],Producto[],2,FALSE)</f>
        <v>MOC</v>
      </c>
    </row>
    <row r="2859" spans="1:8" ht="20.100000000000001" customHeight="1" x14ac:dyDescent="0.25">
      <c r="A2859" s="3" t="s">
        <v>21</v>
      </c>
      <c r="B2859" s="3" t="s">
        <v>398</v>
      </c>
      <c r="C2859" s="3">
        <v>2022</v>
      </c>
      <c r="D2859" s="4">
        <v>4</v>
      </c>
      <c r="E2859" s="5">
        <v>28.5</v>
      </c>
      <c r="F2859" s="5">
        <v>10.41</v>
      </c>
      <c r="G2859" s="3" t="str">
        <f>VLOOKUP(Registros[[#This Row],[Cliente]],Cliente_Region[],2,FALSE)</f>
        <v>Colombia</v>
      </c>
      <c r="H2859" s="3" t="str">
        <f>VLOOKUP(Registros[[#This Row],[Producto]],Producto[],2,FALSE)</f>
        <v>MOC</v>
      </c>
    </row>
    <row r="2860" spans="1:8" ht="20.100000000000001" customHeight="1" x14ac:dyDescent="0.25">
      <c r="A2860" s="3" t="s">
        <v>26</v>
      </c>
      <c r="B2860" s="3" t="s">
        <v>398</v>
      </c>
      <c r="C2860" s="3">
        <v>2022</v>
      </c>
      <c r="D2860" s="4">
        <v>1</v>
      </c>
      <c r="E2860" s="5">
        <v>127.7</v>
      </c>
      <c r="F2860" s="5">
        <v>67.94</v>
      </c>
      <c r="G2860" s="3" t="str">
        <f>VLOOKUP(Registros[[#This Row],[Cliente]],Cliente_Region[],2,FALSE)</f>
        <v>Colombia</v>
      </c>
      <c r="H2860" s="3" t="str">
        <f>VLOOKUP(Registros[[#This Row],[Producto]],Producto[],2,FALSE)</f>
        <v>CHOTUS</v>
      </c>
    </row>
    <row r="2861" spans="1:8" ht="20.100000000000001" customHeight="1" x14ac:dyDescent="0.25">
      <c r="A2861" s="3" t="s">
        <v>27</v>
      </c>
      <c r="B2861" s="3" t="s">
        <v>398</v>
      </c>
      <c r="C2861" s="3">
        <v>2022</v>
      </c>
      <c r="D2861" s="4">
        <v>4</v>
      </c>
      <c r="E2861" s="5">
        <v>35.25</v>
      </c>
      <c r="F2861" s="5">
        <v>20.309999999999999</v>
      </c>
      <c r="G2861" s="3" t="str">
        <f>VLOOKUP(Registros[[#This Row],[Cliente]],Cliente_Region[],2,FALSE)</f>
        <v>Colombia</v>
      </c>
      <c r="H2861" s="3" t="str">
        <f>VLOOKUP(Registros[[#This Row],[Producto]],Producto[],2,FALSE)</f>
        <v>MOC</v>
      </c>
    </row>
    <row r="2862" spans="1:8" ht="20.100000000000001" customHeight="1" x14ac:dyDescent="0.25">
      <c r="A2862" s="3" t="s">
        <v>220</v>
      </c>
      <c r="B2862" s="3" t="s">
        <v>398</v>
      </c>
      <c r="C2862" s="3">
        <v>2022</v>
      </c>
      <c r="D2862" s="4">
        <v>2</v>
      </c>
      <c r="E2862" s="5">
        <v>135.52000000000001</v>
      </c>
      <c r="F2862" s="5">
        <v>74.040000000000006</v>
      </c>
      <c r="G2862" s="3" t="str">
        <f>VLOOKUP(Registros[[#This Row],[Cliente]],Cliente_Region[],2,FALSE)</f>
        <v>Colombia</v>
      </c>
      <c r="H2862" s="3" t="str">
        <f>VLOOKUP(Registros[[#This Row],[Producto]],Producto[],2,FALSE)</f>
        <v>GAMBO</v>
      </c>
    </row>
    <row r="2863" spans="1:8" ht="20.100000000000001" customHeight="1" x14ac:dyDescent="0.25">
      <c r="A2863" s="3" t="s">
        <v>221</v>
      </c>
      <c r="B2863" s="3" t="s">
        <v>398</v>
      </c>
      <c r="C2863" s="3">
        <v>2022</v>
      </c>
      <c r="D2863" s="4">
        <v>3</v>
      </c>
      <c r="E2863" s="5">
        <v>135.52000000000001</v>
      </c>
      <c r="F2863" s="5">
        <v>70.52</v>
      </c>
      <c r="G2863" s="3" t="str">
        <f>VLOOKUP(Registros[[#This Row],[Cliente]],Cliente_Region[],2,FALSE)</f>
        <v>Colombia</v>
      </c>
      <c r="H2863" s="3" t="str">
        <f>VLOOKUP(Registros[[#This Row],[Producto]],Producto[],2,FALSE)</f>
        <v>DONANY</v>
      </c>
    </row>
    <row r="2864" spans="1:8" ht="20.100000000000001" customHeight="1" x14ac:dyDescent="0.25">
      <c r="A2864" s="3" t="s">
        <v>321</v>
      </c>
      <c r="B2864" s="3" t="s">
        <v>398</v>
      </c>
      <c r="C2864" s="3">
        <v>2022</v>
      </c>
      <c r="D2864" s="4">
        <v>1</v>
      </c>
      <c r="E2864" s="5">
        <v>75</v>
      </c>
      <c r="F2864" s="5">
        <v>18.100000000000001</v>
      </c>
      <c r="G2864" s="3" t="str">
        <f>VLOOKUP(Registros[[#This Row],[Cliente]],Cliente_Region[],2,FALSE)</f>
        <v>Colombia</v>
      </c>
      <c r="H2864" s="3" t="str">
        <f>VLOOKUP(Registros[[#This Row],[Producto]],Producto[],2,FALSE)</f>
        <v>GAMBO</v>
      </c>
    </row>
    <row r="2865" spans="1:8" ht="20.100000000000001" customHeight="1" x14ac:dyDescent="0.25">
      <c r="A2865" s="3" t="s">
        <v>322</v>
      </c>
      <c r="B2865" s="3" t="s">
        <v>398</v>
      </c>
      <c r="C2865" s="3">
        <v>2022</v>
      </c>
      <c r="D2865" s="4">
        <v>2</v>
      </c>
      <c r="E2865" s="5">
        <v>78.55</v>
      </c>
      <c r="F2865" s="5">
        <v>21.56</v>
      </c>
      <c r="G2865" s="3" t="str">
        <f>VLOOKUP(Registros[[#This Row],[Cliente]],Cliente_Region[],2,FALSE)</f>
        <v>Colombia</v>
      </c>
      <c r="H2865" s="3" t="str">
        <f>VLOOKUP(Registros[[#This Row],[Producto]],Producto[],2,FALSE)</f>
        <v>LAX</v>
      </c>
    </row>
    <row r="2866" spans="1:8" ht="20.100000000000001" customHeight="1" x14ac:dyDescent="0.25">
      <c r="A2866" s="3" t="s">
        <v>322</v>
      </c>
      <c r="B2866" s="3" t="s">
        <v>398</v>
      </c>
      <c r="C2866" s="3">
        <v>2022</v>
      </c>
      <c r="D2866" s="4">
        <v>3</v>
      </c>
      <c r="E2866" s="5">
        <v>35</v>
      </c>
      <c r="F2866" s="5">
        <v>6.67</v>
      </c>
      <c r="G2866" s="3" t="str">
        <f>VLOOKUP(Registros[[#This Row],[Cliente]],Cliente_Region[],2,FALSE)</f>
        <v>Colombia</v>
      </c>
      <c r="H2866" s="3" t="str">
        <f>VLOOKUP(Registros[[#This Row],[Producto]],Producto[],2,FALSE)</f>
        <v>LAX</v>
      </c>
    </row>
    <row r="2867" spans="1:8" ht="20.100000000000001" customHeight="1" x14ac:dyDescent="0.25">
      <c r="A2867" s="3" t="s">
        <v>322</v>
      </c>
      <c r="B2867" s="3" t="s">
        <v>398</v>
      </c>
      <c r="C2867" s="3">
        <v>2022</v>
      </c>
      <c r="D2867" s="4">
        <v>4</v>
      </c>
      <c r="E2867" s="5">
        <v>20.25</v>
      </c>
      <c r="F2867" s="5">
        <v>6.07</v>
      </c>
      <c r="G2867" s="3" t="str">
        <f>VLOOKUP(Registros[[#This Row],[Cliente]],Cliente_Region[],2,FALSE)</f>
        <v>Colombia</v>
      </c>
      <c r="H2867" s="3" t="str">
        <f>VLOOKUP(Registros[[#This Row],[Producto]],Producto[],2,FALSE)</f>
        <v>LAX</v>
      </c>
    </row>
    <row r="2868" spans="1:8" ht="20.100000000000001" customHeight="1" x14ac:dyDescent="0.25">
      <c r="A2868" s="3" t="s">
        <v>327</v>
      </c>
      <c r="B2868" s="3" t="s">
        <v>398</v>
      </c>
      <c r="C2868" s="3">
        <v>2022</v>
      </c>
      <c r="D2868" s="4">
        <v>1</v>
      </c>
      <c r="E2868" s="5">
        <v>29.25</v>
      </c>
      <c r="F2868" s="5">
        <v>0.14000000000000001</v>
      </c>
      <c r="G2868" s="3" t="str">
        <f>VLOOKUP(Registros[[#This Row],[Cliente]],Cliente_Region[],2,FALSE)</f>
        <v>Colombia</v>
      </c>
      <c r="H2868" s="3" t="str">
        <f>VLOOKUP(Registros[[#This Row],[Producto]],Producto[],2,FALSE)</f>
        <v>CHOTUS</v>
      </c>
    </row>
    <row r="2869" spans="1:8" ht="20.100000000000001" customHeight="1" x14ac:dyDescent="0.25">
      <c r="A2869" s="3" t="s">
        <v>11</v>
      </c>
      <c r="B2869" s="3" t="s">
        <v>398</v>
      </c>
      <c r="C2869" s="3">
        <v>2022</v>
      </c>
      <c r="D2869" s="4">
        <v>1</v>
      </c>
      <c r="E2869" s="5">
        <v>54.75</v>
      </c>
      <c r="F2869" s="5">
        <v>24.86</v>
      </c>
      <c r="G2869" s="3" t="str">
        <f>VLOOKUP(Registros[[#This Row],[Cliente]],Cliente_Region[],2,FALSE)</f>
        <v>Colombia</v>
      </c>
      <c r="H2869" s="3" t="str">
        <f>VLOOKUP(Registros[[#This Row],[Producto]],Producto[],2,FALSE)</f>
        <v>DONANY</v>
      </c>
    </row>
    <row r="2870" spans="1:8" ht="20.100000000000001" customHeight="1" x14ac:dyDescent="0.25">
      <c r="A2870" s="3" t="s">
        <v>292</v>
      </c>
      <c r="B2870" s="3" t="s">
        <v>398</v>
      </c>
      <c r="C2870" s="3">
        <v>2022</v>
      </c>
      <c r="D2870" s="4">
        <v>2</v>
      </c>
      <c r="E2870" s="5">
        <v>22.63</v>
      </c>
      <c r="F2870" s="5">
        <v>10.67</v>
      </c>
      <c r="G2870" s="3" t="str">
        <f>VLOOKUP(Registros[[#This Row],[Cliente]],Cliente_Region[],2,FALSE)</f>
        <v>Colombia</v>
      </c>
      <c r="H2870" s="3" t="str">
        <f>VLOOKUP(Registros[[#This Row],[Producto]],Producto[],2,FALSE)</f>
        <v>QUOKAR</v>
      </c>
    </row>
    <row r="2871" spans="1:8" ht="20.100000000000001" customHeight="1" x14ac:dyDescent="0.25">
      <c r="A2871" s="3" t="s">
        <v>292</v>
      </c>
      <c r="B2871" s="3" t="s">
        <v>398</v>
      </c>
      <c r="C2871" s="3">
        <v>2022</v>
      </c>
      <c r="D2871" s="4">
        <v>3</v>
      </c>
      <c r="E2871" s="5">
        <v>41</v>
      </c>
      <c r="F2871" s="5">
        <v>17.09</v>
      </c>
      <c r="G2871" s="3" t="str">
        <f>VLOOKUP(Registros[[#This Row],[Cliente]],Cliente_Region[],2,FALSE)</f>
        <v>Colombia</v>
      </c>
      <c r="H2871" s="3" t="str">
        <f>VLOOKUP(Registros[[#This Row],[Producto]],Producto[],2,FALSE)</f>
        <v>QUOKAR</v>
      </c>
    </row>
    <row r="2872" spans="1:8" ht="20.100000000000001" customHeight="1" x14ac:dyDescent="0.25">
      <c r="A2872" s="3" t="s">
        <v>292</v>
      </c>
      <c r="B2872" s="3" t="s">
        <v>398</v>
      </c>
      <c r="C2872" s="3">
        <v>2022</v>
      </c>
      <c r="D2872" s="4">
        <v>4</v>
      </c>
      <c r="E2872" s="5">
        <v>25</v>
      </c>
      <c r="F2872" s="5">
        <v>13.05</v>
      </c>
      <c r="G2872" s="3" t="str">
        <f>VLOOKUP(Registros[[#This Row],[Cliente]],Cliente_Region[],2,FALSE)</f>
        <v>Colombia</v>
      </c>
      <c r="H2872" s="3" t="str">
        <f>VLOOKUP(Registros[[#This Row],[Producto]],Producto[],2,FALSE)</f>
        <v>QUOKAR</v>
      </c>
    </row>
    <row r="2873" spans="1:8" ht="20.100000000000001" customHeight="1" x14ac:dyDescent="0.25">
      <c r="A2873" s="3" t="s">
        <v>323</v>
      </c>
      <c r="B2873" s="3" t="s">
        <v>398</v>
      </c>
      <c r="C2873" s="3">
        <v>2022</v>
      </c>
      <c r="D2873" s="4">
        <v>1</v>
      </c>
      <c r="E2873" s="5">
        <v>46.5</v>
      </c>
      <c r="F2873" s="5">
        <v>7.96</v>
      </c>
      <c r="G2873" s="3" t="str">
        <f>VLOOKUP(Registros[[#This Row],[Cliente]],Cliente_Region[],2,FALSE)</f>
        <v>Colombia</v>
      </c>
      <c r="H2873" s="3" t="str">
        <f>VLOOKUP(Registros[[#This Row],[Producto]],Producto[],2,FALSE)</f>
        <v>GAMBO</v>
      </c>
    </row>
    <row r="2874" spans="1:8" ht="20.100000000000001" customHeight="1" x14ac:dyDescent="0.25">
      <c r="A2874" s="3" t="s">
        <v>324</v>
      </c>
      <c r="B2874" s="3" t="s">
        <v>398</v>
      </c>
      <c r="C2874" s="3">
        <v>2022</v>
      </c>
      <c r="D2874" s="4">
        <v>2</v>
      </c>
      <c r="E2874" s="5">
        <v>97.5</v>
      </c>
      <c r="F2874" s="5">
        <v>21.4</v>
      </c>
      <c r="G2874" s="3" t="str">
        <f>VLOOKUP(Registros[[#This Row],[Cliente]],Cliente_Region[],2,FALSE)</f>
        <v>Colombia</v>
      </c>
      <c r="H2874" s="3" t="str">
        <f>VLOOKUP(Registros[[#This Row],[Producto]],Producto[],2,FALSE)</f>
        <v>DONANY</v>
      </c>
    </row>
    <row r="2875" spans="1:8" ht="20.100000000000001" customHeight="1" x14ac:dyDescent="0.25">
      <c r="A2875" s="3" t="s">
        <v>293</v>
      </c>
      <c r="B2875" s="3" t="s">
        <v>398</v>
      </c>
      <c r="C2875" s="3">
        <v>2022</v>
      </c>
      <c r="D2875" s="4">
        <v>1</v>
      </c>
      <c r="E2875" s="5">
        <v>46.5</v>
      </c>
      <c r="F2875" s="5">
        <v>7.34</v>
      </c>
      <c r="G2875" s="3" t="str">
        <f>VLOOKUP(Registros[[#This Row],[Cliente]],Cliente_Region[],2,FALSE)</f>
        <v>Colombia</v>
      </c>
      <c r="H2875" s="3" t="str">
        <f>VLOOKUP(Registros[[#This Row],[Producto]],Producto[],2,FALSE)</f>
        <v>QUOKAR</v>
      </c>
    </row>
    <row r="2876" spans="1:8" ht="20.100000000000001" customHeight="1" x14ac:dyDescent="0.25">
      <c r="A2876" s="3" t="s">
        <v>294</v>
      </c>
      <c r="B2876" s="3" t="s">
        <v>398</v>
      </c>
      <c r="C2876" s="3">
        <v>2022</v>
      </c>
      <c r="D2876" s="4">
        <v>2</v>
      </c>
      <c r="E2876" s="5">
        <v>47.26</v>
      </c>
      <c r="F2876" s="5">
        <v>8.06</v>
      </c>
      <c r="G2876" s="3" t="str">
        <f>VLOOKUP(Registros[[#This Row],[Cliente]],Cliente_Region[],2,FALSE)</f>
        <v>Colombia</v>
      </c>
      <c r="H2876" s="3" t="str">
        <f>VLOOKUP(Registros[[#This Row],[Producto]],Producto[],2,FALSE)</f>
        <v>CHOTUS</v>
      </c>
    </row>
    <row r="2877" spans="1:8" ht="20.100000000000001" customHeight="1" x14ac:dyDescent="0.25">
      <c r="A2877" s="3" t="s">
        <v>294</v>
      </c>
      <c r="B2877" s="3" t="s">
        <v>398</v>
      </c>
      <c r="C2877" s="3">
        <v>2022</v>
      </c>
      <c r="D2877" s="4">
        <v>3</v>
      </c>
      <c r="E2877" s="5">
        <v>67.5</v>
      </c>
      <c r="F2877" s="5">
        <v>8.82</v>
      </c>
      <c r="G2877" s="3" t="str">
        <f>VLOOKUP(Registros[[#This Row],[Cliente]],Cliente_Region[],2,FALSE)</f>
        <v>Colombia</v>
      </c>
      <c r="H2877" s="3" t="str">
        <f>VLOOKUP(Registros[[#This Row],[Producto]],Producto[],2,FALSE)</f>
        <v>CHOTUS</v>
      </c>
    </row>
    <row r="2878" spans="1:8" ht="20.100000000000001" customHeight="1" x14ac:dyDescent="0.25">
      <c r="A2878" s="3" t="s">
        <v>294</v>
      </c>
      <c r="B2878" s="3" t="s">
        <v>398</v>
      </c>
      <c r="C2878" s="3">
        <v>2022</v>
      </c>
      <c r="D2878" s="4">
        <v>4</v>
      </c>
      <c r="E2878" s="5">
        <v>26</v>
      </c>
      <c r="F2878" s="5">
        <v>6.4</v>
      </c>
      <c r="G2878" s="3" t="str">
        <f>VLOOKUP(Registros[[#This Row],[Cliente]],Cliente_Region[],2,FALSE)</f>
        <v>Colombia</v>
      </c>
      <c r="H2878" s="3" t="str">
        <f>VLOOKUP(Registros[[#This Row],[Producto]],Producto[],2,FALSE)</f>
        <v>CHOTUS</v>
      </c>
    </row>
    <row r="2879" spans="1:8" ht="20.100000000000001" customHeight="1" x14ac:dyDescent="0.25">
      <c r="A2879" s="3" t="s">
        <v>304</v>
      </c>
      <c r="B2879" s="3" t="s">
        <v>398</v>
      </c>
      <c r="C2879" s="3">
        <v>2022</v>
      </c>
      <c r="D2879" s="4">
        <v>1</v>
      </c>
      <c r="E2879" s="5">
        <v>62.25</v>
      </c>
      <c r="F2879" s="5">
        <v>39.799999999999997</v>
      </c>
      <c r="G2879" s="3" t="str">
        <f>VLOOKUP(Registros[[#This Row],[Cliente]],Cliente_Region[],2,FALSE)</f>
        <v>Colombia</v>
      </c>
      <c r="H2879" s="3" t="str">
        <f>VLOOKUP(Registros[[#This Row],[Producto]],Producto[],2,FALSE)</f>
        <v>QUOKAR</v>
      </c>
    </row>
    <row r="2880" spans="1:8" ht="20.100000000000001" customHeight="1" x14ac:dyDescent="0.25">
      <c r="A2880" s="3" t="s">
        <v>305</v>
      </c>
      <c r="B2880" s="3" t="s">
        <v>398</v>
      </c>
      <c r="C2880" s="3">
        <v>2022</v>
      </c>
      <c r="D2880" s="4">
        <v>2</v>
      </c>
      <c r="E2880" s="5">
        <v>37.799999999999997</v>
      </c>
      <c r="F2880" s="5">
        <v>24.33</v>
      </c>
      <c r="G2880" s="3" t="str">
        <f>VLOOKUP(Registros[[#This Row],[Cliente]],Cliente_Region[],2,FALSE)</f>
        <v>Colombia</v>
      </c>
      <c r="H2880" s="3" t="str">
        <f>VLOOKUP(Registros[[#This Row],[Producto]],Producto[],2,FALSE)</f>
        <v>DAWNE</v>
      </c>
    </row>
    <row r="2881" spans="1:8" ht="20.100000000000001" customHeight="1" x14ac:dyDescent="0.25">
      <c r="A2881" s="3" t="s">
        <v>305</v>
      </c>
      <c r="B2881" s="3" t="s">
        <v>398</v>
      </c>
      <c r="C2881" s="3">
        <v>2022</v>
      </c>
      <c r="D2881" s="4">
        <v>3</v>
      </c>
      <c r="E2881" s="5">
        <v>47</v>
      </c>
      <c r="F2881" s="5">
        <v>29.04</v>
      </c>
      <c r="G2881" s="3" t="str">
        <f>VLOOKUP(Registros[[#This Row],[Cliente]],Cliente_Region[],2,FALSE)</f>
        <v>Colombia</v>
      </c>
      <c r="H2881" s="3" t="str">
        <f>VLOOKUP(Registros[[#This Row],[Producto]],Producto[],2,FALSE)</f>
        <v>DAWNE</v>
      </c>
    </row>
    <row r="2882" spans="1:8" ht="20.100000000000001" customHeight="1" x14ac:dyDescent="0.25">
      <c r="A2882" s="3" t="s">
        <v>305</v>
      </c>
      <c r="B2882" s="3" t="s">
        <v>398</v>
      </c>
      <c r="C2882" s="3">
        <v>2022</v>
      </c>
      <c r="D2882" s="4">
        <v>4</v>
      </c>
      <c r="E2882" s="5">
        <v>29</v>
      </c>
      <c r="F2882" s="5">
        <v>20.02</v>
      </c>
      <c r="G2882" s="3" t="str">
        <f>VLOOKUP(Registros[[#This Row],[Cliente]],Cliente_Region[],2,FALSE)</f>
        <v>Colombia</v>
      </c>
      <c r="H2882" s="3" t="str">
        <f>VLOOKUP(Registros[[#This Row],[Producto]],Producto[],2,FALSE)</f>
        <v>DAWNE</v>
      </c>
    </row>
    <row r="2883" spans="1:8" ht="20.100000000000001" customHeight="1" x14ac:dyDescent="0.25">
      <c r="A2883" s="3" t="s">
        <v>77</v>
      </c>
      <c r="B2883" s="3" t="s">
        <v>398</v>
      </c>
      <c r="C2883" s="3">
        <v>2022</v>
      </c>
      <c r="D2883" s="4">
        <v>3</v>
      </c>
      <c r="E2883" s="5">
        <v>34.1</v>
      </c>
      <c r="F2883" s="5">
        <v>24.22</v>
      </c>
      <c r="G2883" s="3" t="str">
        <f>VLOOKUP(Registros[[#This Row],[Cliente]],Cliente_Region[],2,FALSE)</f>
        <v>Colombia</v>
      </c>
      <c r="H2883" s="3" t="str">
        <f>VLOOKUP(Registros[[#This Row],[Producto]],Producto[],2,FALSE)</f>
        <v>LAX</v>
      </c>
    </row>
    <row r="2884" spans="1:8" ht="20.100000000000001" customHeight="1" x14ac:dyDescent="0.25">
      <c r="A2884" s="3" t="s">
        <v>172</v>
      </c>
      <c r="B2884" s="3" t="s">
        <v>398</v>
      </c>
      <c r="C2884" s="3">
        <v>2022</v>
      </c>
      <c r="D2884" s="4">
        <v>2</v>
      </c>
      <c r="E2884" s="5">
        <v>102.5</v>
      </c>
      <c r="F2884" s="5">
        <v>-5.03</v>
      </c>
      <c r="G2884" s="3" t="str">
        <f>VLOOKUP(Registros[[#This Row],[Cliente]],Cliente_Region[],2,FALSE)</f>
        <v>Colombia</v>
      </c>
      <c r="H2884" s="3" t="str">
        <f>VLOOKUP(Registros[[#This Row],[Producto]],Producto[],2,FALSE)</f>
        <v>SALF</v>
      </c>
    </row>
    <row r="2885" spans="1:8" ht="20.100000000000001" customHeight="1" x14ac:dyDescent="0.25">
      <c r="A2885" s="3" t="s">
        <v>81</v>
      </c>
      <c r="B2885" s="3" t="s">
        <v>398</v>
      </c>
      <c r="C2885" s="3">
        <v>2022</v>
      </c>
      <c r="D2885" s="4">
        <v>2</v>
      </c>
      <c r="E2885" s="5">
        <v>23.93</v>
      </c>
      <c r="F2885" s="5">
        <v>9.9499999999999993</v>
      </c>
      <c r="G2885" s="3" t="str">
        <f>VLOOKUP(Registros[[#This Row],[Cliente]],Cliente_Region[],2,FALSE)</f>
        <v>Colombia</v>
      </c>
      <c r="H2885" s="3" t="str">
        <f>VLOOKUP(Registros[[#This Row],[Producto]],Producto[],2,FALSE)</f>
        <v>QUOKAR</v>
      </c>
    </row>
    <row r="2886" spans="1:8" ht="20.100000000000001" customHeight="1" x14ac:dyDescent="0.25">
      <c r="A2886" s="3" t="s">
        <v>240</v>
      </c>
      <c r="B2886" s="3" t="s">
        <v>399</v>
      </c>
      <c r="C2886" s="3">
        <v>2022</v>
      </c>
      <c r="D2886" s="4">
        <v>6</v>
      </c>
      <c r="E2886" s="5">
        <v>15.5</v>
      </c>
      <c r="F2886" s="5">
        <v>7.2</v>
      </c>
      <c r="G2886" s="3" t="str">
        <f>VLOOKUP(Registros[[#This Row],[Cliente]],Cliente_Region[],2,FALSE)</f>
        <v>Colombia</v>
      </c>
      <c r="H2886" s="3" t="str">
        <f>VLOOKUP(Registros[[#This Row],[Producto]],Producto[],2,FALSE)</f>
        <v>SALF</v>
      </c>
    </row>
    <row r="2887" spans="1:8" ht="20.100000000000001" customHeight="1" x14ac:dyDescent="0.25">
      <c r="A2887" s="3" t="s">
        <v>36</v>
      </c>
      <c r="B2887" s="3" t="s">
        <v>399</v>
      </c>
      <c r="C2887" s="3">
        <v>2022</v>
      </c>
      <c r="D2887" s="4">
        <v>6</v>
      </c>
      <c r="E2887" s="5">
        <v>11.5</v>
      </c>
      <c r="F2887" s="5">
        <v>7.37</v>
      </c>
      <c r="G2887" s="3" t="str">
        <f>VLOOKUP(Registros[[#This Row],[Cliente]],Cliente_Region[],2,FALSE)</f>
        <v>Colombia</v>
      </c>
      <c r="H2887" s="3" t="str">
        <f>VLOOKUP(Registros[[#This Row],[Producto]],Producto[],2,FALSE)</f>
        <v>QUOKAR</v>
      </c>
    </row>
    <row r="2888" spans="1:8" ht="20.100000000000001" customHeight="1" x14ac:dyDescent="0.25">
      <c r="A2888" s="3" t="s">
        <v>321</v>
      </c>
      <c r="B2888" s="3" t="s">
        <v>399</v>
      </c>
      <c r="C2888" s="3">
        <v>2022</v>
      </c>
      <c r="D2888" s="4">
        <v>5</v>
      </c>
      <c r="E2888" s="5">
        <v>20.25</v>
      </c>
      <c r="F2888" s="5">
        <v>6.72</v>
      </c>
      <c r="G2888" s="3" t="str">
        <f>VLOOKUP(Registros[[#This Row],[Cliente]],Cliente_Region[],2,FALSE)</f>
        <v>Colombia</v>
      </c>
      <c r="H2888" s="3" t="str">
        <f>VLOOKUP(Registros[[#This Row],[Producto]],Producto[],2,FALSE)</f>
        <v>GAMBO</v>
      </c>
    </row>
    <row r="2889" spans="1:8" ht="20.100000000000001" customHeight="1" x14ac:dyDescent="0.25">
      <c r="A2889" s="3" t="s">
        <v>322</v>
      </c>
      <c r="B2889" s="3" t="s">
        <v>399</v>
      </c>
      <c r="C2889" s="3">
        <v>2022</v>
      </c>
      <c r="D2889" s="4">
        <v>6</v>
      </c>
      <c r="E2889" s="5">
        <v>45.5</v>
      </c>
      <c r="F2889" s="5">
        <v>17.2</v>
      </c>
      <c r="G2889" s="3" t="str">
        <f>VLOOKUP(Registros[[#This Row],[Cliente]],Cliente_Region[],2,FALSE)</f>
        <v>Colombia</v>
      </c>
      <c r="H2889" s="3" t="str">
        <f>VLOOKUP(Registros[[#This Row],[Producto]],Producto[],2,FALSE)</f>
        <v>LAX</v>
      </c>
    </row>
    <row r="2890" spans="1:8" ht="20.100000000000001" customHeight="1" x14ac:dyDescent="0.25">
      <c r="A2890" s="3" t="s">
        <v>293</v>
      </c>
      <c r="B2890" s="3" t="s">
        <v>399</v>
      </c>
      <c r="C2890" s="3">
        <v>2022</v>
      </c>
      <c r="D2890" s="4">
        <v>5</v>
      </c>
      <c r="E2890" s="5">
        <v>13</v>
      </c>
      <c r="F2890" s="5">
        <v>3.2</v>
      </c>
      <c r="G2890" s="3" t="str">
        <f>VLOOKUP(Registros[[#This Row],[Cliente]],Cliente_Region[],2,FALSE)</f>
        <v>Colombia</v>
      </c>
      <c r="H2890" s="3" t="str">
        <f>VLOOKUP(Registros[[#This Row],[Producto]],Producto[],2,FALSE)</f>
        <v>QUOKAR</v>
      </c>
    </row>
    <row r="2891" spans="1:8" ht="20.100000000000001" customHeight="1" x14ac:dyDescent="0.25">
      <c r="A2891" s="3" t="s">
        <v>310</v>
      </c>
      <c r="B2891" s="3" t="s">
        <v>399</v>
      </c>
      <c r="C2891" s="3">
        <v>2022</v>
      </c>
      <c r="D2891" s="4">
        <v>5</v>
      </c>
      <c r="E2891" s="5">
        <v>16.5</v>
      </c>
      <c r="F2891" s="5">
        <v>10.98</v>
      </c>
      <c r="G2891" s="3" t="str">
        <f>VLOOKUP(Registros[[#This Row],[Cliente]],Cliente_Region[],2,FALSE)</f>
        <v>Colombia</v>
      </c>
      <c r="H2891" s="3" t="str">
        <f>VLOOKUP(Registros[[#This Row],[Producto]],Producto[],2,FALSE)</f>
        <v>DONANY</v>
      </c>
    </row>
    <row r="2892" spans="1:8" ht="20.100000000000001" customHeight="1" x14ac:dyDescent="0.25">
      <c r="A2892" s="3" t="s">
        <v>311</v>
      </c>
      <c r="B2892" s="3" t="s">
        <v>399</v>
      </c>
      <c r="C2892" s="3">
        <v>2022</v>
      </c>
      <c r="D2892" s="4">
        <v>6</v>
      </c>
      <c r="E2892" s="5">
        <v>33</v>
      </c>
      <c r="F2892" s="5">
        <v>21.96</v>
      </c>
      <c r="G2892" s="3" t="str">
        <f>VLOOKUP(Registros[[#This Row],[Cliente]],Cliente_Region[],2,FALSE)</f>
        <v>Colombia</v>
      </c>
      <c r="H2892" s="3" t="str">
        <f>VLOOKUP(Registros[[#This Row],[Producto]],Producto[],2,FALSE)</f>
        <v>CHOTUS</v>
      </c>
    </row>
    <row r="2893" spans="1:8" ht="20.100000000000001" customHeight="1" x14ac:dyDescent="0.25">
      <c r="A2893" s="3" t="s">
        <v>38</v>
      </c>
      <c r="B2893" s="3" t="s">
        <v>399</v>
      </c>
      <c r="C2893" s="3">
        <v>2022</v>
      </c>
      <c r="D2893" s="4">
        <v>5</v>
      </c>
      <c r="E2893" s="5">
        <v>26.5</v>
      </c>
      <c r="F2893" s="5">
        <v>16.16</v>
      </c>
      <c r="G2893" s="3" t="str">
        <f>VLOOKUP(Registros[[#This Row],[Cliente]],Cliente_Region[],2,FALSE)</f>
        <v>Colombia</v>
      </c>
      <c r="H2893" s="3" t="str">
        <f>VLOOKUP(Registros[[#This Row],[Producto]],Producto[],2,FALSE)</f>
        <v>LAX</v>
      </c>
    </row>
    <row r="2894" spans="1:8" ht="20.100000000000001" customHeight="1" x14ac:dyDescent="0.25">
      <c r="A2894" s="3" t="s">
        <v>39</v>
      </c>
      <c r="B2894" s="3" t="s">
        <v>399</v>
      </c>
      <c r="C2894" s="3">
        <v>2022</v>
      </c>
      <c r="D2894" s="4">
        <v>6</v>
      </c>
      <c r="E2894" s="5">
        <v>53</v>
      </c>
      <c r="F2894" s="5">
        <v>32.32</v>
      </c>
      <c r="G2894" s="3" t="str">
        <f>VLOOKUP(Registros[[#This Row],[Cliente]],Cliente_Region[],2,FALSE)</f>
        <v>Colombia</v>
      </c>
      <c r="H2894" s="3" t="str">
        <f>VLOOKUP(Registros[[#This Row],[Producto]],Producto[],2,FALSE)</f>
        <v>SALF</v>
      </c>
    </row>
    <row r="2895" spans="1:8" ht="20.100000000000001" customHeight="1" x14ac:dyDescent="0.25">
      <c r="A2895" s="3" t="s">
        <v>40</v>
      </c>
      <c r="B2895" s="3" t="s">
        <v>399</v>
      </c>
      <c r="C2895" s="3">
        <v>2022</v>
      </c>
      <c r="D2895" s="4">
        <v>5</v>
      </c>
      <c r="E2895" s="5">
        <v>26</v>
      </c>
      <c r="F2895" s="5">
        <v>16.079999999999998</v>
      </c>
      <c r="G2895" s="3" t="str">
        <f>VLOOKUP(Registros[[#This Row],[Cliente]],Cliente_Region[],2,FALSE)</f>
        <v>Colombia</v>
      </c>
      <c r="H2895" s="3" t="str">
        <f>VLOOKUP(Registros[[#This Row],[Producto]],Producto[],2,FALSE)</f>
        <v>DAWNE</v>
      </c>
    </row>
    <row r="2896" spans="1:8" ht="20.100000000000001" customHeight="1" x14ac:dyDescent="0.25">
      <c r="A2896" s="3" t="s">
        <v>41</v>
      </c>
      <c r="B2896" s="3" t="s">
        <v>399</v>
      </c>
      <c r="C2896" s="3">
        <v>2022</v>
      </c>
      <c r="D2896" s="4">
        <v>6</v>
      </c>
      <c r="E2896" s="5">
        <v>52</v>
      </c>
      <c r="F2896" s="5">
        <v>32.159999999999997</v>
      </c>
      <c r="G2896" s="3" t="str">
        <f>VLOOKUP(Registros[[#This Row],[Cliente]],Cliente_Region[],2,FALSE)</f>
        <v>Colombia</v>
      </c>
      <c r="H2896" s="3" t="str">
        <f>VLOOKUP(Registros[[#This Row],[Producto]],Producto[],2,FALSE)</f>
        <v>DONANY</v>
      </c>
    </row>
    <row r="2897" spans="1:8" ht="20.100000000000001" customHeight="1" x14ac:dyDescent="0.25">
      <c r="A2897" s="3" t="s">
        <v>42</v>
      </c>
      <c r="B2897" s="3" t="s">
        <v>399</v>
      </c>
      <c r="C2897" s="3">
        <v>2022</v>
      </c>
      <c r="D2897" s="4">
        <v>5</v>
      </c>
      <c r="E2897" s="5">
        <v>27</v>
      </c>
      <c r="F2897" s="5">
        <v>15.85</v>
      </c>
      <c r="G2897" s="3" t="str">
        <f>VLOOKUP(Registros[[#This Row],[Cliente]],Cliente_Region[],2,FALSE)</f>
        <v>Colombia</v>
      </c>
      <c r="H2897" s="3" t="str">
        <f>VLOOKUP(Registros[[#This Row],[Producto]],Producto[],2,FALSE)</f>
        <v>GAMBO</v>
      </c>
    </row>
    <row r="2898" spans="1:8" ht="20.100000000000001" customHeight="1" x14ac:dyDescent="0.25">
      <c r="A2898" s="3" t="s">
        <v>43</v>
      </c>
      <c r="B2898" s="3" t="s">
        <v>399</v>
      </c>
      <c r="C2898" s="3">
        <v>2022</v>
      </c>
      <c r="D2898" s="4">
        <v>6</v>
      </c>
      <c r="E2898" s="5">
        <v>54</v>
      </c>
      <c r="F2898" s="5">
        <v>31.7</v>
      </c>
      <c r="G2898" s="3" t="str">
        <f>VLOOKUP(Registros[[#This Row],[Cliente]],Cliente_Region[],2,FALSE)</f>
        <v>Colombia</v>
      </c>
      <c r="H2898" s="3" t="str">
        <f>VLOOKUP(Registros[[#This Row],[Producto]],Producto[],2,FALSE)</f>
        <v>MOC</v>
      </c>
    </row>
    <row r="2899" spans="1:8" ht="20.100000000000001" customHeight="1" x14ac:dyDescent="0.25">
      <c r="A2899" s="3" t="s">
        <v>282</v>
      </c>
      <c r="B2899" s="3" t="s">
        <v>399</v>
      </c>
      <c r="C2899" s="3">
        <v>2022</v>
      </c>
      <c r="D2899" s="4">
        <v>5</v>
      </c>
      <c r="E2899" s="5">
        <v>16.5</v>
      </c>
      <c r="F2899" s="5">
        <v>9.49</v>
      </c>
      <c r="G2899" s="3" t="str">
        <f>VLOOKUP(Registros[[#This Row],[Cliente]],Cliente_Region[],2,FALSE)</f>
        <v>Colombia</v>
      </c>
      <c r="H2899" s="3" t="str">
        <f>VLOOKUP(Registros[[#This Row],[Producto]],Producto[],2,FALSE)</f>
        <v>DAWNE</v>
      </c>
    </row>
    <row r="2900" spans="1:8" ht="20.100000000000001" customHeight="1" x14ac:dyDescent="0.25">
      <c r="A2900" s="3" t="s">
        <v>114</v>
      </c>
      <c r="B2900" s="3" t="s">
        <v>399</v>
      </c>
      <c r="C2900" s="3">
        <v>2022</v>
      </c>
      <c r="D2900" s="4">
        <v>6</v>
      </c>
      <c r="E2900" s="5">
        <v>33</v>
      </c>
      <c r="F2900" s="5">
        <v>18.98</v>
      </c>
      <c r="G2900" s="3" t="str">
        <f>VLOOKUP(Registros[[#This Row],[Cliente]],Cliente_Region[],2,FALSE)</f>
        <v>Colombia</v>
      </c>
      <c r="H2900" s="3" t="str">
        <f>VLOOKUP(Registros[[#This Row],[Producto]],Producto[],2,FALSE)</f>
        <v>DAWNE</v>
      </c>
    </row>
    <row r="2901" spans="1:8" ht="20.100000000000001" customHeight="1" x14ac:dyDescent="0.25">
      <c r="A2901" s="3" t="s">
        <v>135</v>
      </c>
      <c r="B2901" s="3" t="s">
        <v>399</v>
      </c>
      <c r="C2901" s="3">
        <v>2022</v>
      </c>
      <c r="D2901" s="4">
        <v>5</v>
      </c>
      <c r="E2901" s="5">
        <v>22.5</v>
      </c>
      <c r="F2901" s="5">
        <v>15.76</v>
      </c>
      <c r="G2901" s="3" t="str">
        <f>VLOOKUP(Registros[[#This Row],[Cliente]],Cliente_Region[],2,FALSE)</f>
        <v>Colombia</v>
      </c>
      <c r="H2901" s="3" t="str">
        <f>VLOOKUP(Registros[[#This Row],[Producto]],Producto[],2,FALSE)</f>
        <v>GAMBO</v>
      </c>
    </row>
    <row r="2902" spans="1:8" ht="20.100000000000001" customHeight="1" x14ac:dyDescent="0.25">
      <c r="A2902" s="3" t="s">
        <v>136</v>
      </c>
      <c r="B2902" s="3" t="s">
        <v>399</v>
      </c>
      <c r="C2902" s="3">
        <v>2022</v>
      </c>
      <c r="D2902" s="4">
        <v>5</v>
      </c>
      <c r="E2902" s="5">
        <v>21</v>
      </c>
      <c r="F2902" s="5">
        <v>8.5399999999999991</v>
      </c>
      <c r="G2902" s="3" t="str">
        <f>VLOOKUP(Registros[[#This Row],[Cliente]],Cliente_Region[],2,FALSE)</f>
        <v>Colombia</v>
      </c>
      <c r="H2902" s="3" t="str">
        <f>VLOOKUP(Registros[[#This Row],[Producto]],Producto[],2,FALSE)</f>
        <v>CHOTUS</v>
      </c>
    </row>
    <row r="2903" spans="1:8" ht="20.100000000000001" customHeight="1" x14ac:dyDescent="0.25">
      <c r="A2903" s="3" t="s">
        <v>137</v>
      </c>
      <c r="B2903" s="3" t="s">
        <v>399</v>
      </c>
      <c r="C2903" s="3">
        <v>2022</v>
      </c>
      <c r="D2903" s="4">
        <v>6</v>
      </c>
      <c r="E2903" s="5">
        <v>42</v>
      </c>
      <c r="F2903" s="5">
        <v>17.079999999999998</v>
      </c>
      <c r="G2903" s="3" t="str">
        <f>VLOOKUP(Registros[[#This Row],[Cliente]],Cliente_Region[],2,FALSE)</f>
        <v>Colombia</v>
      </c>
      <c r="H2903" s="3" t="str">
        <f>VLOOKUP(Registros[[#This Row],[Producto]],Producto[],2,FALSE)</f>
        <v>QUOKAR</v>
      </c>
    </row>
    <row r="2904" spans="1:8" ht="20.100000000000001" customHeight="1" x14ac:dyDescent="0.25">
      <c r="A2904" s="3" t="s">
        <v>338</v>
      </c>
      <c r="B2904" s="3" t="s">
        <v>399</v>
      </c>
      <c r="C2904" s="3">
        <v>2022</v>
      </c>
      <c r="D2904" s="4">
        <v>6</v>
      </c>
      <c r="E2904" s="5">
        <v>35</v>
      </c>
      <c r="F2904" s="5">
        <v>23.96</v>
      </c>
      <c r="G2904" s="3" t="str">
        <f>VLOOKUP(Registros[[#This Row],[Cliente]],Cliente_Region[],2,FALSE)</f>
        <v>Colombia</v>
      </c>
      <c r="H2904" s="3" t="str">
        <f>VLOOKUP(Registros[[#This Row],[Producto]],Producto[],2,FALSE)</f>
        <v>DAWNE</v>
      </c>
    </row>
    <row r="2905" spans="1:8" ht="20.100000000000001" customHeight="1" x14ac:dyDescent="0.25">
      <c r="A2905" s="3" t="s">
        <v>375</v>
      </c>
      <c r="B2905" s="3" t="s">
        <v>399</v>
      </c>
      <c r="C2905" s="3">
        <v>2022</v>
      </c>
      <c r="D2905" s="4">
        <v>6</v>
      </c>
      <c r="E2905" s="5">
        <v>33.5</v>
      </c>
      <c r="F2905" s="5">
        <v>13.14</v>
      </c>
      <c r="G2905" s="3" t="str">
        <f>VLOOKUP(Registros[[#This Row],[Cliente]],Cliente_Region[],2,FALSE)</f>
        <v>Colombia</v>
      </c>
      <c r="H2905" s="3" t="str">
        <f>VLOOKUP(Registros[[#This Row],[Producto]],Producto[],2,FALSE)</f>
        <v>DONANY</v>
      </c>
    </row>
    <row r="2906" spans="1:8" ht="20.100000000000001" customHeight="1" x14ac:dyDescent="0.25">
      <c r="A2906" s="3" t="s">
        <v>400</v>
      </c>
      <c r="B2906" s="3" t="s">
        <v>399</v>
      </c>
      <c r="C2906" s="3">
        <v>2022</v>
      </c>
      <c r="D2906" s="4">
        <v>5</v>
      </c>
      <c r="E2906" s="5">
        <v>25.25</v>
      </c>
      <c r="F2906" s="5">
        <v>2.85</v>
      </c>
      <c r="G2906" s="3" t="str">
        <f>VLOOKUP(Registros[[#This Row],[Cliente]],Cliente_Region[],2,FALSE)</f>
        <v>Colombia</v>
      </c>
      <c r="H2906" s="3" t="str">
        <f>VLOOKUP(Registros[[#This Row],[Producto]],Producto[],2,FALSE)</f>
        <v>SALF</v>
      </c>
    </row>
    <row r="2907" spans="1:8" ht="20.100000000000001" customHeight="1" x14ac:dyDescent="0.25">
      <c r="A2907" s="3" t="s">
        <v>74</v>
      </c>
      <c r="B2907" s="3" t="s">
        <v>401</v>
      </c>
      <c r="C2907" s="3">
        <v>2022</v>
      </c>
      <c r="D2907" s="4">
        <v>6</v>
      </c>
      <c r="E2907" s="5">
        <v>19</v>
      </c>
      <c r="F2907" s="5">
        <v>7.4</v>
      </c>
      <c r="G2907" s="3" t="str">
        <f>VLOOKUP(Registros[[#This Row],[Cliente]],Cliente_Region[],2,FALSE)</f>
        <v>Canada</v>
      </c>
      <c r="H2907" s="3" t="str">
        <f>VLOOKUP(Registros[[#This Row],[Producto]],Producto[],2,FALSE)</f>
        <v>CHOTUS</v>
      </c>
    </row>
    <row r="2908" spans="1:8" ht="20.100000000000001" customHeight="1" x14ac:dyDescent="0.25">
      <c r="A2908" s="3" t="s">
        <v>68</v>
      </c>
      <c r="B2908" s="3" t="s">
        <v>402</v>
      </c>
      <c r="C2908" s="3">
        <v>2022</v>
      </c>
      <c r="D2908" s="4">
        <v>1</v>
      </c>
      <c r="E2908" s="5">
        <v>105</v>
      </c>
      <c r="F2908" s="5">
        <v>19.329999999999998</v>
      </c>
      <c r="G2908" s="3" t="str">
        <f>VLOOKUP(Registros[[#This Row],[Cliente]],Cliente_Region[],2,FALSE)</f>
        <v>Canada</v>
      </c>
      <c r="H2908" s="3" t="str">
        <f>VLOOKUP(Registros[[#This Row],[Producto]],Producto[],2,FALSE)</f>
        <v>SALF</v>
      </c>
    </row>
    <row r="2909" spans="1:8" ht="20.100000000000001" customHeight="1" x14ac:dyDescent="0.25">
      <c r="A2909" s="3" t="s">
        <v>11</v>
      </c>
      <c r="B2909" s="3" t="s">
        <v>403</v>
      </c>
      <c r="C2909" s="3">
        <v>2022</v>
      </c>
      <c r="D2909" s="4">
        <v>2</v>
      </c>
      <c r="E2909" s="5">
        <v>225.5</v>
      </c>
      <c r="F2909" s="5">
        <v>60.93</v>
      </c>
      <c r="G2909" s="3" t="str">
        <f>VLOOKUP(Registros[[#This Row],[Cliente]],Cliente_Region[],2,FALSE)</f>
        <v>Chile</v>
      </c>
      <c r="H2909" s="3" t="str">
        <f>VLOOKUP(Registros[[#This Row],[Producto]],Producto[],2,FALSE)</f>
        <v>DONANY</v>
      </c>
    </row>
    <row r="2910" spans="1:8" ht="20.100000000000001" customHeight="1" x14ac:dyDescent="0.25">
      <c r="A2910" s="3" t="s">
        <v>253</v>
      </c>
      <c r="B2910" s="3" t="s">
        <v>403</v>
      </c>
      <c r="C2910" s="3">
        <v>2022</v>
      </c>
      <c r="D2910" s="4">
        <v>3</v>
      </c>
      <c r="E2910" s="5">
        <v>114.4</v>
      </c>
      <c r="F2910" s="5">
        <v>34.340000000000003</v>
      </c>
      <c r="G2910" s="3" t="str">
        <f>VLOOKUP(Registros[[#This Row],[Cliente]],Cliente_Region[],2,FALSE)</f>
        <v>Chile</v>
      </c>
      <c r="H2910" s="3" t="str">
        <f>VLOOKUP(Registros[[#This Row],[Producto]],Producto[],2,FALSE)</f>
        <v>LAX</v>
      </c>
    </row>
    <row r="2911" spans="1:8" ht="20.100000000000001" customHeight="1" x14ac:dyDescent="0.25">
      <c r="A2911" s="3" t="s">
        <v>13</v>
      </c>
      <c r="B2911" s="3" t="s">
        <v>403</v>
      </c>
      <c r="C2911" s="3">
        <v>2022</v>
      </c>
      <c r="D2911" s="4">
        <v>1</v>
      </c>
      <c r="E2911" s="5">
        <v>352.2</v>
      </c>
      <c r="F2911" s="5">
        <v>61.1</v>
      </c>
      <c r="G2911" s="3" t="str">
        <f>VLOOKUP(Registros[[#This Row],[Cliente]],Cliente_Region[],2,FALSE)</f>
        <v>Chile</v>
      </c>
      <c r="H2911" s="3" t="str">
        <f>VLOOKUP(Registros[[#This Row],[Producto]],Producto[],2,FALSE)</f>
        <v>DAWNE</v>
      </c>
    </row>
    <row r="2912" spans="1:8" ht="20.100000000000001" customHeight="1" x14ac:dyDescent="0.25">
      <c r="A2912" s="3" t="s">
        <v>14</v>
      </c>
      <c r="B2912" s="3" t="s">
        <v>403</v>
      </c>
      <c r="C2912" s="3">
        <v>2022</v>
      </c>
      <c r="D2912" s="4">
        <v>2</v>
      </c>
      <c r="E2912" s="5">
        <v>899</v>
      </c>
      <c r="F2912" s="5">
        <v>341.67</v>
      </c>
      <c r="G2912" s="3" t="str">
        <f>VLOOKUP(Registros[[#This Row],[Cliente]],Cliente_Region[],2,FALSE)</f>
        <v>Chile</v>
      </c>
      <c r="H2912" s="3" t="str">
        <f>VLOOKUP(Registros[[#This Row],[Producto]],Producto[],2,FALSE)</f>
        <v>SALF</v>
      </c>
    </row>
    <row r="2913" spans="1:8" ht="20.100000000000001" customHeight="1" x14ac:dyDescent="0.25">
      <c r="A2913" s="3" t="s">
        <v>14</v>
      </c>
      <c r="B2913" s="3" t="s">
        <v>403</v>
      </c>
      <c r="C2913" s="3">
        <v>2022</v>
      </c>
      <c r="D2913" s="4">
        <v>3</v>
      </c>
      <c r="E2913" s="5">
        <v>465</v>
      </c>
      <c r="F2913" s="5">
        <v>176.35</v>
      </c>
      <c r="G2913" s="3" t="str">
        <f>VLOOKUP(Registros[[#This Row],[Cliente]],Cliente_Region[],2,FALSE)</f>
        <v>Chile</v>
      </c>
      <c r="H2913" s="3" t="str">
        <f>VLOOKUP(Registros[[#This Row],[Producto]],Producto[],2,FALSE)</f>
        <v>SALF</v>
      </c>
    </row>
    <row r="2914" spans="1:8" ht="20.100000000000001" customHeight="1" x14ac:dyDescent="0.25">
      <c r="A2914" s="3" t="s">
        <v>230</v>
      </c>
      <c r="B2914" s="3" t="s">
        <v>403</v>
      </c>
      <c r="C2914" s="3">
        <v>2022</v>
      </c>
      <c r="D2914" s="4">
        <v>1</v>
      </c>
      <c r="E2914" s="5">
        <v>455</v>
      </c>
      <c r="F2914" s="5">
        <v>113.44</v>
      </c>
      <c r="G2914" s="3" t="str">
        <f>VLOOKUP(Registros[[#This Row],[Cliente]],Cliente_Region[],2,FALSE)</f>
        <v>Chile</v>
      </c>
      <c r="H2914" s="3" t="str">
        <f>VLOOKUP(Registros[[#This Row],[Producto]],Producto[],2,FALSE)</f>
        <v>DONANY</v>
      </c>
    </row>
    <row r="2915" spans="1:8" ht="20.100000000000001" customHeight="1" x14ac:dyDescent="0.25">
      <c r="A2915" s="3" t="s">
        <v>231</v>
      </c>
      <c r="B2915" s="3" t="s">
        <v>403</v>
      </c>
      <c r="C2915" s="3">
        <v>2022</v>
      </c>
      <c r="D2915" s="4">
        <v>2</v>
      </c>
      <c r="E2915" s="5">
        <v>310</v>
      </c>
      <c r="F2915" s="5">
        <v>137.04</v>
      </c>
      <c r="G2915" s="3" t="str">
        <f>VLOOKUP(Registros[[#This Row],[Cliente]],Cliente_Region[],2,FALSE)</f>
        <v>Chile</v>
      </c>
      <c r="H2915" s="3" t="str">
        <f>VLOOKUP(Registros[[#This Row],[Producto]],Producto[],2,FALSE)</f>
        <v>CHOTUS</v>
      </c>
    </row>
    <row r="2916" spans="1:8" ht="20.100000000000001" customHeight="1" x14ac:dyDescent="0.25">
      <c r="A2916" s="3" t="s">
        <v>98</v>
      </c>
      <c r="B2916" s="3" t="s">
        <v>403</v>
      </c>
      <c r="C2916" s="3">
        <v>2022</v>
      </c>
      <c r="D2916" s="4">
        <v>1</v>
      </c>
      <c r="E2916" s="5">
        <v>402</v>
      </c>
      <c r="F2916" s="5">
        <v>79.459999999999994</v>
      </c>
      <c r="G2916" s="3" t="str">
        <f>VLOOKUP(Registros[[#This Row],[Cliente]],Cliente_Region[],2,FALSE)</f>
        <v>Chile</v>
      </c>
      <c r="H2916" s="3" t="str">
        <f>VLOOKUP(Registros[[#This Row],[Producto]],Producto[],2,FALSE)</f>
        <v>MOC</v>
      </c>
    </row>
    <row r="2917" spans="1:8" ht="20.100000000000001" customHeight="1" x14ac:dyDescent="0.25">
      <c r="A2917" s="3" t="s">
        <v>99</v>
      </c>
      <c r="B2917" s="3" t="s">
        <v>403</v>
      </c>
      <c r="C2917" s="3">
        <v>2022</v>
      </c>
      <c r="D2917" s="4">
        <v>2</v>
      </c>
      <c r="E2917" s="5">
        <v>442.5</v>
      </c>
      <c r="F2917" s="5">
        <v>148</v>
      </c>
      <c r="G2917" s="3" t="str">
        <f>VLOOKUP(Registros[[#This Row],[Cliente]],Cliente_Region[],2,FALSE)</f>
        <v>Chile</v>
      </c>
      <c r="H2917" s="3" t="str">
        <f>VLOOKUP(Registros[[#This Row],[Producto]],Producto[],2,FALSE)</f>
        <v>MOC</v>
      </c>
    </row>
    <row r="2918" spans="1:8" ht="20.100000000000001" customHeight="1" x14ac:dyDescent="0.25">
      <c r="A2918" s="3" t="s">
        <v>99</v>
      </c>
      <c r="B2918" s="3" t="s">
        <v>403</v>
      </c>
      <c r="C2918" s="3">
        <v>2022</v>
      </c>
      <c r="D2918" s="4">
        <v>3</v>
      </c>
      <c r="E2918" s="5">
        <v>96</v>
      </c>
      <c r="F2918" s="5">
        <v>37.22</v>
      </c>
      <c r="G2918" s="3" t="str">
        <f>VLOOKUP(Registros[[#This Row],[Cliente]],Cliente_Region[],2,FALSE)</f>
        <v>Chile</v>
      </c>
      <c r="H2918" s="3" t="str">
        <f>VLOOKUP(Registros[[#This Row],[Producto]],Producto[],2,FALSE)</f>
        <v>MOC</v>
      </c>
    </row>
    <row r="2919" spans="1:8" ht="20.100000000000001" customHeight="1" x14ac:dyDescent="0.25">
      <c r="A2919" s="3" t="s">
        <v>20</v>
      </c>
      <c r="B2919" s="3" t="s">
        <v>403</v>
      </c>
      <c r="C2919" s="3">
        <v>2022</v>
      </c>
      <c r="D2919" s="4">
        <v>2</v>
      </c>
      <c r="E2919" s="5">
        <v>308</v>
      </c>
      <c r="F2919" s="5">
        <v>130.5</v>
      </c>
      <c r="G2919" s="3" t="str">
        <f>VLOOKUP(Registros[[#This Row],[Cliente]],Cliente_Region[],2,FALSE)</f>
        <v>Chile</v>
      </c>
      <c r="H2919" s="3" t="str">
        <f>VLOOKUP(Registros[[#This Row],[Producto]],Producto[],2,FALSE)</f>
        <v>CHOTUS</v>
      </c>
    </row>
    <row r="2920" spans="1:8" ht="20.100000000000001" customHeight="1" x14ac:dyDescent="0.25">
      <c r="A2920" s="3" t="s">
        <v>133</v>
      </c>
      <c r="B2920" s="3" t="s">
        <v>403</v>
      </c>
      <c r="C2920" s="3">
        <v>2022</v>
      </c>
      <c r="D2920" s="4">
        <v>2</v>
      </c>
      <c r="E2920" s="5">
        <v>211.5</v>
      </c>
      <c r="F2920" s="5">
        <v>107.74</v>
      </c>
      <c r="G2920" s="3" t="str">
        <f>VLOOKUP(Registros[[#This Row],[Cliente]],Cliente_Region[],2,FALSE)</f>
        <v>Chile</v>
      </c>
      <c r="H2920" s="3" t="str">
        <f>VLOOKUP(Registros[[#This Row],[Producto]],Producto[],2,FALSE)</f>
        <v>QUOKAR</v>
      </c>
    </row>
    <row r="2921" spans="1:8" ht="20.100000000000001" customHeight="1" x14ac:dyDescent="0.25">
      <c r="A2921" s="3" t="s">
        <v>134</v>
      </c>
      <c r="B2921" s="3" t="s">
        <v>403</v>
      </c>
      <c r="C2921" s="3">
        <v>2022</v>
      </c>
      <c r="D2921" s="4">
        <v>3</v>
      </c>
      <c r="E2921" s="5">
        <v>141</v>
      </c>
      <c r="F2921" s="5">
        <v>71.040000000000006</v>
      </c>
      <c r="G2921" s="3" t="str">
        <f>VLOOKUP(Registros[[#This Row],[Cliente]],Cliente_Region[],2,FALSE)</f>
        <v>Chile</v>
      </c>
      <c r="H2921" s="3" t="str">
        <f>VLOOKUP(Registros[[#This Row],[Producto]],Producto[],2,FALSE)</f>
        <v>QUOKAR</v>
      </c>
    </row>
    <row r="2922" spans="1:8" ht="20.100000000000001" customHeight="1" x14ac:dyDescent="0.25">
      <c r="A2922" s="3" t="s">
        <v>28</v>
      </c>
      <c r="B2922" s="3" t="s">
        <v>403</v>
      </c>
      <c r="C2922" s="3">
        <v>2022</v>
      </c>
      <c r="D2922" s="4">
        <v>2</v>
      </c>
      <c r="E2922" s="5">
        <v>133.5</v>
      </c>
      <c r="F2922" s="5">
        <v>-31.33</v>
      </c>
      <c r="G2922" s="3" t="str">
        <f>VLOOKUP(Registros[[#This Row],[Cliente]],Cliente_Region[],2,FALSE)</f>
        <v>Chile</v>
      </c>
      <c r="H2922" s="3" t="str">
        <f>VLOOKUP(Registros[[#This Row],[Producto]],Producto[],2,FALSE)</f>
        <v>SALF</v>
      </c>
    </row>
    <row r="2923" spans="1:8" ht="20.100000000000001" customHeight="1" x14ac:dyDescent="0.25">
      <c r="A2923" s="3" t="s">
        <v>29</v>
      </c>
      <c r="B2923" s="3" t="s">
        <v>403</v>
      </c>
      <c r="C2923" s="3">
        <v>2022</v>
      </c>
      <c r="D2923" s="4">
        <v>3</v>
      </c>
      <c r="E2923" s="5">
        <v>480</v>
      </c>
      <c r="F2923" s="5">
        <v>179.6</v>
      </c>
      <c r="G2923" s="3" t="str">
        <f>VLOOKUP(Registros[[#This Row],[Cliente]],Cliente_Region[],2,FALSE)</f>
        <v>Chile</v>
      </c>
      <c r="H2923" s="3" t="str">
        <f>VLOOKUP(Registros[[#This Row],[Producto]],Producto[],2,FALSE)</f>
        <v>LAX</v>
      </c>
    </row>
    <row r="2924" spans="1:8" ht="20.100000000000001" customHeight="1" x14ac:dyDescent="0.25">
      <c r="A2924" s="3" t="s">
        <v>32</v>
      </c>
      <c r="B2924" s="3" t="s">
        <v>403</v>
      </c>
      <c r="C2924" s="3">
        <v>2022</v>
      </c>
      <c r="D2924" s="4">
        <v>2</v>
      </c>
      <c r="E2924" s="5">
        <v>64</v>
      </c>
      <c r="F2924" s="5">
        <v>6.23</v>
      </c>
      <c r="G2924" s="3" t="str">
        <f>VLOOKUP(Registros[[#This Row],[Cliente]],Cliente_Region[],2,FALSE)</f>
        <v>Chile</v>
      </c>
      <c r="H2924" s="3" t="str">
        <f>VLOOKUP(Registros[[#This Row],[Producto]],Producto[],2,FALSE)</f>
        <v>GAMBO</v>
      </c>
    </row>
    <row r="2925" spans="1:8" ht="20.100000000000001" customHeight="1" x14ac:dyDescent="0.25">
      <c r="A2925" s="3" t="s">
        <v>33</v>
      </c>
      <c r="B2925" s="3" t="s">
        <v>403</v>
      </c>
      <c r="C2925" s="3">
        <v>2022</v>
      </c>
      <c r="D2925" s="4">
        <v>3</v>
      </c>
      <c r="E2925" s="5">
        <v>225</v>
      </c>
      <c r="F2925" s="5">
        <v>78.3</v>
      </c>
      <c r="G2925" s="3" t="str">
        <f>VLOOKUP(Registros[[#This Row],[Cliente]],Cliente_Region[],2,FALSE)</f>
        <v>Chile</v>
      </c>
      <c r="H2925" s="3" t="str">
        <f>VLOOKUP(Registros[[#This Row],[Producto]],Producto[],2,FALSE)</f>
        <v>GAMBO</v>
      </c>
    </row>
    <row r="2926" spans="1:8" ht="20.100000000000001" customHeight="1" x14ac:dyDescent="0.25">
      <c r="A2926" s="3" t="s">
        <v>222</v>
      </c>
      <c r="B2926" s="3" t="s">
        <v>403</v>
      </c>
      <c r="C2926" s="3">
        <v>2022</v>
      </c>
      <c r="D2926" s="4">
        <v>1</v>
      </c>
      <c r="E2926" s="5">
        <v>691.25</v>
      </c>
      <c r="F2926" s="5">
        <v>192.78</v>
      </c>
      <c r="G2926" s="3" t="str">
        <f>VLOOKUP(Registros[[#This Row],[Cliente]],Cliente_Region[],2,FALSE)</f>
        <v>Chile</v>
      </c>
      <c r="H2926" s="3" t="str">
        <f>VLOOKUP(Registros[[#This Row],[Producto]],Producto[],2,FALSE)</f>
        <v>MOC</v>
      </c>
    </row>
    <row r="2927" spans="1:8" ht="20.100000000000001" customHeight="1" x14ac:dyDescent="0.25">
      <c r="A2927" s="3" t="s">
        <v>223</v>
      </c>
      <c r="B2927" s="3" t="s">
        <v>403</v>
      </c>
      <c r="C2927" s="3">
        <v>2022</v>
      </c>
      <c r="D2927" s="4">
        <v>2</v>
      </c>
      <c r="E2927" s="5">
        <v>955.5</v>
      </c>
      <c r="F2927" s="5">
        <v>365.5</v>
      </c>
      <c r="G2927" s="3" t="str">
        <f>VLOOKUP(Registros[[#This Row],[Cliente]],Cliente_Region[],2,FALSE)</f>
        <v>Chile</v>
      </c>
      <c r="H2927" s="3" t="str">
        <f>VLOOKUP(Registros[[#This Row],[Producto]],Producto[],2,FALSE)</f>
        <v>GAMBO</v>
      </c>
    </row>
    <row r="2928" spans="1:8" ht="20.100000000000001" customHeight="1" x14ac:dyDescent="0.25">
      <c r="A2928" s="3" t="s">
        <v>223</v>
      </c>
      <c r="B2928" s="3" t="s">
        <v>403</v>
      </c>
      <c r="C2928" s="3">
        <v>2022</v>
      </c>
      <c r="D2928" s="4">
        <v>6</v>
      </c>
      <c r="E2928" s="5">
        <v>367.5</v>
      </c>
      <c r="F2928" s="5">
        <v>140.63</v>
      </c>
      <c r="G2928" s="3" t="str">
        <f>VLOOKUP(Registros[[#This Row],[Cliente]],Cliente_Region[],2,FALSE)</f>
        <v>Chile</v>
      </c>
      <c r="H2928" s="3" t="str">
        <f>VLOOKUP(Registros[[#This Row],[Producto]],Producto[],2,FALSE)</f>
        <v>GAMBO</v>
      </c>
    </row>
    <row r="2929" spans="1:8" ht="20.100000000000001" customHeight="1" x14ac:dyDescent="0.25">
      <c r="A2929" s="3" t="s">
        <v>44</v>
      </c>
      <c r="B2929" s="3" t="s">
        <v>404</v>
      </c>
      <c r="C2929" s="3">
        <v>2022</v>
      </c>
      <c r="D2929" s="4">
        <v>6</v>
      </c>
      <c r="E2929" s="5">
        <v>240</v>
      </c>
      <c r="F2929" s="5">
        <v>-24.68</v>
      </c>
      <c r="G2929" s="3" t="str">
        <f>VLOOKUP(Registros[[#This Row],[Cliente]],Cliente_Region[],2,FALSE)</f>
        <v>Chile</v>
      </c>
      <c r="H2929" s="3" t="str">
        <f>VLOOKUP(Registros[[#This Row],[Producto]],Producto[],2,FALSE)</f>
        <v>DAWNE</v>
      </c>
    </row>
    <row r="2930" spans="1:8" ht="20.100000000000001" customHeight="1" x14ac:dyDescent="0.25">
      <c r="A2930" s="3" t="s">
        <v>68</v>
      </c>
      <c r="B2930" s="3" t="s">
        <v>405</v>
      </c>
      <c r="C2930" s="3">
        <v>2022</v>
      </c>
      <c r="D2930" s="4">
        <v>2</v>
      </c>
      <c r="E2930" s="5">
        <v>21</v>
      </c>
      <c r="F2930" s="5">
        <v>3.94</v>
      </c>
      <c r="G2930" s="3" t="str">
        <f>VLOOKUP(Registros[[#This Row],[Cliente]],Cliente_Region[],2,FALSE)</f>
        <v>Argentina</v>
      </c>
      <c r="H2930" s="3" t="str">
        <f>VLOOKUP(Registros[[#This Row],[Producto]],Producto[],2,FALSE)</f>
        <v>SALF</v>
      </c>
    </row>
    <row r="2931" spans="1:8" ht="20.100000000000001" customHeight="1" x14ac:dyDescent="0.25">
      <c r="A2931" s="3" t="s">
        <v>69</v>
      </c>
      <c r="B2931" s="3" t="s">
        <v>405</v>
      </c>
      <c r="C2931" s="3">
        <v>2022</v>
      </c>
      <c r="D2931" s="4">
        <v>3</v>
      </c>
      <c r="E2931" s="5">
        <v>21.5</v>
      </c>
      <c r="F2931" s="5">
        <v>4.33</v>
      </c>
      <c r="G2931" s="3" t="str">
        <f>VLOOKUP(Registros[[#This Row],[Cliente]],Cliente_Region[],2,FALSE)</f>
        <v>Argentina</v>
      </c>
      <c r="H2931" s="3" t="str">
        <f>VLOOKUP(Registros[[#This Row],[Producto]],Producto[],2,FALSE)</f>
        <v>LAX</v>
      </c>
    </row>
    <row r="2932" spans="1:8" ht="20.100000000000001" customHeight="1" x14ac:dyDescent="0.25">
      <c r="A2932" s="3" t="s">
        <v>69</v>
      </c>
      <c r="B2932" s="3" t="s">
        <v>405</v>
      </c>
      <c r="C2932" s="3">
        <v>2022</v>
      </c>
      <c r="D2932" s="4">
        <v>4</v>
      </c>
      <c r="E2932" s="5">
        <v>21</v>
      </c>
      <c r="F2932" s="5">
        <v>3.81</v>
      </c>
      <c r="G2932" s="3" t="str">
        <f>VLOOKUP(Registros[[#This Row],[Cliente]],Cliente_Region[],2,FALSE)</f>
        <v>Argentina</v>
      </c>
      <c r="H2932" s="3" t="str">
        <f>VLOOKUP(Registros[[#This Row],[Producto]],Producto[],2,FALSE)</f>
        <v>LAX</v>
      </c>
    </row>
    <row r="2933" spans="1:8" ht="20.100000000000001" customHeight="1" x14ac:dyDescent="0.25">
      <c r="A2933" s="3" t="s">
        <v>69</v>
      </c>
      <c r="B2933" s="3" t="s">
        <v>405</v>
      </c>
      <c r="C2933" s="3">
        <v>2022</v>
      </c>
      <c r="D2933" s="4">
        <v>5</v>
      </c>
      <c r="E2933" s="5">
        <v>42</v>
      </c>
      <c r="F2933" s="5">
        <v>7.32</v>
      </c>
      <c r="G2933" s="3" t="str">
        <f>VLOOKUP(Registros[[#This Row],[Cliente]],Cliente_Region[],2,FALSE)</f>
        <v>Argentina</v>
      </c>
      <c r="H2933" s="3" t="str">
        <f>VLOOKUP(Registros[[#This Row],[Producto]],Producto[],2,FALSE)</f>
        <v>LAX</v>
      </c>
    </row>
    <row r="2934" spans="1:8" ht="20.100000000000001" customHeight="1" x14ac:dyDescent="0.25">
      <c r="A2934" s="3" t="s">
        <v>69</v>
      </c>
      <c r="B2934" s="3" t="s">
        <v>405</v>
      </c>
      <c r="C2934" s="3">
        <v>2022</v>
      </c>
      <c r="D2934" s="4">
        <v>6</v>
      </c>
      <c r="E2934" s="5">
        <v>71</v>
      </c>
      <c r="F2934" s="5">
        <v>1.77</v>
      </c>
      <c r="G2934" s="3" t="str">
        <f>VLOOKUP(Registros[[#This Row],[Cliente]],Cliente_Region[],2,FALSE)</f>
        <v>Argentina</v>
      </c>
      <c r="H2934" s="3" t="str">
        <f>VLOOKUP(Registros[[#This Row],[Producto]],Producto[],2,FALSE)</f>
        <v>LAX</v>
      </c>
    </row>
    <row r="2935" spans="1:8" ht="20.100000000000001" customHeight="1" x14ac:dyDescent="0.25">
      <c r="A2935" s="3" t="s">
        <v>317</v>
      </c>
      <c r="B2935" s="3" t="s">
        <v>405</v>
      </c>
      <c r="C2935" s="3">
        <v>2022</v>
      </c>
      <c r="D2935" s="4">
        <v>1</v>
      </c>
      <c r="E2935" s="5">
        <v>58</v>
      </c>
      <c r="F2935" s="5">
        <v>13.9</v>
      </c>
      <c r="G2935" s="3" t="str">
        <f>VLOOKUP(Registros[[#This Row],[Cliente]],Cliente_Region[],2,FALSE)</f>
        <v>Argentina</v>
      </c>
      <c r="H2935" s="3" t="str">
        <f>VLOOKUP(Registros[[#This Row],[Producto]],Producto[],2,FALSE)</f>
        <v>LAX</v>
      </c>
    </row>
    <row r="2936" spans="1:8" ht="20.100000000000001" customHeight="1" x14ac:dyDescent="0.25">
      <c r="A2936" s="3" t="s">
        <v>318</v>
      </c>
      <c r="B2936" s="3" t="s">
        <v>405</v>
      </c>
      <c r="C2936" s="3">
        <v>2022</v>
      </c>
      <c r="D2936" s="4">
        <v>2</v>
      </c>
      <c r="E2936" s="5">
        <v>14.5</v>
      </c>
      <c r="F2936" s="5">
        <v>3.5</v>
      </c>
      <c r="G2936" s="3" t="str">
        <f>VLOOKUP(Registros[[#This Row],[Cliente]],Cliente_Region[],2,FALSE)</f>
        <v>Argentina</v>
      </c>
      <c r="H2936" s="3" t="str">
        <f>VLOOKUP(Registros[[#This Row],[Producto]],Producto[],2,FALSE)</f>
        <v>LAX</v>
      </c>
    </row>
    <row r="2937" spans="1:8" ht="20.100000000000001" customHeight="1" x14ac:dyDescent="0.25">
      <c r="A2937" s="3" t="s">
        <v>318</v>
      </c>
      <c r="B2937" s="3" t="s">
        <v>405</v>
      </c>
      <c r="C2937" s="3">
        <v>2022</v>
      </c>
      <c r="D2937" s="4">
        <v>4</v>
      </c>
      <c r="E2937" s="5">
        <v>14.5</v>
      </c>
      <c r="F2937" s="5">
        <v>3.46</v>
      </c>
      <c r="G2937" s="3" t="str">
        <f>VLOOKUP(Registros[[#This Row],[Cliente]],Cliente_Region[],2,FALSE)</f>
        <v>Argentina</v>
      </c>
      <c r="H2937" s="3" t="str">
        <f>VLOOKUP(Registros[[#This Row],[Producto]],Producto[],2,FALSE)</f>
        <v>LAX</v>
      </c>
    </row>
    <row r="2938" spans="1:8" ht="20.100000000000001" customHeight="1" x14ac:dyDescent="0.25">
      <c r="A2938" s="3" t="s">
        <v>318</v>
      </c>
      <c r="B2938" s="3" t="s">
        <v>405</v>
      </c>
      <c r="C2938" s="3">
        <v>2022</v>
      </c>
      <c r="D2938" s="4">
        <v>6</v>
      </c>
      <c r="E2938" s="5">
        <v>54</v>
      </c>
      <c r="F2938" s="5">
        <v>-7.89</v>
      </c>
      <c r="G2938" s="3" t="str">
        <f>VLOOKUP(Registros[[#This Row],[Cliente]],Cliente_Region[],2,FALSE)</f>
        <v>Argentina</v>
      </c>
      <c r="H2938" s="3" t="str">
        <f>VLOOKUP(Registros[[#This Row],[Producto]],Producto[],2,FALSE)</f>
        <v>LAX</v>
      </c>
    </row>
    <row r="2939" spans="1:8" ht="20.100000000000001" customHeight="1" x14ac:dyDescent="0.25">
      <c r="A2939" s="3" t="s">
        <v>353</v>
      </c>
      <c r="B2939" s="3" t="s">
        <v>406</v>
      </c>
      <c r="C2939" s="3">
        <v>2022</v>
      </c>
      <c r="D2939" s="4">
        <v>1</v>
      </c>
      <c r="E2939" s="5">
        <v>42.5</v>
      </c>
      <c r="F2939" s="5">
        <v>8</v>
      </c>
      <c r="G2939" s="3" t="str">
        <f>VLOOKUP(Registros[[#This Row],[Cliente]],Cliente_Region[],2,FALSE)</f>
        <v>Peru</v>
      </c>
      <c r="H2939" s="3" t="str">
        <f>VLOOKUP(Registros[[#This Row],[Producto]],Producto[],2,FALSE)</f>
        <v>QUOKAR</v>
      </c>
    </row>
    <row r="2940" spans="1:8" ht="20.100000000000001" customHeight="1" x14ac:dyDescent="0.25">
      <c r="A2940" s="3" t="s">
        <v>407</v>
      </c>
      <c r="B2940" s="3" t="s">
        <v>406</v>
      </c>
      <c r="C2940" s="3">
        <v>2022</v>
      </c>
      <c r="D2940" s="4">
        <v>1</v>
      </c>
      <c r="E2940" s="5">
        <v>5.9</v>
      </c>
      <c r="F2940" s="5">
        <v>0.86</v>
      </c>
      <c r="G2940" s="3" t="str">
        <f>VLOOKUP(Registros[[#This Row],[Cliente]],Cliente_Region[],2,FALSE)</f>
        <v>Peru</v>
      </c>
      <c r="H2940" s="3" t="str">
        <f>VLOOKUP(Registros[[#This Row],[Producto]],Producto[],2,FALSE)</f>
        <v>LAX</v>
      </c>
    </row>
    <row r="2941" spans="1:8" ht="20.100000000000001" customHeight="1" x14ac:dyDescent="0.25">
      <c r="A2941" s="3" t="s">
        <v>93</v>
      </c>
      <c r="B2941" s="3" t="s">
        <v>406</v>
      </c>
      <c r="C2941" s="3">
        <v>2022</v>
      </c>
      <c r="D2941" s="4">
        <v>1</v>
      </c>
      <c r="E2941" s="5">
        <v>48</v>
      </c>
      <c r="F2941" s="5">
        <v>31.1</v>
      </c>
      <c r="G2941" s="3" t="str">
        <f>VLOOKUP(Registros[[#This Row],[Cliente]],Cliente_Region[],2,FALSE)</f>
        <v>Peru</v>
      </c>
      <c r="H2941" s="3" t="str">
        <f>VLOOKUP(Registros[[#This Row],[Producto]],Producto[],2,FALSE)</f>
        <v>GAMBO</v>
      </c>
    </row>
    <row r="2942" spans="1:8" ht="20.100000000000001" customHeight="1" x14ac:dyDescent="0.25">
      <c r="A2942" s="3" t="s">
        <v>408</v>
      </c>
      <c r="B2942" s="3" t="s">
        <v>406</v>
      </c>
      <c r="C2942" s="3">
        <v>2022</v>
      </c>
      <c r="D2942" s="4">
        <v>3</v>
      </c>
      <c r="E2942" s="5">
        <v>50</v>
      </c>
      <c r="F2942" s="5">
        <v>31.97</v>
      </c>
      <c r="G2942" s="3" t="str">
        <f>VLOOKUP(Registros[[#This Row],[Cliente]],Cliente_Region[],2,FALSE)</f>
        <v>Peru</v>
      </c>
      <c r="H2942" s="3" t="str">
        <f>VLOOKUP(Registros[[#This Row],[Producto]],Producto[],2,FALSE)</f>
        <v>DONANY</v>
      </c>
    </row>
    <row r="2943" spans="1:8" ht="20.100000000000001" customHeight="1" x14ac:dyDescent="0.25">
      <c r="A2943" s="3" t="s">
        <v>149</v>
      </c>
      <c r="B2943" s="3" t="s">
        <v>406</v>
      </c>
      <c r="C2943" s="3">
        <v>2022</v>
      </c>
      <c r="D2943" s="4">
        <v>3</v>
      </c>
      <c r="E2943" s="5">
        <v>105</v>
      </c>
      <c r="F2943" s="5">
        <v>38.86</v>
      </c>
      <c r="G2943" s="3" t="str">
        <f>VLOOKUP(Registros[[#This Row],[Cliente]],Cliente_Region[],2,FALSE)</f>
        <v>Peru</v>
      </c>
      <c r="H2943" s="3" t="str">
        <f>VLOOKUP(Registros[[#This Row],[Producto]],Producto[],2,FALSE)</f>
        <v>QUOKAR</v>
      </c>
    </row>
    <row r="2944" spans="1:8" ht="20.100000000000001" customHeight="1" x14ac:dyDescent="0.25">
      <c r="A2944" s="3" t="s">
        <v>189</v>
      </c>
      <c r="B2944" s="3" t="s">
        <v>406</v>
      </c>
      <c r="C2944" s="3">
        <v>2022</v>
      </c>
      <c r="D2944" s="4">
        <v>1</v>
      </c>
      <c r="E2944" s="5">
        <v>138</v>
      </c>
      <c r="F2944" s="5">
        <v>56.33</v>
      </c>
      <c r="G2944" s="3" t="str">
        <f>VLOOKUP(Registros[[#This Row],[Cliente]],Cliente_Region[],2,FALSE)</f>
        <v>Peru</v>
      </c>
      <c r="H2944" s="3" t="str">
        <f>VLOOKUP(Registros[[#This Row],[Producto]],Producto[],2,FALSE)</f>
        <v>DAWNE</v>
      </c>
    </row>
    <row r="2945" spans="1:8" ht="20.100000000000001" customHeight="1" x14ac:dyDescent="0.25">
      <c r="A2945" s="3" t="s">
        <v>190</v>
      </c>
      <c r="B2945" s="3" t="s">
        <v>406</v>
      </c>
      <c r="C2945" s="3">
        <v>2022</v>
      </c>
      <c r="D2945" s="4">
        <v>3</v>
      </c>
      <c r="E2945" s="5">
        <v>138</v>
      </c>
      <c r="F2945" s="5">
        <v>57.17</v>
      </c>
      <c r="G2945" s="3" t="str">
        <f>VLOOKUP(Registros[[#This Row],[Cliente]],Cliente_Region[],2,FALSE)</f>
        <v>Peru</v>
      </c>
      <c r="H2945" s="3" t="str">
        <f>VLOOKUP(Registros[[#This Row],[Producto]],Producto[],2,FALSE)</f>
        <v>DAWNE</v>
      </c>
    </row>
    <row r="2946" spans="1:8" ht="20.100000000000001" customHeight="1" x14ac:dyDescent="0.25">
      <c r="A2946" s="3" t="s">
        <v>190</v>
      </c>
      <c r="B2946" s="3" t="s">
        <v>406</v>
      </c>
      <c r="C2946" s="3">
        <v>2022</v>
      </c>
      <c r="D2946" s="4">
        <v>6</v>
      </c>
      <c r="E2946" s="5">
        <v>207</v>
      </c>
      <c r="F2946" s="5">
        <v>85.76</v>
      </c>
      <c r="G2946" s="3" t="str">
        <f>VLOOKUP(Registros[[#This Row],[Cliente]],Cliente_Region[],2,FALSE)</f>
        <v>Peru</v>
      </c>
      <c r="H2946" s="3" t="str">
        <f>VLOOKUP(Registros[[#This Row],[Producto]],Producto[],2,FALSE)</f>
        <v>DAWNE</v>
      </c>
    </row>
    <row r="2947" spans="1:8" ht="20.100000000000001" customHeight="1" x14ac:dyDescent="0.25">
      <c r="A2947" s="3" t="s">
        <v>164</v>
      </c>
      <c r="B2947" s="3" t="s">
        <v>409</v>
      </c>
      <c r="C2947" s="3">
        <v>2022</v>
      </c>
      <c r="D2947" s="4">
        <v>1</v>
      </c>
      <c r="E2947" s="5">
        <v>58</v>
      </c>
      <c r="F2947" s="5">
        <v>40.99</v>
      </c>
      <c r="G2947" s="3" t="str">
        <f>VLOOKUP(Registros[[#This Row],[Cliente]],Cliente_Region[],2,FALSE)</f>
        <v>Mexico</v>
      </c>
      <c r="H2947" s="3" t="str">
        <f>VLOOKUP(Registros[[#This Row],[Producto]],Producto[],2,FALSE)</f>
        <v>MOC</v>
      </c>
    </row>
    <row r="2948" spans="1:8" ht="20.100000000000001" customHeight="1" x14ac:dyDescent="0.25">
      <c r="A2948" s="3" t="s">
        <v>151</v>
      </c>
      <c r="B2948" s="3" t="s">
        <v>409</v>
      </c>
      <c r="C2948" s="3">
        <v>2022</v>
      </c>
      <c r="D2948" s="4">
        <v>1</v>
      </c>
      <c r="E2948" s="5">
        <v>53</v>
      </c>
      <c r="F2948" s="5">
        <v>31.87</v>
      </c>
      <c r="G2948" s="3" t="str">
        <f>VLOOKUP(Registros[[#This Row],[Cliente]],Cliente_Region[],2,FALSE)</f>
        <v>Mexico</v>
      </c>
      <c r="H2948" s="3" t="str">
        <f>VLOOKUP(Registros[[#This Row],[Producto]],Producto[],2,FALSE)</f>
        <v>MOC</v>
      </c>
    </row>
    <row r="2949" spans="1:8" ht="20.100000000000001" customHeight="1" x14ac:dyDescent="0.25">
      <c r="A2949" s="3" t="s">
        <v>44</v>
      </c>
      <c r="B2949" s="3" t="s">
        <v>410</v>
      </c>
      <c r="C2949" s="3">
        <v>2022</v>
      </c>
      <c r="D2949" s="4">
        <v>6</v>
      </c>
      <c r="E2949" s="5">
        <v>480</v>
      </c>
      <c r="F2949" s="5">
        <v>-24.68</v>
      </c>
      <c r="G2949" s="3" t="str">
        <f>VLOOKUP(Registros[[#This Row],[Cliente]],Cliente_Region[],2,FALSE)</f>
        <v>Peru</v>
      </c>
      <c r="H2949" s="3" t="str">
        <f>VLOOKUP(Registros[[#This Row],[Producto]],Producto[],2,FALSE)</f>
        <v>DAWNE</v>
      </c>
    </row>
    <row r="2950" spans="1:8" ht="20.100000000000001" customHeight="1" x14ac:dyDescent="0.25">
      <c r="A2950" s="3" t="s">
        <v>158</v>
      </c>
      <c r="B2950" s="3" t="s">
        <v>410</v>
      </c>
      <c r="C2950" s="3">
        <v>2022</v>
      </c>
      <c r="D2950" s="4">
        <v>6</v>
      </c>
      <c r="E2950" s="5">
        <v>70.2</v>
      </c>
      <c r="F2950" s="5">
        <v>50.67</v>
      </c>
      <c r="G2950" s="3" t="str">
        <f>VLOOKUP(Registros[[#This Row],[Cliente]],Cliente_Region[],2,FALSE)</f>
        <v>Peru</v>
      </c>
      <c r="H2950" s="3" t="str">
        <f>VLOOKUP(Registros[[#This Row],[Producto]],Producto[],2,FALSE)</f>
        <v>DONANY</v>
      </c>
    </row>
    <row r="2951" spans="1:8" ht="20.100000000000001" customHeight="1" x14ac:dyDescent="0.25">
      <c r="A2951" s="3" t="s">
        <v>243</v>
      </c>
      <c r="B2951" s="3" t="s">
        <v>410</v>
      </c>
      <c r="C2951" s="3">
        <v>2022</v>
      </c>
      <c r="D2951" s="4">
        <v>4</v>
      </c>
      <c r="E2951" s="5">
        <v>45.6</v>
      </c>
      <c r="F2951" s="5">
        <v>17.760000000000002</v>
      </c>
      <c r="G2951" s="3" t="str">
        <f>VLOOKUP(Registros[[#This Row],[Cliente]],Cliente_Region[],2,FALSE)</f>
        <v>Peru</v>
      </c>
      <c r="H2951" s="3" t="str">
        <f>VLOOKUP(Registros[[#This Row],[Producto]],Producto[],2,FALSE)</f>
        <v>CHOTUS</v>
      </c>
    </row>
    <row r="2952" spans="1:8" ht="20.100000000000001" customHeight="1" x14ac:dyDescent="0.25">
      <c r="A2952" s="3" t="s">
        <v>244</v>
      </c>
      <c r="B2952" s="3" t="s">
        <v>410</v>
      </c>
      <c r="C2952" s="3">
        <v>2022</v>
      </c>
      <c r="D2952" s="4">
        <v>4</v>
      </c>
      <c r="E2952" s="5">
        <v>16</v>
      </c>
      <c r="F2952" s="5">
        <v>9.68</v>
      </c>
      <c r="G2952" s="3" t="str">
        <f>VLOOKUP(Registros[[#This Row],[Cliente]],Cliente_Region[],2,FALSE)</f>
        <v>Peru</v>
      </c>
      <c r="H2952" s="3" t="str">
        <f>VLOOKUP(Registros[[#This Row],[Producto]],Producto[],2,FALSE)</f>
        <v>QUOKAR</v>
      </c>
    </row>
    <row r="2953" spans="1:8" ht="20.100000000000001" customHeight="1" x14ac:dyDescent="0.25">
      <c r="A2953" s="3" t="s">
        <v>164</v>
      </c>
      <c r="B2953" s="3" t="s">
        <v>410</v>
      </c>
      <c r="C2953" s="3">
        <v>2022</v>
      </c>
      <c r="D2953" s="4">
        <v>4</v>
      </c>
      <c r="E2953" s="5">
        <v>320</v>
      </c>
      <c r="F2953" s="5">
        <v>182.72</v>
      </c>
      <c r="G2953" s="3" t="str">
        <f>VLOOKUP(Registros[[#This Row],[Cliente]],Cliente_Region[],2,FALSE)</f>
        <v>Peru</v>
      </c>
      <c r="H2953" s="3" t="str">
        <f>VLOOKUP(Registros[[#This Row],[Producto]],Producto[],2,FALSE)</f>
        <v>MOC</v>
      </c>
    </row>
    <row r="2954" spans="1:8" ht="20.100000000000001" customHeight="1" x14ac:dyDescent="0.25">
      <c r="A2954" s="3" t="s">
        <v>165</v>
      </c>
      <c r="B2954" s="3" t="s">
        <v>410</v>
      </c>
      <c r="C2954" s="3">
        <v>2022</v>
      </c>
      <c r="D2954" s="4">
        <v>5</v>
      </c>
      <c r="E2954" s="5">
        <v>84</v>
      </c>
      <c r="F2954" s="5">
        <v>49.68</v>
      </c>
      <c r="G2954" s="3" t="str">
        <f>VLOOKUP(Registros[[#This Row],[Cliente]],Cliente_Region[],2,FALSE)</f>
        <v>Peru</v>
      </c>
      <c r="H2954" s="3" t="str">
        <f>VLOOKUP(Registros[[#This Row],[Producto]],Producto[],2,FALSE)</f>
        <v>DONANY</v>
      </c>
    </row>
    <row r="2955" spans="1:8" ht="20.100000000000001" customHeight="1" x14ac:dyDescent="0.25">
      <c r="A2955" s="3" t="s">
        <v>138</v>
      </c>
      <c r="B2955" s="3" t="s">
        <v>410</v>
      </c>
      <c r="C2955" s="3">
        <v>2022</v>
      </c>
      <c r="D2955" s="4">
        <v>3</v>
      </c>
      <c r="E2955" s="5">
        <v>39.9</v>
      </c>
      <c r="F2955" s="5">
        <v>17.940000000000001</v>
      </c>
      <c r="G2955" s="3" t="str">
        <f>VLOOKUP(Registros[[#This Row],[Cliente]],Cliente_Region[],2,FALSE)</f>
        <v>Peru</v>
      </c>
      <c r="H2955" s="3" t="str">
        <f>VLOOKUP(Registros[[#This Row],[Producto]],Producto[],2,FALSE)</f>
        <v>SALF</v>
      </c>
    </row>
    <row r="2956" spans="1:8" ht="20.100000000000001" customHeight="1" x14ac:dyDescent="0.25">
      <c r="A2956" s="3" t="s">
        <v>139</v>
      </c>
      <c r="B2956" s="3" t="s">
        <v>410</v>
      </c>
      <c r="C2956" s="3">
        <v>2022</v>
      </c>
      <c r="D2956" s="4">
        <v>4</v>
      </c>
      <c r="E2956" s="5">
        <v>65</v>
      </c>
      <c r="F2956" s="5">
        <v>43.27</v>
      </c>
      <c r="G2956" s="3" t="str">
        <f>VLOOKUP(Registros[[#This Row],[Cliente]],Cliente_Region[],2,FALSE)</f>
        <v>Peru</v>
      </c>
      <c r="H2956" s="3" t="str">
        <f>VLOOKUP(Registros[[#This Row],[Producto]],Producto[],2,FALSE)</f>
        <v>MOC</v>
      </c>
    </row>
    <row r="2957" spans="1:8" ht="20.100000000000001" customHeight="1" x14ac:dyDescent="0.25">
      <c r="A2957" s="3" t="s">
        <v>196</v>
      </c>
      <c r="B2957" s="3" t="s">
        <v>410</v>
      </c>
      <c r="C2957" s="3">
        <v>2022</v>
      </c>
      <c r="D2957" s="4">
        <v>5</v>
      </c>
      <c r="E2957" s="5">
        <v>136</v>
      </c>
      <c r="F2957" s="5">
        <v>51.45</v>
      </c>
      <c r="G2957" s="3" t="str">
        <f>VLOOKUP(Registros[[#This Row],[Cliente]],Cliente_Region[],2,FALSE)</f>
        <v>Peru</v>
      </c>
      <c r="H2957" s="3" t="str">
        <f>VLOOKUP(Registros[[#This Row],[Producto]],Producto[],2,FALSE)</f>
        <v>CHOTUS</v>
      </c>
    </row>
    <row r="2958" spans="1:8" ht="20.100000000000001" customHeight="1" x14ac:dyDescent="0.25">
      <c r="A2958" s="3" t="s">
        <v>116</v>
      </c>
      <c r="B2958" s="3" t="s">
        <v>410</v>
      </c>
      <c r="C2958" s="3">
        <v>2022</v>
      </c>
      <c r="D2958" s="4">
        <v>3</v>
      </c>
      <c r="E2958" s="5">
        <v>100</v>
      </c>
      <c r="F2958" s="5">
        <v>40.33</v>
      </c>
      <c r="G2958" s="3" t="str">
        <f>VLOOKUP(Registros[[#This Row],[Cliente]],Cliente_Region[],2,FALSE)</f>
        <v>Peru</v>
      </c>
      <c r="H2958" s="3" t="str">
        <f>VLOOKUP(Registros[[#This Row],[Producto]],Producto[],2,FALSE)</f>
        <v>QUOKAR</v>
      </c>
    </row>
    <row r="2959" spans="1:8" ht="20.100000000000001" customHeight="1" x14ac:dyDescent="0.25">
      <c r="A2959" s="3" t="s">
        <v>68</v>
      </c>
      <c r="B2959" s="3" t="s">
        <v>412</v>
      </c>
      <c r="C2959" s="3">
        <v>2022</v>
      </c>
      <c r="D2959" s="4">
        <v>1</v>
      </c>
      <c r="E2959" s="5">
        <v>29</v>
      </c>
      <c r="F2959" s="5">
        <v>-5.15</v>
      </c>
      <c r="G2959" s="3" t="str">
        <f>VLOOKUP(Registros[[#This Row],[Cliente]],Cliente_Region[],2,FALSE)</f>
        <v>Canada</v>
      </c>
      <c r="H2959" s="3" t="str">
        <f>VLOOKUP(Registros[[#This Row],[Producto]],Producto[],2,FALSE)</f>
        <v>SALF</v>
      </c>
    </row>
    <row r="2960" spans="1:8" ht="20.100000000000001" customHeight="1" x14ac:dyDescent="0.25">
      <c r="A2960" s="3" t="s">
        <v>70</v>
      </c>
      <c r="B2960" s="3" t="s">
        <v>412</v>
      </c>
      <c r="C2960" s="3">
        <v>2022</v>
      </c>
      <c r="D2960" s="4">
        <v>3</v>
      </c>
      <c r="E2960" s="5">
        <v>17.5</v>
      </c>
      <c r="F2960" s="5">
        <v>2.2000000000000002</v>
      </c>
      <c r="G2960" s="3" t="str">
        <f>VLOOKUP(Registros[[#This Row],[Cliente]],Cliente_Region[],2,FALSE)</f>
        <v>Canada</v>
      </c>
      <c r="H2960" s="3" t="str">
        <f>VLOOKUP(Registros[[#This Row],[Producto]],Producto[],2,FALSE)</f>
        <v>LAX</v>
      </c>
    </row>
    <row r="2961" spans="1:8" ht="20.100000000000001" customHeight="1" x14ac:dyDescent="0.25">
      <c r="A2961" s="3" t="s">
        <v>317</v>
      </c>
      <c r="B2961" s="3" t="s">
        <v>412</v>
      </c>
      <c r="C2961" s="3">
        <v>2022</v>
      </c>
      <c r="D2961" s="4">
        <v>1</v>
      </c>
      <c r="E2961" s="5">
        <v>62.5</v>
      </c>
      <c r="F2961" s="5">
        <v>4.78</v>
      </c>
      <c r="G2961" s="3" t="str">
        <f>VLOOKUP(Registros[[#This Row],[Cliente]],Cliente_Region[],2,FALSE)</f>
        <v>Canada</v>
      </c>
      <c r="H2961" s="3" t="str">
        <f>VLOOKUP(Registros[[#This Row],[Producto]],Producto[],2,FALSE)</f>
        <v>LAX</v>
      </c>
    </row>
    <row r="2962" spans="1:8" ht="20.100000000000001" customHeight="1" x14ac:dyDescent="0.25">
      <c r="A2962" s="3" t="s">
        <v>318</v>
      </c>
      <c r="B2962" s="3" t="s">
        <v>412</v>
      </c>
      <c r="C2962" s="3">
        <v>2022</v>
      </c>
      <c r="D2962" s="4">
        <v>2</v>
      </c>
      <c r="E2962" s="5">
        <v>58</v>
      </c>
      <c r="F2962" s="5">
        <v>13.72</v>
      </c>
      <c r="G2962" s="3" t="str">
        <f>VLOOKUP(Registros[[#This Row],[Cliente]],Cliente_Region[],2,FALSE)</f>
        <v>Canada</v>
      </c>
      <c r="H2962" s="3" t="str">
        <f>VLOOKUP(Registros[[#This Row],[Producto]],Producto[],2,FALSE)</f>
        <v>LAX</v>
      </c>
    </row>
    <row r="2963" spans="1:8" ht="20.100000000000001" customHeight="1" x14ac:dyDescent="0.25">
      <c r="A2963" s="3" t="s">
        <v>318</v>
      </c>
      <c r="B2963" s="3" t="s">
        <v>412</v>
      </c>
      <c r="C2963" s="3">
        <v>2022</v>
      </c>
      <c r="D2963" s="4">
        <v>3</v>
      </c>
      <c r="E2963" s="5">
        <v>62</v>
      </c>
      <c r="F2963" s="5">
        <v>17.88</v>
      </c>
      <c r="G2963" s="3" t="str">
        <f>VLOOKUP(Registros[[#This Row],[Cliente]],Cliente_Region[],2,FALSE)</f>
        <v>Canada</v>
      </c>
      <c r="H2963" s="3" t="str">
        <f>VLOOKUP(Registros[[#This Row],[Producto]],Producto[],2,FALSE)</f>
        <v>LAX</v>
      </c>
    </row>
    <row r="2964" spans="1:8" ht="20.100000000000001" customHeight="1" x14ac:dyDescent="0.25">
      <c r="A2964" s="3" t="s">
        <v>318</v>
      </c>
      <c r="B2964" s="3" t="s">
        <v>412</v>
      </c>
      <c r="C2964" s="3">
        <v>2022</v>
      </c>
      <c r="D2964" s="4">
        <v>4</v>
      </c>
      <c r="E2964" s="5">
        <v>87</v>
      </c>
      <c r="F2964" s="5">
        <v>20.76</v>
      </c>
      <c r="G2964" s="3" t="str">
        <f>VLOOKUP(Registros[[#This Row],[Cliente]],Cliente_Region[],2,FALSE)</f>
        <v>Canada</v>
      </c>
      <c r="H2964" s="3" t="str">
        <f>VLOOKUP(Registros[[#This Row],[Producto]],Producto[],2,FALSE)</f>
        <v>LAX</v>
      </c>
    </row>
    <row r="2965" spans="1:8" ht="20.100000000000001" customHeight="1" x14ac:dyDescent="0.25">
      <c r="A2965" s="3" t="s">
        <v>318</v>
      </c>
      <c r="B2965" s="3" t="s">
        <v>412</v>
      </c>
      <c r="C2965" s="3">
        <v>2022</v>
      </c>
      <c r="D2965" s="4">
        <v>5</v>
      </c>
      <c r="E2965" s="5">
        <v>87</v>
      </c>
      <c r="F2965" s="5">
        <v>20.68</v>
      </c>
      <c r="G2965" s="3" t="str">
        <f>VLOOKUP(Registros[[#This Row],[Cliente]],Cliente_Region[],2,FALSE)</f>
        <v>Canada</v>
      </c>
      <c r="H2965" s="3" t="str">
        <f>VLOOKUP(Registros[[#This Row],[Producto]],Producto[],2,FALSE)</f>
        <v>LAX</v>
      </c>
    </row>
    <row r="2966" spans="1:8" ht="20.100000000000001" customHeight="1" x14ac:dyDescent="0.25">
      <c r="A2966" s="3" t="s">
        <v>318</v>
      </c>
      <c r="B2966" s="3" t="s">
        <v>412</v>
      </c>
      <c r="C2966" s="3">
        <v>2022</v>
      </c>
      <c r="D2966" s="4">
        <v>6</v>
      </c>
      <c r="E2966" s="5">
        <v>58</v>
      </c>
      <c r="F2966" s="5">
        <v>13.74</v>
      </c>
      <c r="G2966" s="3" t="str">
        <f>VLOOKUP(Registros[[#This Row],[Cliente]],Cliente_Region[],2,FALSE)</f>
        <v>Canada</v>
      </c>
      <c r="H2966" s="3" t="str">
        <f>VLOOKUP(Registros[[#This Row],[Producto]],Producto[],2,FALSE)</f>
        <v>LAX</v>
      </c>
    </row>
    <row r="2967" spans="1:8" ht="20.100000000000001" customHeight="1" x14ac:dyDescent="0.25">
      <c r="A2967" s="3" t="s">
        <v>68</v>
      </c>
      <c r="B2967" s="3" t="s">
        <v>76</v>
      </c>
      <c r="C2967" s="3">
        <v>2022</v>
      </c>
      <c r="D2967" s="4">
        <v>3</v>
      </c>
      <c r="E2967" s="5">
        <v>43</v>
      </c>
      <c r="F2967" s="5">
        <v>4.3099999999999996</v>
      </c>
      <c r="G2967" s="3" t="str">
        <f>VLOOKUP(Registros[[#This Row],[Cliente]],Cliente_Region[],2,FALSE)</f>
        <v>Chile</v>
      </c>
      <c r="H2967" s="3" t="str">
        <f>VLOOKUP(Registros[[#This Row],[Producto]],Producto[],2,FALSE)</f>
        <v>SALF</v>
      </c>
    </row>
    <row r="2968" spans="1:8" ht="20.100000000000001" customHeight="1" x14ac:dyDescent="0.25">
      <c r="A2968" s="3" t="s">
        <v>70</v>
      </c>
      <c r="B2968" s="3" t="s">
        <v>76</v>
      </c>
      <c r="C2968" s="3">
        <v>2022</v>
      </c>
      <c r="D2968" s="4">
        <v>3</v>
      </c>
      <c r="E2968" s="5">
        <v>36</v>
      </c>
      <c r="F2968" s="5">
        <v>5.4</v>
      </c>
      <c r="G2968" s="3" t="str">
        <f>VLOOKUP(Registros[[#This Row],[Cliente]],Cliente_Region[],2,FALSE)</f>
        <v>Chile</v>
      </c>
      <c r="H2968" s="3" t="str">
        <f>VLOOKUP(Registros[[#This Row],[Producto]],Producto[],2,FALSE)</f>
        <v>LAX</v>
      </c>
    </row>
    <row r="2969" spans="1:8" ht="20.100000000000001" customHeight="1" x14ac:dyDescent="0.25">
      <c r="A2969" s="3" t="s">
        <v>317</v>
      </c>
      <c r="B2969" s="3" t="s">
        <v>76</v>
      </c>
      <c r="C2969" s="3">
        <v>2022</v>
      </c>
      <c r="D2969" s="4">
        <v>1</v>
      </c>
      <c r="E2969" s="5">
        <v>58</v>
      </c>
      <c r="F2969" s="5">
        <v>13.94</v>
      </c>
      <c r="G2969" s="3" t="str">
        <f>VLOOKUP(Registros[[#This Row],[Cliente]],Cliente_Region[],2,FALSE)</f>
        <v>Chile</v>
      </c>
      <c r="H2969" s="3" t="str">
        <f>VLOOKUP(Registros[[#This Row],[Producto]],Producto[],2,FALSE)</f>
        <v>LAX</v>
      </c>
    </row>
    <row r="2970" spans="1:8" ht="20.100000000000001" customHeight="1" x14ac:dyDescent="0.25">
      <c r="A2970" s="3" t="s">
        <v>318</v>
      </c>
      <c r="B2970" s="3" t="s">
        <v>76</v>
      </c>
      <c r="C2970" s="3">
        <v>2022</v>
      </c>
      <c r="D2970" s="4">
        <v>2</v>
      </c>
      <c r="E2970" s="5">
        <v>43.5</v>
      </c>
      <c r="F2970" s="5">
        <v>10.34</v>
      </c>
      <c r="G2970" s="3" t="str">
        <f>VLOOKUP(Registros[[#This Row],[Cliente]],Cliente_Region[],2,FALSE)</f>
        <v>Chile</v>
      </c>
      <c r="H2970" s="3" t="str">
        <f>VLOOKUP(Registros[[#This Row],[Producto]],Producto[],2,FALSE)</f>
        <v>LAX</v>
      </c>
    </row>
    <row r="2971" spans="1:8" ht="20.100000000000001" customHeight="1" x14ac:dyDescent="0.25">
      <c r="A2971" s="3" t="s">
        <v>318</v>
      </c>
      <c r="B2971" s="3" t="s">
        <v>76</v>
      </c>
      <c r="C2971" s="3">
        <v>2022</v>
      </c>
      <c r="D2971" s="4">
        <v>3</v>
      </c>
      <c r="E2971" s="5">
        <v>58</v>
      </c>
      <c r="F2971" s="5">
        <v>13.86</v>
      </c>
      <c r="G2971" s="3" t="str">
        <f>VLOOKUP(Registros[[#This Row],[Cliente]],Cliente_Region[],2,FALSE)</f>
        <v>Chile</v>
      </c>
      <c r="H2971" s="3" t="str">
        <f>VLOOKUP(Registros[[#This Row],[Producto]],Producto[],2,FALSE)</f>
        <v>LAX</v>
      </c>
    </row>
    <row r="2972" spans="1:8" ht="20.100000000000001" customHeight="1" x14ac:dyDescent="0.25">
      <c r="A2972" s="3" t="s">
        <v>318</v>
      </c>
      <c r="B2972" s="3" t="s">
        <v>76</v>
      </c>
      <c r="C2972" s="3">
        <v>2022</v>
      </c>
      <c r="D2972" s="4">
        <v>4</v>
      </c>
      <c r="E2972" s="5">
        <v>29</v>
      </c>
      <c r="F2972" s="5">
        <v>6.92</v>
      </c>
      <c r="G2972" s="3" t="str">
        <f>VLOOKUP(Registros[[#This Row],[Cliente]],Cliente_Region[],2,FALSE)</f>
        <v>Chile</v>
      </c>
      <c r="H2972" s="3" t="str">
        <f>VLOOKUP(Registros[[#This Row],[Producto]],Producto[],2,FALSE)</f>
        <v>LAX</v>
      </c>
    </row>
    <row r="2973" spans="1:8" ht="20.100000000000001" customHeight="1" x14ac:dyDescent="0.25">
      <c r="A2973" s="3" t="s">
        <v>318</v>
      </c>
      <c r="B2973" s="3" t="s">
        <v>76</v>
      </c>
      <c r="C2973" s="3">
        <v>2022</v>
      </c>
      <c r="D2973" s="4">
        <v>5</v>
      </c>
      <c r="E2973" s="5">
        <v>87</v>
      </c>
      <c r="F2973" s="5">
        <v>20.7</v>
      </c>
      <c r="G2973" s="3" t="str">
        <f>VLOOKUP(Registros[[#This Row],[Cliente]],Cliente_Region[],2,FALSE)</f>
        <v>Chile</v>
      </c>
      <c r="H2973" s="3" t="str">
        <f>VLOOKUP(Registros[[#This Row],[Producto]],Producto[],2,FALSE)</f>
        <v>LAX</v>
      </c>
    </row>
    <row r="2974" spans="1:8" ht="20.100000000000001" customHeight="1" x14ac:dyDescent="0.25">
      <c r="A2974" s="3" t="s">
        <v>318</v>
      </c>
      <c r="B2974" s="3" t="s">
        <v>76</v>
      </c>
      <c r="C2974" s="3">
        <v>2022</v>
      </c>
      <c r="D2974" s="4">
        <v>6</v>
      </c>
      <c r="E2974" s="5">
        <v>58</v>
      </c>
      <c r="F2974" s="5">
        <v>13.74</v>
      </c>
      <c r="G2974" s="3" t="str">
        <f>VLOOKUP(Registros[[#This Row],[Cliente]],Cliente_Region[],2,FALSE)</f>
        <v>Chile</v>
      </c>
      <c r="H2974" s="3" t="str">
        <f>VLOOKUP(Registros[[#This Row],[Producto]],Producto[],2,FALSE)</f>
        <v>LAX</v>
      </c>
    </row>
    <row r="2975" spans="1:8" ht="20.100000000000001" customHeight="1" x14ac:dyDescent="0.25">
      <c r="A2975" s="3" t="s">
        <v>11</v>
      </c>
      <c r="B2975" s="3" t="s">
        <v>413</v>
      </c>
      <c r="C2975" s="3">
        <v>2022</v>
      </c>
      <c r="D2975" s="4">
        <v>3</v>
      </c>
      <c r="E2975" s="5">
        <v>20</v>
      </c>
      <c r="F2975" s="5">
        <v>3.33</v>
      </c>
      <c r="G2975" s="3" t="str">
        <f>VLOOKUP(Registros[[#This Row],[Cliente]],Cliente_Region[],2,FALSE)</f>
        <v>Canada</v>
      </c>
      <c r="H2975" s="3" t="str">
        <f>VLOOKUP(Registros[[#This Row],[Producto]],Producto[],2,FALSE)</f>
        <v>DONANY</v>
      </c>
    </row>
    <row r="2976" spans="1:8" ht="20.100000000000001" customHeight="1" x14ac:dyDescent="0.25">
      <c r="A2976" s="3" t="s">
        <v>317</v>
      </c>
      <c r="B2976" s="3" t="s">
        <v>413</v>
      </c>
      <c r="C2976" s="3">
        <v>2022</v>
      </c>
      <c r="D2976" s="4">
        <v>1</v>
      </c>
      <c r="E2976" s="5">
        <v>87</v>
      </c>
      <c r="F2976" s="5">
        <v>17.37</v>
      </c>
      <c r="G2976" s="3" t="str">
        <f>VLOOKUP(Registros[[#This Row],[Cliente]],Cliente_Region[],2,FALSE)</f>
        <v>Canada</v>
      </c>
      <c r="H2976" s="3" t="str">
        <f>VLOOKUP(Registros[[#This Row],[Producto]],Producto[],2,FALSE)</f>
        <v>LAX</v>
      </c>
    </row>
    <row r="2977" spans="1:8" ht="20.100000000000001" customHeight="1" x14ac:dyDescent="0.25">
      <c r="A2977" s="3" t="s">
        <v>318</v>
      </c>
      <c r="B2977" s="3" t="s">
        <v>413</v>
      </c>
      <c r="C2977" s="3">
        <v>2022</v>
      </c>
      <c r="D2977" s="4">
        <v>2</v>
      </c>
      <c r="E2977" s="5">
        <v>29</v>
      </c>
      <c r="F2977" s="5">
        <v>6.87</v>
      </c>
      <c r="G2977" s="3" t="str">
        <f>VLOOKUP(Registros[[#This Row],[Cliente]],Cliente_Region[],2,FALSE)</f>
        <v>Canada</v>
      </c>
      <c r="H2977" s="3" t="str">
        <f>VLOOKUP(Registros[[#This Row],[Producto]],Producto[],2,FALSE)</f>
        <v>LAX</v>
      </c>
    </row>
    <row r="2978" spans="1:8" ht="20.100000000000001" customHeight="1" x14ac:dyDescent="0.25">
      <c r="A2978" s="3" t="s">
        <v>318</v>
      </c>
      <c r="B2978" s="3" t="s">
        <v>413</v>
      </c>
      <c r="C2978" s="3">
        <v>2022</v>
      </c>
      <c r="D2978" s="4">
        <v>3</v>
      </c>
      <c r="E2978" s="5">
        <v>29</v>
      </c>
      <c r="F2978" s="5">
        <v>6.93</v>
      </c>
      <c r="G2978" s="3" t="str">
        <f>VLOOKUP(Registros[[#This Row],[Cliente]],Cliente_Region[],2,FALSE)</f>
        <v>Canada</v>
      </c>
      <c r="H2978" s="3" t="str">
        <f>VLOOKUP(Registros[[#This Row],[Producto]],Producto[],2,FALSE)</f>
        <v>LAX</v>
      </c>
    </row>
    <row r="2979" spans="1:8" ht="20.100000000000001" customHeight="1" x14ac:dyDescent="0.25">
      <c r="A2979" s="3" t="s">
        <v>318</v>
      </c>
      <c r="B2979" s="3" t="s">
        <v>413</v>
      </c>
      <c r="C2979" s="3">
        <v>2022</v>
      </c>
      <c r="D2979" s="4">
        <v>4</v>
      </c>
      <c r="E2979" s="5">
        <v>72.5</v>
      </c>
      <c r="F2979" s="5">
        <v>17.3</v>
      </c>
      <c r="G2979" s="3" t="str">
        <f>VLOOKUP(Registros[[#This Row],[Cliente]],Cliente_Region[],2,FALSE)</f>
        <v>Canada</v>
      </c>
      <c r="H2979" s="3" t="str">
        <f>VLOOKUP(Registros[[#This Row],[Producto]],Producto[],2,FALSE)</f>
        <v>LAX</v>
      </c>
    </row>
    <row r="2980" spans="1:8" ht="20.100000000000001" customHeight="1" x14ac:dyDescent="0.25">
      <c r="A2980" s="3" t="s">
        <v>318</v>
      </c>
      <c r="B2980" s="3" t="s">
        <v>413</v>
      </c>
      <c r="C2980" s="3">
        <v>2022</v>
      </c>
      <c r="D2980" s="4">
        <v>5</v>
      </c>
      <c r="E2980" s="5">
        <v>14.5</v>
      </c>
      <c r="F2980" s="5">
        <v>3.44</v>
      </c>
      <c r="G2980" s="3" t="str">
        <f>VLOOKUP(Registros[[#This Row],[Cliente]],Cliente_Region[],2,FALSE)</f>
        <v>Canada</v>
      </c>
      <c r="H2980" s="3" t="str">
        <f>VLOOKUP(Registros[[#This Row],[Producto]],Producto[],2,FALSE)</f>
        <v>LAX</v>
      </c>
    </row>
    <row r="2981" spans="1:8" ht="20.100000000000001" customHeight="1" x14ac:dyDescent="0.25">
      <c r="A2981" s="3" t="s">
        <v>13</v>
      </c>
      <c r="B2981" s="3" t="s">
        <v>413</v>
      </c>
      <c r="C2981" s="3">
        <v>2022</v>
      </c>
      <c r="D2981" s="4">
        <v>3</v>
      </c>
      <c r="E2981" s="5">
        <v>15</v>
      </c>
      <c r="F2981" s="5">
        <v>5.44</v>
      </c>
      <c r="G2981" s="3" t="str">
        <f>VLOOKUP(Registros[[#This Row],[Cliente]],Cliente_Region[],2,FALSE)</f>
        <v>Canada</v>
      </c>
      <c r="H2981" s="3" t="str">
        <f>VLOOKUP(Registros[[#This Row],[Producto]],Producto[],2,FALSE)</f>
        <v>DAWNE</v>
      </c>
    </row>
    <row r="2982" spans="1:8" ht="20.100000000000001" customHeight="1" x14ac:dyDescent="0.25">
      <c r="A2982" s="3" t="s">
        <v>68</v>
      </c>
      <c r="B2982" s="3" t="s">
        <v>414</v>
      </c>
      <c r="C2982" s="3">
        <v>2022</v>
      </c>
      <c r="D2982" s="4">
        <v>4</v>
      </c>
      <c r="E2982" s="5">
        <v>23</v>
      </c>
      <c r="F2982" s="5">
        <v>5.82</v>
      </c>
      <c r="G2982" s="3" t="str">
        <f>VLOOKUP(Registros[[#This Row],[Cliente]],Cliente_Region[],2,FALSE)</f>
        <v>Chile</v>
      </c>
      <c r="H2982" s="3" t="str">
        <f>VLOOKUP(Registros[[#This Row],[Producto]],Producto[],2,FALSE)</f>
        <v>SALF</v>
      </c>
    </row>
    <row r="2983" spans="1:8" ht="20.100000000000001" customHeight="1" x14ac:dyDescent="0.25">
      <c r="A2983" s="3" t="s">
        <v>70</v>
      </c>
      <c r="B2983" s="3" t="s">
        <v>414</v>
      </c>
      <c r="C2983" s="3">
        <v>2022</v>
      </c>
      <c r="D2983" s="4">
        <v>6</v>
      </c>
      <c r="E2983" s="5">
        <v>18</v>
      </c>
      <c r="F2983" s="5">
        <v>2.7</v>
      </c>
      <c r="G2983" s="3" t="str">
        <f>VLOOKUP(Registros[[#This Row],[Cliente]],Cliente_Region[],2,FALSE)</f>
        <v>Chile</v>
      </c>
      <c r="H2983" s="3" t="str">
        <f>VLOOKUP(Registros[[#This Row],[Producto]],Producto[],2,FALSE)</f>
        <v>LAX</v>
      </c>
    </row>
    <row r="2984" spans="1:8" ht="20.100000000000001" customHeight="1" x14ac:dyDescent="0.25">
      <c r="A2984" s="3" t="s">
        <v>317</v>
      </c>
      <c r="B2984" s="3" t="s">
        <v>414</v>
      </c>
      <c r="C2984" s="3">
        <v>2022</v>
      </c>
      <c r="D2984" s="4">
        <v>1</v>
      </c>
      <c r="E2984" s="5">
        <v>145</v>
      </c>
      <c r="F2984" s="5">
        <v>34.590000000000003</v>
      </c>
      <c r="G2984" s="3" t="str">
        <f>VLOOKUP(Registros[[#This Row],[Cliente]],Cliente_Region[],2,FALSE)</f>
        <v>Chile</v>
      </c>
      <c r="H2984" s="3" t="str">
        <f>VLOOKUP(Registros[[#This Row],[Producto]],Producto[],2,FALSE)</f>
        <v>LAX</v>
      </c>
    </row>
    <row r="2985" spans="1:8" ht="20.100000000000001" customHeight="1" x14ac:dyDescent="0.25">
      <c r="A2985" s="3" t="s">
        <v>318</v>
      </c>
      <c r="B2985" s="3" t="s">
        <v>414</v>
      </c>
      <c r="C2985" s="3">
        <v>2022</v>
      </c>
      <c r="D2985" s="4">
        <v>2</v>
      </c>
      <c r="E2985" s="5">
        <v>43.5</v>
      </c>
      <c r="F2985" s="5">
        <v>10.43</v>
      </c>
      <c r="G2985" s="3" t="str">
        <f>VLOOKUP(Registros[[#This Row],[Cliente]],Cliente_Region[],2,FALSE)</f>
        <v>Chile</v>
      </c>
      <c r="H2985" s="3" t="str">
        <f>VLOOKUP(Registros[[#This Row],[Producto]],Producto[],2,FALSE)</f>
        <v>LAX</v>
      </c>
    </row>
    <row r="2986" spans="1:8" ht="20.100000000000001" customHeight="1" x14ac:dyDescent="0.25">
      <c r="A2986" s="3" t="s">
        <v>318</v>
      </c>
      <c r="B2986" s="3" t="s">
        <v>414</v>
      </c>
      <c r="C2986" s="3">
        <v>2022</v>
      </c>
      <c r="D2986" s="4">
        <v>3</v>
      </c>
      <c r="E2986" s="5">
        <v>145</v>
      </c>
      <c r="F2986" s="5">
        <v>34.64</v>
      </c>
      <c r="G2986" s="3" t="str">
        <f>VLOOKUP(Registros[[#This Row],[Cliente]],Cliente_Region[],2,FALSE)</f>
        <v>Chile</v>
      </c>
      <c r="H2986" s="3" t="str">
        <f>VLOOKUP(Registros[[#This Row],[Producto]],Producto[],2,FALSE)</f>
        <v>LAX</v>
      </c>
    </row>
    <row r="2987" spans="1:8" ht="20.100000000000001" customHeight="1" x14ac:dyDescent="0.25">
      <c r="A2987" s="3" t="s">
        <v>318</v>
      </c>
      <c r="B2987" s="3" t="s">
        <v>414</v>
      </c>
      <c r="C2987" s="3">
        <v>2022</v>
      </c>
      <c r="D2987" s="4">
        <v>4</v>
      </c>
      <c r="E2987" s="5">
        <v>72.5</v>
      </c>
      <c r="F2987" s="5">
        <v>17.3</v>
      </c>
      <c r="G2987" s="3" t="str">
        <f>VLOOKUP(Registros[[#This Row],[Cliente]],Cliente_Region[],2,FALSE)</f>
        <v>Chile</v>
      </c>
      <c r="H2987" s="3" t="str">
        <f>VLOOKUP(Registros[[#This Row],[Producto]],Producto[],2,FALSE)</f>
        <v>LAX</v>
      </c>
    </row>
    <row r="2988" spans="1:8" ht="20.100000000000001" customHeight="1" x14ac:dyDescent="0.25">
      <c r="A2988" s="3" t="s">
        <v>318</v>
      </c>
      <c r="B2988" s="3" t="s">
        <v>414</v>
      </c>
      <c r="C2988" s="3">
        <v>2022</v>
      </c>
      <c r="D2988" s="4">
        <v>5</v>
      </c>
      <c r="E2988" s="5">
        <v>87</v>
      </c>
      <c r="F2988" s="5">
        <v>20.74</v>
      </c>
      <c r="G2988" s="3" t="str">
        <f>VLOOKUP(Registros[[#This Row],[Cliente]],Cliente_Region[],2,FALSE)</f>
        <v>Chile</v>
      </c>
      <c r="H2988" s="3" t="str">
        <f>VLOOKUP(Registros[[#This Row],[Producto]],Producto[],2,FALSE)</f>
        <v>LAX</v>
      </c>
    </row>
    <row r="2989" spans="1:8" ht="20.100000000000001" customHeight="1" x14ac:dyDescent="0.25">
      <c r="A2989" s="3" t="s">
        <v>318</v>
      </c>
      <c r="B2989" s="3" t="s">
        <v>414</v>
      </c>
      <c r="C2989" s="3">
        <v>2022</v>
      </c>
      <c r="D2989" s="4">
        <v>6</v>
      </c>
      <c r="E2989" s="5">
        <v>72.5</v>
      </c>
      <c r="F2989" s="5">
        <v>17.18</v>
      </c>
      <c r="G2989" s="3" t="str">
        <f>VLOOKUP(Registros[[#This Row],[Cliente]],Cliente_Region[],2,FALSE)</f>
        <v>Chile</v>
      </c>
      <c r="H2989" s="3" t="str">
        <f>VLOOKUP(Registros[[#This Row],[Producto]],Producto[],2,FALSE)</f>
        <v>LAX</v>
      </c>
    </row>
    <row r="2990" spans="1:8" ht="20.100000000000001" customHeight="1" x14ac:dyDescent="0.25">
      <c r="A2990" s="3" t="s">
        <v>68</v>
      </c>
      <c r="B2990" s="3" t="s">
        <v>415</v>
      </c>
      <c r="C2990" s="3">
        <v>2022</v>
      </c>
      <c r="D2990" s="4">
        <v>3</v>
      </c>
      <c r="E2990" s="5">
        <v>21</v>
      </c>
      <c r="F2990" s="5">
        <v>3.83</v>
      </c>
      <c r="G2990" s="3" t="str">
        <f>VLOOKUP(Registros[[#This Row],[Cliente]],Cliente_Region[],2,FALSE)</f>
        <v>Argentina</v>
      </c>
      <c r="H2990" s="3" t="str">
        <f>VLOOKUP(Registros[[#This Row],[Producto]],Producto[],2,FALSE)</f>
        <v>SALF</v>
      </c>
    </row>
    <row r="2991" spans="1:8" ht="20.100000000000001" customHeight="1" x14ac:dyDescent="0.25">
      <c r="A2991" s="3" t="s">
        <v>317</v>
      </c>
      <c r="B2991" s="3" t="s">
        <v>415</v>
      </c>
      <c r="C2991" s="3">
        <v>2022</v>
      </c>
      <c r="D2991" s="4">
        <v>6</v>
      </c>
      <c r="E2991" s="5">
        <v>43.5</v>
      </c>
      <c r="F2991" s="5">
        <v>10.29</v>
      </c>
      <c r="G2991" s="3" t="str">
        <f>VLOOKUP(Registros[[#This Row],[Cliente]],Cliente_Region[],2,FALSE)</f>
        <v>Argentina</v>
      </c>
      <c r="H2991" s="3" t="str">
        <f>VLOOKUP(Registros[[#This Row],[Producto]],Producto[],2,FALSE)</f>
        <v>LAX</v>
      </c>
    </row>
    <row r="2992" spans="1:8" ht="20.100000000000001" customHeight="1" x14ac:dyDescent="0.25">
      <c r="A2992" s="3" t="s">
        <v>317</v>
      </c>
      <c r="B2992" s="3" t="s">
        <v>416</v>
      </c>
      <c r="C2992" s="3">
        <v>2022</v>
      </c>
      <c r="D2992" s="4">
        <v>5</v>
      </c>
      <c r="E2992" s="5">
        <v>28.5</v>
      </c>
      <c r="F2992" s="5">
        <v>6.4</v>
      </c>
      <c r="G2992" s="3" t="str">
        <f>VLOOKUP(Registros[[#This Row],[Cliente]],Cliente_Region[],2,FALSE)</f>
        <v>Colombia</v>
      </c>
      <c r="H2992" s="3" t="str">
        <f>VLOOKUP(Registros[[#This Row],[Producto]],Producto[],2,FALSE)</f>
        <v>LAX</v>
      </c>
    </row>
    <row r="2993" spans="1:8" ht="20.100000000000001" customHeight="1" x14ac:dyDescent="0.25">
      <c r="A2993" s="3" t="s">
        <v>318</v>
      </c>
      <c r="B2993" s="3" t="s">
        <v>416</v>
      </c>
      <c r="C2993" s="3">
        <v>2022</v>
      </c>
      <c r="D2993" s="4">
        <v>6</v>
      </c>
      <c r="E2993" s="5">
        <v>14.5</v>
      </c>
      <c r="F2993" s="5">
        <v>3.43</v>
      </c>
      <c r="G2993" s="3" t="str">
        <f>VLOOKUP(Registros[[#This Row],[Cliente]],Cliente_Region[],2,FALSE)</f>
        <v>Colombia</v>
      </c>
      <c r="H2993" s="3" t="str">
        <f>VLOOKUP(Registros[[#This Row],[Producto]],Producto[],2,FALSE)</f>
        <v>LAX</v>
      </c>
    </row>
    <row r="2994" spans="1:8" ht="20.100000000000001" customHeight="1" x14ac:dyDescent="0.25">
      <c r="A2994" s="3" t="s">
        <v>140</v>
      </c>
      <c r="B2994" s="3" t="s">
        <v>417</v>
      </c>
      <c r="C2994" s="3">
        <v>2022</v>
      </c>
      <c r="D2994" s="4">
        <v>5</v>
      </c>
      <c r="E2994" s="5">
        <v>106.5</v>
      </c>
      <c r="F2994" s="5">
        <v>50.2</v>
      </c>
      <c r="G2994" s="3" t="str">
        <f>VLOOKUP(Registros[[#This Row],[Cliente]],Cliente_Region[],2,FALSE)</f>
        <v>Chile</v>
      </c>
      <c r="H2994" s="3" t="str">
        <f>VLOOKUP(Registros[[#This Row],[Producto]],Producto[],2,FALSE)</f>
        <v>DAWNE</v>
      </c>
    </row>
    <row r="2995" spans="1:8" ht="20.100000000000001" customHeight="1" x14ac:dyDescent="0.25">
      <c r="A2995" s="3" t="s">
        <v>418</v>
      </c>
      <c r="B2995" s="3" t="s">
        <v>417</v>
      </c>
      <c r="C2995" s="3">
        <v>2022</v>
      </c>
      <c r="D2995" s="4">
        <v>3</v>
      </c>
      <c r="E2995" s="5">
        <v>450</v>
      </c>
      <c r="F2995" s="5">
        <v>260.26</v>
      </c>
      <c r="G2995" s="3" t="str">
        <f>VLOOKUP(Registros[[#This Row],[Cliente]],Cliente_Region[],2,FALSE)</f>
        <v>Chile</v>
      </c>
      <c r="H2995" s="3" t="str">
        <f>VLOOKUP(Registros[[#This Row],[Producto]],Producto[],2,FALSE)</f>
        <v>MOC</v>
      </c>
    </row>
    <row r="2996" spans="1:8" ht="20.100000000000001" customHeight="1" x14ac:dyDescent="0.25">
      <c r="A2996" s="3" t="s">
        <v>419</v>
      </c>
      <c r="B2996" s="3" t="s">
        <v>417</v>
      </c>
      <c r="C2996" s="3">
        <v>2022</v>
      </c>
      <c r="D2996" s="4">
        <v>5</v>
      </c>
      <c r="E2996" s="5">
        <v>450</v>
      </c>
      <c r="F2996" s="5">
        <v>260.26</v>
      </c>
      <c r="G2996" s="3" t="str">
        <f>VLOOKUP(Registros[[#This Row],[Cliente]],Cliente_Region[],2,FALSE)</f>
        <v>Chile</v>
      </c>
      <c r="H2996" s="3" t="str">
        <f>VLOOKUP(Registros[[#This Row],[Producto]],Producto[],2,FALSE)</f>
        <v>CHOTUS</v>
      </c>
    </row>
    <row r="2997" spans="1:8" ht="20.100000000000001" customHeight="1" x14ac:dyDescent="0.25">
      <c r="A2997" s="3" t="s">
        <v>68</v>
      </c>
      <c r="B2997" s="3" t="s">
        <v>420</v>
      </c>
      <c r="C2997" s="3">
        <v>2022</v>
      </c>
      <c r="D2997" s="4">
        <v>4</v>
      </c>
      <c r="E2997" s="5">
        <v>4</v>
      </c>
      <c r="F2997" s="5">
        <v>0.56000000000000005</v>
      </c>
      <c r="G2997" s="3" t="str">
        <f>VLOOKUP(Registros[[#This Row],[Cliente]],Cliente_Region[],2,FALSE)</f>
        <v>Argentina</v>
      </c>
      <c r="H2997" s="3" t="str">
        <f>VLOOKUP(Registros[[#This Row],[Producto]],Producto[],2,FALSE)</f>
        <v>SALF</v>
      </c>
    </row>
    <row r="2998" spans="1:8" ht="20.100000000000001" customHeight="1" x14ac:dyDescent="0.25">
      <c r="A2998" s="3" t="s">
        <v>13</v>
      </c>
      <c r="B2998" s="3" t="s">
        <v>420</v>
      </c>
      <c r="C2998" s="3">
        <v>2022</v>
      </c>
      <c r="D2998" s="4">
        <v>2</v>
      </c>
      <c r="E2998" s="5">
        <v>2.8</v>
      </c>
      <c r="F2998" s="5">
        <v>0.89</v>
      </c>
      <c r="G2998" s="3" t="str">
        <f>VLOOKUP(Registros[[#This Row],[Cliente]],Cliente_Region[],2,FALSE)</f>
        <v>Argentina</v>
      </c>
      <c r="H2998" s="3" t="str">
        <f>VLOOKUP(Registros[[#This Row],[Producto]],Producto[],2,FALSE)</f>
        <v>DAWNE</v>
      </c>
    </row>
    <row r="2999" spans="1:8" ht="20.100000000000001" customHeight="1" x14ac:dyDescent="0.25">
      <c r="A2999" s="3" t="s">
        <v>14</v>
      </c>
      <c r="B2999" s="3" t="s">
        <v>420</v>
      </c>
      <c r="C2999" s="3">
        <v>2022</v>
      </c>
      <c r="D2999" s="4">
        <v>3</v>
      </c>
      <c r="E2999" s="5">
        <v>5</v>
      </c>
      <c r="F2999" s="5">
        <v>1.17</v>
      </c>
      <c r="G2999" s="3" t="str">
        <f>VLOOKUP(Registros[[#This Row],[Cliente]],Cliente_Region[],2,FALSE)</f>
        <v>Argentina</v>
      </c>
      <c r="H2999" s="3" t="str">
        <f>VLOOKUP(Registros[[#This Row],[Producto]],Producto[],2,FALSE)</f>
        <v>SALF</v>
      </c>
    </row>
    <row r="3000" spans="1:8" ht="20.100000000000001" customHeight="1" x14ac:dyDescent="0.25">
      <c r="A3000" s="3" t="s">
        <v>264</v>
      </c>
      <c r="B3000" s="3" t="s">
        <v>420</v>
      </c>
      <c r="C3000" s="3">
        <v>2022</v>
      </c>
      <c r="D3000" s="4">
        <v>1</v>
      </c>
      <c r="E3000" s="5">
        <v>14</v>
      </c>
      <c r="F3000" s="5">
        <v>3.5</v>
      </c>
      <c r="G3000" s="3" t="str">
        <f>VLOOKUP(Registros[[#This Row],[Cliente]],Cliente_Region[],2,FALSE)</f>
        <v>Argentina</v>
      </c>
      <c r="H3000" s="3" t="str">
        <f>VLOOKUP(Registros[[#This Row],[Producto]],Producto[],2,FALSE)</f>
        <v>SALF</v>
      </c>
    </row>
    <row r="3001" spans="1:8" ht="20.100000000000001" customHeight="1" x14ac:dyDescent="0.25">
      <c r="A3001" s="3" t="s">
        <v>20</v>
      </c>
      <c r="B3001" s="3" t="s">
        <v>420</v>
      </c>
      <c r="C3001" s="3">
        <v>2022</v>
      </c>
      <c r="D3001" s="4">
        <v>2</v>
      </c>
      <c r="E3001" s="5">
        <v>2</v>
      </c>
      <c r="F3001" s="5">
        <v>0.22</v>
      </c>
      <c r="G3001" s="3" t="str">
        <f>VLOOKUP(Registros[[#This Row],[Cliente]],Cliente_Region[],2,FALSE)</f>
        <v>Argentina</v>
      </c>
      <c r="H3001" s="3" t="str">
        <f>VLOOKUP(Registros[[#This Row],[Producto]],Producto[],2,FALSE)</f>
        <v>CHOTUS</v>
      </c>
    </row>
    <row r="3002" spans="1:8" ht="20.100000000000001" customHeight="1" x14ac:dyDescent="0.25">
      <c r="A3002" s="3" t="s">
        <v>21</v>
      </c>
      <c r="B3002" s="3" t="s">
        <v>420</v>
      </c>
      <c r="C3002" s="3">
        <v>2022</v>
      </c>
      <c r="D3002" s="4">
        <v>3</v>
      </c>
      <c r="E3002" s="5">
        <v>10</v>
      </c>
      <c r="F3002" s="5">
        <v>2.9</v>
      </c>
      <c r="G3002" s="3" t="str">
        <f>VLOOKUP(Registros[[#This Row],[Cliente]],Cliente_Region[],2,FALSE)</f>
        <v>Argentina</v>
      </c>
      <c r="H3002" s="3" t="str">
        <f>VLOOKUP(Registros[[#This Row],[Producto]],Producto[],2,FALSE)</f>
        <v>MOC</v>
      </c>
    </row>
    <row r="3003" spans="1:8" ht="20.100000000000001" customHeight="1" x14ac:dyDescent="0.25">
      <c r="A3003" s="3" t="s">
        <v>266</v>
      </c>
      <c r="B3003" s="3" t="s">
        <v>420</v>
      </c>
      <c r="C3003" s="3">
        <v>2022</v>
      </c>
      <c r="D3003" s="4">
        <v>3</v>
      </c>
      <c r="E3003" s="5">
        <v>10.33</v>
      </c>
      <c r="F3003" s="5">
        <v>7.11</v>
      </c>
      <c r="G3003" s="3" t="str">
        <f>VLOOKUP(Registros[[#This Row],[Cliente]],Cliente_Region[],2,FALSE)</f>
        <v>Argentina</v>
      </c>
      <c r="H3003" s="3" t="str">
        <f>VLOOKUP(Registros[[#This Row],[Producto]],Producto[],2,FALSE)</f>
        <v>DAWNE</v>
      </c>
    </row>
    <row r="3004" spans="1:8" ht="20.100000000000001" customHeight="1" x14ac:dyDescent="0.25">
      <c r="A3004" s="3" t="s">
        <v>24</v>
      </c>
      <c r="B3004" s="3" t="s">
        <v>420</v>
      </c>
      <c r="C3004" s="3">
        <v>2022</v>
      </c>
      <c r="D3004" s="4">
        <v>3</v>
      </c>
      <c r="E3004" s="5">
        <v>11.67</v>
      </c>
      <c r="F3004" s="5">
        <v>5.59</v>
      </c>
      <c r="G3004" s="3" t="str">
        <f>VLOOKUP(Registros[[#This Row],[Cliente]],Cliente_Region[],2,FALSE)</f>
        <v>Argentina</v>
      </c>
      <c r="H3004" s="3" t="str">
        <f>VLOOKUP(Registros[[#This Row],[Producto]],Producto[],2,FALSE)</f>
        <v>GAMBO</v>
      </c>
    </row>
    <row r="3005" spans="1:8" ht="20.100000000000001" customHeight="1" x14ac:dyDescent="0.25">
      <c r="A3005" s="3" t="s">
        <v>157</v>
      </c>
      <c r="B3005" s="3" t="s">
        <v>420</v>
      </c>
      <c r="C3005" s="3">
        <v>2022</v>
      </c>
      <c r="D3005" s="4">
        <v>3</v>
      </c>
      <c r="E3005" s="5">
        <v>19.5</v>
      </c>
      <c r="F3005" s="5">
        <v>6.9</v>
      </c>
      <c r="G3005" s="3" t="str">
        <f>VLOOKUP(Registros[[#This Row],[Cliente]],Cliente_Region[],2,FALSE)</f>
        <v>Argentina</v>
      </c>
      <c r="H3005" s="3" t="str">
        <f>VLOOKUP(Registros[[#This Row],[Producto]],Producto[],2,FALSE)</f>
        <v>GAMBO</v>
      </c>
    </row>
    <row r="3006" spans="1:8" ht="20.100000000000001" customHeight="1" x14ac:dyDescent="0.25">
      <c r="A3006" s="3" t="s">
        <v>44</v>
      </c>
      <c r="B3006" s="3" t="s">
        <v>420</v>
      </c>
      <c r="C3006" s="3">
        <v>2022</v>
      </c>
      <c r="D3006" s="4">
        <v>5</v>
      </c>
      <c r="E3006" s="5">
        <v>220</v>
      </c>
      <c r="F3006" s="5">
        <v>74.430000000000007</v>
      </c>
      <c r="G3006" s="3" t="str">
        <f>VLOOKUP(Registros[[#This Row],[Cliente]],Cliente_Region[],2,FALSE)</f>
        <v>Argentina</v>
      </c>
      <c r="H3006" s="3" t="str">
        <f>VLOOKUP(Registros[[#This Row],[Producto]],Producto[],2,FALSE)</f>
        <v>DAWNE</v>
      </c>
    </row>
    <row r="3007" spans="1:8" ht="20.100000000000001" customHeight="1" x14ac:dyDescent="0.25">
      <c r="A3007" s="3" t="s">
        <v>45</v>
      </c>
      <c r="B3007" s="3" t="s">
        <v>420</v>
      </c>
      <c r="C3007" s="3">
        <v>2022</v>
      </c>
      <c r="D3007" s="4">
        <v>6</v>
      </c>
      <c r="E3007" s="5">
        <v>330</v>
      </c>
      <c r="F3007" s="5">
        <v>-67.02</v>
      </c>
      <c r="G3007" s="3" t="str">
        <f>VLOOKUP(Registros[[#This Row],[Cliente]],Cliente_Region[],2,FALSE)</f>
        <v>Argentina</v>
      </c>
      <c r="H3007" s="3" t="str">
        <f>VLOOKUP(Registros[[#This Row],[Producto]],Producto[],2,FALSE)</f>
        <v>DONANY</v>
      </c>
    </row>
    <row r="3008" spans="1:8" ht="20.100000000000001" customHeight="1" x14ac:dyDescent="0.25">
      <c r="A3008" s="3" t="s">
        <v>179</v>
      </c>
      <c r="B3008" s="3" t="s">
        <v>420</v>
      </c>
      <c r="C3008" s="3">
        <v>2022</v>
      </c>
      <c r="D3008" s="4">
        <v>6</v>
      </c>
      <c r="E3008" s="5">
        <v>40</v>
      </c>
      <c r="F3008" s="5">
        <v>21.33</v>
      </c>
      <c r="G3008" s="3" t="str">
        <f>VLOOKUP(Registros[[#This Row],[Cliente]],Cliente_Region[],2,FALSE)</f>
        <v>Argentina</v>
      </c>
      <c r="H3008" s="3" t="str">
        <f>VLOOKUP(Registros[[#This Row],[Producto]],Producto[],2,FALSE)</f>
        <v>DAWNE</v>
      </c>
    </row>
    <row r="3009" spans="1:8" ht="20.100000000000001" customHeight="1" x14ac:dyDescent="0.25">
      <c r="A3009" s="3" t="s">
        <v>421</v>
      </c>
      <c r="B3009" s="3" t="s">
        <v>420</v>
      </c>
      <c r="C3009" s="3">
        <v>2022</v>
      </c>
      <c r="D3009" s="4">
        <v>6</v>
      </c>
      <c r="E3009" s="5">
        <v>32.5</v>
      </c>
      <c r="F3009" s="5">
        <v>0.97</v>
      </c>
      <c r="G3009" s="3" t="str">
        <f>VLOOKUP(Registros[[#This Row],[Cliente]],Cliente_Region[],2,FALSE)</f>
        <v>Argentina</v>
      </c>
      <c r="H3009" s="3" t="str">
        <f>VLOOKUP(Registros[[#This Row],[Producto]],Producto[],2,FALSE)</f>
        <v>DAWNE</v>
      </c>
    </row>
    <row r="3010" spans="1:8" ht="20.100000000000001" customHeight="1" x14ac:dyDescent="0.25">
      <c r="A3010" s="3" t="s">
        <v>146</v>
      </c>
      <c r="B3010" s="3" t="s">
        <v>420</v>
      </c>
      <c r="C3010" s="3">
        <v>2022</v>
      </c>
      <c r="D3010" s="4">
        <v>5</v>
      </c>
      <c r="E3010" s="5">
        <v>25</v>
      </c>
      <c r="F3010" s="5">
        <v>0.93</v>
      </c>
      <c r="G3010" s="3" t="str">
        <f>VLOOKUP(Registros[[#This Row],[Cliente]],Cliente_Region[],2,FALSE)</f>
        <v>Argentina</v>
      </c>
      <c r="H3010" s="3" t="str">
        <f>VLOOKUP(Registros[[#This Row],[Producto]],Producto[],2,FALSE)</f>
        <v>DAWNE</v>
      </c>
    </row>
    <row r="3011" spans="1:8" ht="20.100000000000001" customHeight="1" x14ac:dyDescent="0.25">
      <c r="A3011" s="3" t="s">
        <v>423</v>
      </c>
      <c r="B3011" s="3" t="s">
        <v>420</v>
      </c>
      <c r="C3011" s="3">
        <v>2022</v>
      </c>
      <c r="D3011" s="4">
        <v>6</v>
      </c>
      <c r="E3011" s="5">
        <v>11</v>
      </c>
      <c r="F3011" s="5">
        <v>1.63</v>
      </c>
      <c r="G3011" s="3" t="str">
        <f>VLOOKUP(Registros[[#This Row],[Cliente]],Cliente_Region[],2,FALSE)</f>
        <v>Argentina</v>
      </c>
      <c r="H3011" s="3" t="str">
        <f>VLOOKUP(Registros[[#This Row],[Producto]],Producto[],2,FALSE)</f>
        <v>GAMBO</v>
      </c>
    </row>
    <row r="3012" spans="1:8" ht="20.100000000000001" customHeight="1" x14ac:dyDescent="0.25">
      <c r="A3012" s="3" t="s">
        <v>56</v>
      </c>
      <c r="B3012" s="3" t="s">
        <v>420</v>
      </c>
      <c r="C3012" s="3">
        <v>2022</v>
      </c>
      <c r="D3012" s="4">
        <v>3</v>
      </c>
      <c r="E3012" s="5">
        <v>10.5</v>
      </c>
      <c r="F3012" s="5">
        <v>-29.72</v>
      </c>
      <c r="G3012" s="3" t="str">
        <f>VLOOKUP(Registros[[#This Row],[Cliente]],Cliente_Region[],2,FALSE)</f>
        <v>Argentina</v>
      </c>
      <c r="H3012" s="3" t="str">
        <f>VLOOKUP(Registros[[#This Row],[Producto]],Producto[],2,FALSE)</f>
        <v>SALF</v>
      </c>
    </row>
    <row r="3013" spans="1:8" ht="20.100000000000001" customHeight="1" x14ac:dyDescent="0.25">
      <c r="A3013" s="3" t="s">
        <v>39</v>
      </c>
      <c r="B3013" s="3" t="s">
        <v>420</v>
      </c>
      <c r="C3013" s="3">
        <v>2022</v>
      </c>
      <c r="D3013" s="4">
        <v>2</v>
      </c>
      <c r="E3013" s="5">
        <v>8.6999999999999993</v>
      </c>
      <c r="F3013" s="5">
        <v>3.99</v>
      </c>
      <c r="G3013" s="3" t="str">
        <f>VLOOKUP(Registros[[#This Row],[Cliente]],Cliente_Region[],2,FALSE)</f>
        <v>Argentina</v>
      </c>
      <c r="H3013" s="3" t="str">
        <f>VLOOKUP(Registros[[#This Row],[Producto]],Producto[],2,FALSE)</f>
        <v>SALF</v>
      </c>
    </row>
    <row r="3014" spans="1:8" ht="20.100000000000001" customHeight="1" x14ac:dyDescent="0.25">
      <c r="A3014" s="3" t="s">
        <v>74</v>
      </c>
      <c r="B3014" s="3" t="s">
        <v>420</v>
      </c>
      <c r="C3014" s="3">
        <v>2022</v>
      </c>
      <c r="D3014" s="4">
        <v>2</v>
      </c>
      <c r="E3014" s="5">
        <v>7.5</v>
      </c>
      <c r="F3014" s="5">
        <v>2.84</v>
      </c>
      <c r="G3014" s="3" t="str">
        <f>VLOOKUP(Registros[[#This Row],[Cliente]],Cliente_Region[],2,FALSE)</f>
        <v>Argentina</v>
      </c>
      <c r="H3014" s="3" t="str">
        <f>VLOOKUP(Registros[[#This Row],[Producto]],Producto[],2,FALSE)</f>
        <v>CHOTUS</v>
      </c>
    </row>
    <row r="3015" spans="1:8" ht="20.100000000000001" customHeight="1" x14ac:dyDescent="0.25">
      <c r="A3015" s="3" t="s">
        <v>253</v>
      </c>
      <c r="B3015" s="3" t="s">
        <v>424</v>
      </c>
      <c r="C3015" s="3">
        <v>2022</v>
      </c>
      <c r="D3015" s="4">
        <v>3</v>
      </c>
      <c r="E3015" s="5">
        <v>26</v>
      </c>
      <c r="F3015" s="5">
        <v>5.98</v>
      </c>
      <c r="G3015" s="3" t="str">
        <f>VLOOKUP(Registros[[#This Row],[Cliente]],Cliente_Region[],2,FALSE)</f>
        <v>Peru</v>
      </c>
      <c r="H3015" s="3" t="str">
        <f>VLOOKUP(Registros[[#This Row],[Producto]],Producto[],2,FALSE)</f>
        <v>LAX</v>
      </c>
    </row>
    <row r="3016" spans="1:8" ht="20.100000000000001" customHeight="1" x14ac:dyDescent="0.25">
      <c r="A3016" s="3" t="s">
        <v>318</v>
      </c>
      <c r="B3016" s="3" t="s">
        <v>424</v>
      </c>
      <c r="C3016" s="3">
        <v>2022</v>
      </c>
      <c r="D3016" s="4">
        <v>1</v>
      </c>
      <c r="E3016" s="5">
        <v>17.5</v>
      </c>
      <c r="F3016" s="5">
        <v>-0.05</v>
      </c>
      <c r="G3016" s="3" t="str">
        <f>VLOOKUP(Registros[[#This Row],[Cliente]],Cliente_Region[],2,FALSE)</f>
        <v>Peru</v>
      </c>
      <c r="H3016" s="3" t="str">
        <f>VLOOKUP(Registros[[#This Row],[Producto]],Producto[],2,FALSE)</f>
        <v>LAX</v>
      </c>
    </row>
    <row r="3017" spans="1:8" ht="20.100000000000001" customHeight="1" x14ac:dyDescent="0.25">
      <c r="A3017" s="3" t="s">
        <v>425</v>
      </c>
      <c r="B3017" s="3" t="s">
        <v>424</v>
      </c>
      <c r="C3017" s="3">
        <v>2022</v>
      </c>
      <c r="D3017" s="4">
        <v>6</v>
      </c>
      <c r="E3017" s="5">
        <v>52.5</v>
      </c>
      <c r="F3017" s="5">
        <v>-0.15</v>
      </c>
      <c r="G3017" s="3" t="str">
        <f>VLOOKUP(Registros[[#This Row],[Cliente]],Cliente_Region[],2,FALSE)</f>
        <v>Peru</v>
      </c>
      <c r="H3017" s="3" t="str">
        <f>VLOOKUP(Registros[[#This Row],[Producto]],Producto[],2,FALSE)</f>
        <v>LAX</v>
      </c>
    </row>
    <row r="3018" spans="1:8" ht="20.100000000000001" customHeight="1" x14ac:dyDescent="0.25">
      <c r="A3018" s="3" t="s">
        <v>70</v>
      </c>
      <c r="B3018" s="3" t="s">
        <v>424</v>
      </c>
      <c r="C3018" s="3">
        <v>2022</v>
      </c>
      <c r="D3018" s="4">
        <v>1</v>
      </c>
      <c r="E3018" s="5">
        <v>18</v>
      </c>
      <c r="F3018" s="5">
        <v>2.56</v>
      </c>
      <c r="G3018" s="3" t="str">
        <f>VLOOKUP(Registros[[#This Row],[Cliente]],Cliente_Region[],2,FALSE)</f>
        <v>Peru</v>
      </c>
      <c r="H3018" s="3" t="str">
        <f>VLOOKUP(Registros[[#This Row],[Producto]],Producto[],2,FALSE)</f>
        <v>LAX</v>
      </c>
    </row>
    <row r="3019" spans="1:8" ht="20.100000000000001" customHeight="1" x14ac:dyDescent="0.25">
      <c r="A3019" s="3" t="s">
        <v>71</v>
      </c>
      <c r="B3019" s="3" t="s">
        <v>424</v>
      </c>
      <c r="C3019" s="3">
        <v>2022</v>
      </c>
      <c r="D3019" s="4">
        <v>2</v>
      </c>
      <c r="E3019" s="5">
        <v>52.5</v>
      </c>
      <c r="F3019" s="5">
        <v>6.5</v>
      </c>
      <c r="G3019" s="3" t="str">
        <f>VLOOKUP(Registros[[#This Row],[Cliente]],Cliente_Region[],2,FALSE)</f>
        <v>Peru</v>
      </c>
      <c r="H3019" s="3" t="str">
        <f>VLOOKUP(Registros[[#This Row],[Producto]],Producto[],2,FALSE)</f>
        <v>DONANY</v>
      </c>
    </row>
    <row r="3020" spans="1:8" ht="20.100000000000001" customHeight="1" x14ac:dyDescent="0.25">
      <c r="A3020" s="3" t="s">
        <v>71</v>
      </c>
      <c r="B3020" s="3" t="s">
        <v>424</v>
      </c>
      <c r="C3020" s="3">
        <v>2022</v>
      </c>
      <c r="D3020" s="4">
        <v>3</v>
      </c>
      <c r="E3020" s="5">
        <v>52.5</v>
      </c>
      <c r="F3020" s="5">
        <v>6.59</v>
      </c>
      <c r="G3020" s="3" t="str">
        <f>VLOOKUP(Registros[[#This Row],[Cliente]],Cliente_Region[],2,FALSE)</f>
        <v>Peru</v>
      </c>
      <c r="H3020" s="3" t="str">
        <f>VLOOKUP(Registros[[#This Row],[Producto]],Producto[],2,FALSE)</f>
        <v>DONANY</v>
      </c>
    </row>
    <row r="3021" spans="1:8" ht="20.100000000000001" customHeight="1" x14ac:dyDescent="0.25">
      <c r="A3021" s="3" t="s">
        <v>71</v>
      </c>
      <c r="B3021" s="3" t="s">
        <v>424</v>
      </c>
      <c r="C3021" s="3">
        <v>2022</v>
      </c>
      <c r="D3021" s="4">
        <v>6</v>
      </c>
      <c r="E3021" s="5">
        <v>17.5</v>
      </c>
      <c r="F3021" s="5">
        <v>2.2000000000000002</v>
      </c>
      <c r="G3021" s="3" t="str">
        <f>VLOOKUP(Registros[[#This Row],[Cliente]],Cliente_Region[],2,FALSE)</f>
        <v>Peru</v>
      </c>
      <c r="H3021" s="3" t="str">
        <f>VLOOKUP(Registros[[#This Row],[Producto]],Producto[],2,FALSE)</f>
        <v>DONANY</v>
      </c>
    </row>
    <row r="3022" spans="1:8" ht="20.100000000000001" customHeight="1" x14ac:dyDescent="0.25">
      <c r="A3022" s="3" t="s">
        <v>317</v>
      </c>
      <c r="B3022" s="3" t="s">
        <v>424</v>
      </c>
      <c r="C3022" s="3">
        <v>2022</v>
      </c>
      <c r="D3022" s="4">
        <v>1</v>
      </c>
      <c r="E3022" s="5">
        <v>46.5</v>
      </c>
      <c r="F3022" s="5">
        <v>13.35</v>
      </c>
      <c r="G3022" s="3" t="str">
        <f>VLOOKUP(Registros[[#This Row],[Cliente]],Cliente_Region[],2,FALSE)</f>
        <v>Peru</v>
      </c>
      <c r="H3022" s="3" t="str">
        <f>VLOOKUP(Registros[[#This Row],[Producto]],Producto[],2,FALSE)</f>
        <v>LAX</v>
      </c>
    </row>
    <row r="3023" spans="1:8" ht="20.100000000000001" customHeight="1" x14ac:dyDescent="0.25">
      <c r="A3023" s="3" t="s">
        <v>318</v>
      </c>
      <c r="B3023" s="3" t="s">
        <v>424</v>
      </c>
      <c r="C3023" s="3">
        <v>2022</v>
      </c>
      <c r="D3023" s="4">
        <v>2</v>
      </c>
      <c r="E3023" s="5">
        <v>100.26</v>
      </c>
      <c r="F3023" s="5">
        <v>23.06</v>
      </c>
      <c r="G3023" s="3" t="str">
        <f>VLOOKUP(Registros[[#This Row],[Cliente]],Cliente_Region[],2,FALSE)</f>
        <v>Peru</v>
      </c>
      <c r="H3023" s="3" t="str">
        <f>VLOOKUP(Registros[[#This Row],[Producto]],Producto[],2,FALSE)</f>
        <v>LAX</v>
      </c>
    </row>
    <row r="3024" spans="1:8" ht="20.100000000000001" customHeight="1" x14ac:dyDescent="0.25">
      <c r="A3024" s="3" t="s">
        <v>318</v>
      </c>
      <c r="B3024" s="3" t="s">
        <v>424</v>
      </c>
      <c r="C3024" s="3">
        <v>2022</v>
      </c>
      <c r="D3024" s="4">
        <v>3</v>
      </c>
      <c r="E3024" s="5">
        <v>43.5</v>
      </c>
      <c r="F3024" s="5">
        <v>10.41</v>
      </c>
      <c r="G3024" s="3" t="str">
        <f>VLOOKUP(Registros[[#This Row],[Cliente]],Cliente_Region[],2,FALSE)</f>
        <v>Peru</v>
      </c>
      <c r="H3024" s="3" t="str">
        <f>VLOOKUP(Registros[[#This Row],[Producto]],Producto[],2,FALSE)</f>
        <v>LAX</v>
      </c>
    </row>
    <row r="3025" spans="1:8" ht="20.100000000000001" customHeight="1" x14ac:dyDescent="0.25">
      <c r="A3025" s="3" t="s">
        <v>318</v>
      </c>
      <c r="B3025" s="3" t="s">
        <v>424</v>
      </c>
      <c r="C3025" s="3">
        <v>2022</v>
      </c>
      <c r="D3025" s="4">
        <v>4</v>
      </c>
      <c r="E3025" s="5">
        <v>72.5</v>
      </c>
      <c r="F3025" s="5">
        <v>17.3</v>
      </c>
      <c r="G3025" s="3" t="str">
        <f>VLOOKUP(Registros[[#This Row],[Cliente]],Cliente_Region[],2,FALSE)</f>
        <v>Peru</v>
      </c>
      <c r="H3025" s="3" t="str">
        <f>VLOOKUP(Registros[[#This Row],[Producto]],Producto[],2,FALSE)</f>
        <v>LAX</v>
      </c>
    </row>
    <row r="3026" spans="1:8" ht="20.100000000000001" customHeight="1" x14ac:dyDescent="0.25">
      <c r="A3026" s="3" t="s">
        <v>318</v>
      </c>
      <c r="B3026" s="3" t="s">
        <v>424</v>
      </c>
      <c r="C3026" s="3">
        <v>2022</v>
      </c>
      <c r="D3026" s="4">
        <v>5</v>
      </c>
      <c r="E3026" s="5">
        <v>101.5</v>
      </c>
      <c r="F3026" s="5">
        <v>24.15</v>
      </c>
      <c r="G3026" s="3" t="str">
        <f>VLOOKUP(Registros[[#This Row],[Cliente]],Cliente_Region[],2,FALSE)</f>
        <v>Peru</v>
      </c>
      <c r="H3026" s="3" t="str">
        <f>VLOOKUP(Registros[[#This Row],[Producto]],Producto[],2,FALSE)</f>
        <v>LAX</v>
      </c>
    </row>
    <row r="3027" spans="1:8" ht="20.100000000000001" customHeight="1" x14ac:dyDescent="0.25">
      <c r="A3027" s="3" t="s">
        <v>318</v>
      </c>
      <c r="B3027" s="3" t="s">
        <v>424</v>
      </c>
      <c r="C3027" s="3">
        <v>2022</v>
      </c>
      <c r="D3027" s="4">
        <v>6</v>
      </c>
      <c r="E3027" s="5">
        <v>15</v>
      </c>
      <c r="F3027" s="5">
        <v>3.93</v>
      </c>
      <c r="G3027" s="3" t="str">
        <f>VLOOKUP(Registros[[#This Row],[Cliente]],Cliente_Region[],2,FALSE)</f>
        <v>Peru</v>
      </c>
      <c r="H3027" s="3" t="str">
        <f>VLOOKUP(Registros[[#This Row],[Producto]],Producto[],2,FALSE)</f>
        <v>LAX</v>
      </c>
    </row>
    <row r="3028" spans="1:8" ht="20.100000000000001" customHeight="1" x14ac:dyDescent="0.25">
      <c r="A3028" s="3" t="s">
        <v>13</v>
      </c>
      <c r="B3028" s="3" t="s">
        <v>424</v>
      </c>
      <c r="C3028" s="3">
        <v>2022</v>
      </c>
      <c r="D3028" s="4">
        <v>1</v>
      </c>
      <c r="E3028" s="5">
        <v>6.6</v>
      </c>
      <c r="F3028" s="5">
        <v>1.89</v>
      </c>
      <c r="G3028" s="3" t="str">
        <f>VLOOKUP(Registros[[#This Row],[Cliente]],Cliente_Region[],2,FALSE)</f>
        <v>Peru</v>
      </c>
      <c r="H3028" s="3" t="str">
        <f>VLOOKUP(Registros[[#This Row],[Producto]],Producto[],2,FALSE)</f>
        <v>DAWNE</v>
      </c>
    </row>
    <row r="3029" spans="1:8" ht="20.100000000000001" customHeight="1" x14ac:dyDescent="0.25">
      <c r="A3029" s="3" t="s">
        <v>17</v>
      </c>
      <c r="B3029" s="3" t="s">
        <v>424</v>
      </c>
      <c r="C3029" s="3">
        <v>2022</v>
      </c>
      <c r="D3029" s="4">
        <v>1</v>
      </c>
      <c r="E3029" s="5">
        <v>23.37</v>
      </c>
      <c r="F3029" s="5">
        <v>6.84</v>
      </c>
      <c r="G3029" s="3" t="str">
        <f>VLOOKUP(Registros[[#This Row],[Cliente]],Cliente_Region[],2,FALSE)</f>
        <v>Peru</v>
      </c>
      <c r="H3029" s="3" t="str">
        <f>VLOOKUP(Registros[[#This Row],[Producto]],Producto[],2,FALSE)</f>
        <v>LAX</v>
      </c>
    </row>
    <row r="3030" spans="1:8" ht="20.100000000000001" customHeight="1" x14ac:dyDescent="0.25">
      <c r="A3030" s="3" t="s">
        <v>18</v>
      </c>
      <c r="B3030" s="3" t="s">
        <v>424</v>
      </c>
      <c r="C3030" s="3">
        <v>2022</v>
      </c>
      <c r="D3030" s="4">
        <v>6</v>
      </c>
      <c r="E3030" s="5">
        <v>5</v>
      </c>
      <c r="F3030" s="5">
        <v>2.08</v>
      </c>
      <c r="G3030" s="3" t="str">
        <f>VLOOKUP(Registros[[#This Row],[Cliente]],Cliente_Region[],2,FALSE)</f>
        <v>Peru</v>
      </c>
      <c r="H3030" s="3" t="str">
        <f>VLOOKUP(Registros[[#This Row],[Producto]],Producto[],2,FALSE)</f>
        <v>GAMBO</v>
      </c>
    </row>
    <row r="3031" spans="1:8" ht="20.100000000000001" customHeight="1" x14ac:dyDescent="0.25">
      <c r="A3031" s="3" t="s">
        <v>20</v>
      </c>
      <c r="B3031" s="3" t="s">
        <v>424</v>
      </c>
      <c r="C3031" s="3">
        <v>2022</v>
      </c>
      <c r="D3031" s="4">
        <v>1</v>
      </c>
      <c r="E3031" s="5">
        <v>3.03</v>
      </c>
      <c r="F3031" s="5">
        <v>1.42</v>
      </c>
      <c r="G3031" s="3" t="str">
        <f>VLOOKUP(Registros[[#This Row],[Cliente]],Cliente_Region[],2,FALSE)</f>
        <v>Peru</v>
      </c>
      <c r="H3031" s="3" t="str">
        <f>VLOOKUP(Registros[[#This Row],[Producto]],Producto[],2,FALSE)</f>
        <v>CHOTUS</v>
      </c>
    </row>
    <row r="3032" spans="1:8" ht="20.100000000000001" customHeight="1" x14ac:dyDescent="0.25">
      <c r="A3032" s="3" t="s">
        <v>21</v>
      </c>
      <c r="B3032" s="3" t="s">
        <v>424</v>
      </c>
      <c r="C3032" s="3">
        <v>2022</v>
      </c>
      <c r="D3032" s="4">
        <v>2</v>
      </c>
      <c r="E3032" s="5">
        <v>6.05</v>
      </c>
      <c r="F3032" s="5">
        <v>-11.7</v>
      </c>
      <c r="G3032" s="3" t="str">
        <f>VLOOKUP(Registros[[#This Row],[Cliente]],Cliente_Region[],2,FALSE)</f>
        <v>Peru</v>
      </c>
      <c r="H3032" s="3" t="str">
        <f>VLOOKUP(Registros[[#This Row],[Producto]],Producto[],2,FALSE)</f>
        <v>MOC</v>
      </c>
    </row>
    <row r="3033" spans="1:8" ht="20.100000000000001" customHeight="1" x14ac:dyDescent="0.25">
      <c r="A3033" s="3" t="s">
        <v>133</v>
      </c>
      <c r="B3033" s="3" t="s">
        <v>424</v>
      </c>
      <c r="C3033" s="3">
        <v>2022</v>
      </c>
      <c r="D3033" s="4">
        <v>1</v>
      </c>
      <c r="E3033" s="5">
        <v>1.85</v>
      </c>
      <c r="F3033" s="5">
        <v>1.08</v>
      </c>
      <c r="G3033" s="3" t="str">
        <f>VLOOKUP(Registros[[#This Row],[Cliente]],Cliente_Region[],2,FALSE)</f>
        <v>Peru</v>
      </c>
      <c r="H3033" s="3" t="str">
        <f>VLOOKUP(Registros[[#This Row],[Producto]],Producto[],2,FALSE)</f>
        <v>QUOKAR</v>
      </c>
    </row>
    <row r="3034" spans="1:8" ht="20.100000000000001" customHeight="1" x14ac:dyDescent="0.25">
      <c r="A3034" s="3" t="s">
        <v>26</v>
      </c>
      <c r="B3034" s="3" t="s">
        <v>424</v>
      </c>
      <c r="C3034" s="3">
        <v>2022</v>
      </c>
      <c r="D3034" s="4">
        <v>2</v>
      </c>
      <c r="E3034" s="5">
        <v>14.3</v>
      </c>
      <c r="F3034" s="5">
        <v>-15.58</v>
      </c>
      <c r="G3034" s="3" t="str">
        <f>VLOOKUP(Registros[[#This Row],[Cliente]],Cliente_Region[],2,FALSE)</f>
        <v>Peru</v>
      </c>
      <c r="H3034" s="3" t="str">
        <f>VLOOKUP(Registros[[#This Row],[Producto]],Producto[],2,FALSE)</f>
        <v>CHOTUS</v>
      </c>
    </row>
    <row r="3035" spans="1:8" ht="20.100000000000001" customHeight="1" x14ac:dyDescent="0.25">
      <c r="A3035" s="3" t="s">
        <v>220</v>
      </c>
      <c r="B3035" s="3" t="s">
        <v>424</v>
      </c>
      <c r="C3035" s="3">
        <v>2022</v>
      </c>
      <c r="D3035" s="4">
        <v>1</v>
      </c>
      <c r="E3035" s="5">
        <v>2.91</v>
      </c>
      <c r="F3035" s="5">
        <v>1.67</v>
      </c>
      <c r="G3035" s="3" t="str">
        <f>VLOOKUP(Registros[[#This Row],[Cliente]],Cliente_Region[],2,FALSE)</f>
        <v>Peru</v>
      </c>
      <c r="H3035" s="3" t="str">
        <f>VLOOKUP(Registros[[#This Row],[Producto]],Producto[],2,FALSE)</f>
        <v>GAMBO</v>
      </c>
    </row>
    <row r="3036" spans="1:8" ht="20.100000000000001" customHeight="1" x14ac:dyDescent="0.25">
      <c r="A3036" s="3" t="s">
        <v>28</v>
      </c>
      <c r="B3036" s="3" t="s">
        <v>424</v>
      </c>
      <c r="C3036" s="3">
        <v>2022</v>
      </c>
      <c r="D3036" s="4">
        <v>1</v>
      </c>
      <c r="E3036" s="5">
        <v>1.88</v>
      </c>
      <c r="F3036" s="5">
        <v>1.2</v>
      </c>
      <c r="G3036" s="3" t="str">
        <f>VLOOKUP(Registros[[#This Row],[Cliente]],Cliente_Region[],2,FALSE)</f>
        <v>Peru</v>
      </c>
      <c r="H3036" s="3" t="str">
        <f>VLOOKUP(Registros[[#This Row],[Producto]],Producto[],2,FALSE)</f>
        <v>SALF</v>
      </c>
    </row>
    <row r="3037" spans="1:8" ht="20.100000000000001" customHeight="1" x14ac:dyDescent="0.25">
      <c r="A3037" s="3" t="s">
        <v>30</v>
      </c>
      <c r="B3037" s="3" t="s">
        <v>424</v>
      </c>
      <c r="C3037" s="3">
        <v>2022</v>
      </c>
      <c r="D3037" s="4">
        <v>4</v>
      </c>
      <c r="E3037" s="5">
        <v>4</v>
      </c>
      <c r="F3037" s="5">
        <v>2.66</v>
      </c>
      <c r="G3037" s="3" t="str">
        <f>VLOOKUP(Registros[[#This Row],[Cliente]],Cliente_Region[],2,FALSE)</f>
        <v>Peru</v>
      </c>
      <c r="H3037" s="3" t="str">
        <f>VLOOKUP(Registros[[#This Row],[Producto]],Producto[],2,FALSE)</f>
        <v>CHOTUS</v>
      </c>
    </row>
    <row r="3038" spans="1:8" ht="20.100000000000001" customHeight="1" x14ac:dyDescent="0.25">
      <c r="A3038" s="3" t="s">
        <v>323</v>
      </c>
      <c r="B3038" s="3" t="s">
        <v>424</v>
      </c>
      <c r="C3038" s="3">
        <v>2022</v>
      </c>
      <c r="D3038" s="4">
        <v>2</v>
      </c>
      <c r="E3038" s="5">
        <v>6.2</v>
      </c>
      <c r="F3038" s="5">
        <v>1.1599999999999999</v>
      </c>
      <c r="G3038" s="3" t="str">
        <f>VLOOKUP(Registros[[#This Row],[Cliente]],Cliente_Region[],2,FALSE)</f>
        <v>Peru</v>
      </c>
      <c r="H3038" s="3" t="str">
        <f>VLOOKUP(Registros[[#This Row],[Producto]],Producto[],2,FALSE)</f>
        <v>GAMBO</v>
      </c>
    </row>
    <row r="3039" spans="1:8" ht="20.100000000000001" customHeight="1" x14ac:dyDescent="0.25">
      <c r="A3039" s="3" t="s">
        <v>324</v>
      </c>
      <c r="B3039" s="3" t="s">
        <v>424</v>
      </c>
      <c r="C3039" s="3">
        <v>2022</v>
      </c>
      <c r="D3039" s="4">
        <v>6</v>
      </c>
      <c r="E3039" s="5">
        <v>6.2</v>
      </c>
      <c r="F3039" s="5">
        <v>1.22</v>
      </c>
      <c r="G3039" s="3" t="str">
        <f>VLOOKUP(Registros[[#This Row],[Cliente]],Cliente_Region[],2,FALSE)</f>
        <v>Peru</v>
      </c>
      <c r="H3039" s="3" t="str">
        <f>VLOOKUP(Registros[[#This Row],[Producto]],Producto[],2,FALSE)</f>
        <v>DONANY</v>
      </c>
    </row>
    <row r="3040" spans="1:8" ht="20.100000000000001" customHeight="1" x14ac:dyDescent="0.25">
      <c r="A3040" s="3" t="s">
        <v>351</v>
      </c>
      <c r="B3040" s="3" t="s">
        <v>424</v>
      </c>
      <c r="C3040" s="3">
        <v>2022</v>
      </c>
      <c r="D3040" s="4">
        <v>6</v>
      </c>
      <c r="E3040" s="5">
        <v>19.600000000000001</v>
      </c>
      <c r="F3040" s="5">
        <v>-19.440000000000001</v>
      </c>
      <c r="G3040" s="3" t="str">
        <f>VLOOKUP(Registros[[#This Row],[Cliente]],Cliente_Region[],2,FALSE)</f>
        <v>Peru</v>
      </c>
      <c r="H3040" s="3" t="str">
        <f>VLOOKUP(Registros[[#This Row],[Producto]],Producto[],2,FALSE)</f>
        <v>GAMBO</v>
      </c>
    </row>
    <row r="3041" spans="1:8" ht="20.100000000000001" customHeight="1" x14ac:dyDescent="0.25">
      <c r="A3041" s="3" t="s">
        <v>42</v>
      </c>
      <c r="B3041" s="3" t="s">
        <v>424</v>
      </c>
      <c r="C3041" s="3">
        <v>2022</v>
      </c>
      <c r="D3041" s="4">
        <v>3</v>
      </c>
      <c r="E3041" s="5">
        <v>24.5</v>
      </c>
      <c r="F3041" s="5">
        <v>13.35</v>
      </c>
      <c r="G3041" s="3" t="str">
        <f>VLOOKUP(Registros[[#This Row],[Cliente]],Cliente_Region[],2,FALSE)</f>
        <v>Peru</v>
      </c>
      <c r="H3041" s="3" t="str">
        <f>VLOOKUP(Registros[[#This Row],[Producto]],Producto[],2,FALSE)</f>
        <v>GAMBO</v>
      </c>
    </row>
    <row r="3042" spans="1:8" ht="20.100000000000001" customHeight="1" x14ac:dyDescent="0.25">
      <c r="A3042" s="3" t="s">
        <v>43</v>
      </c>
      <c r="B3042" s="3" t="s">
        <v>424</v>
      </c>
      <c r="C3042" s="3">
        <v>2022</v>
      </c>
      <c r="D3042" s="4">
        <v>4</v>
      </c>
      <c r="E3042" s="5">
        <v>35</v>
      </c>
      <c r="F3042" s="5">
        <v>20.13</v>
      </c>
      <c r="G3042" s="3" t="str">
        <f>VLOOKUP(Registros[[#This Row],[Cliente]],Cliente_Region[],2,FALSE)</f>
        <v>Peru</v>
      </c>
      <c r="H3042" s="3" t="str">
        <f>VLOOKUP(Registros[[#This Row],[Producto]],Producto[],2,FALSE)</f>
        <v>MOC</v>
      </c>
    </row>
    <row r="3043" spans="1:8" ht="20.100000000000001" customHeight="1" x14ac:dyDescent="0.25">
      <c r="A3043" s="3" t="s">
        <v>426</v>
      </c>
      <c r="B3043" s="3" t="s">
        <v>424</v>
      </c>
      <c r="C3043" s="3">
        <v>2022</v>
      </c>
      <c r="D3043" s="4">
        <v>2</v>
      </c>
      <c r="E3043" s="5">
        <v>20</v>
      </c>
      <c r="F3043" s="5">
        <v>7.3</v>
      </c>
      <c r="G3043" s="3" t="str">
        <f>VLOOKUP(Registros[[#This Row],[Cliente]],Cliente_Region[],2,FALSE)</f>
        <v>Peru</v>
      </c>
      <c r="H3043" s="3" t="str">
        <f>VLOOKUP(Registros[[#This Row],[Producto]],Producto[],2,FALSE)</f>
        <v>QUOKAR</v>
      </c>
    </row>
    <row r="3044" spans="1:8" ht="20.100000000000001" customHeight="1" x14ac:dyDescent="0.25">
      <c r="A3044" s="3" t="s">
        <v>427</v>
      </c>
      <c r="B3044" s="3" t="s">
        <v>424</v>
      </c>
      <c r="C3044" s="3">
        <v>2022</v>
      </c>
      <c r="D3044" s="4">
        <v>3</v>
      </c>
      <c r="E3044" s="5">
        <v>20.5</v>
      </c>
      <c r="F3044" s="5">
        <v>7.8</v>
      </c>
      <c r="G3044" s="3" t="str">
        <f>VLOOKUP(Registros[[#This Row],[Cliente]],Cliente_Region[],2,FALSE)</f>
        <v>Peru</v>
      </c>
      <c r="H3044" s="3" t="str">
        <f>VLOOKUP(Registros[[#This Row],[Producto]],Producto[],2,FALSE)</f>
        <v>SALF</v>
      </c>
    </row>
    <row r="3045" spans="1:8" ht="20.100000000000001" customHeight="1" x14ac:dyDescent="0.25">
      <c r="A3045" s="3" t="s">
        <v>44</v>
      </c>
      <c r="B3045" s="3" t="s">
        <v>424</v>
      </c>
      <c r="C3045" s="3">
        <v>2022</v>
      </c>
      <c r="D3045" s="4">
        <v>5</v>
      </c>
      <c r="E3045" s="5">
        <v>120</v>
      </c>
      <c r="F3045" s="5">
        <v>57.5</v>
      </c>
      <c r="G3045" s="3" t="str">
        <f>VLOOKUP(Registros[[#This Row],[Cliente]],Cliente_Region[],2,FALSE)</f>
        <v>Peru</v>
      </c>
      <c r="H3045" s="3" t="str">
        <f>VLOOKUP(Registros[[#This Row],[Producto]],Producto[],2,FALSE)</f>
        <v>DAWNE</v>
      </c>
    </row>
    <row r="3046" spans="1:8" ht="20.100000000000001" customHeight="1" x14ac:dyDescent="0.25">
      <c r="A3046" s="3" t="s">
        <v>45</v>
      </c>
      <c r="B3046" s="3" t="s">
        <v>424</v>
      </c>
      <c r="C3046" s="3">
        <v>2022</v>
      </c>
      <c r="D3046" s="4">
        <v>6</v>
      </c>
      <c r="E3046" s="5">
        <v>166</v>
      </c>
      <c r="F3046" s="5">
        <v>-6.04</v>
      </c>
      <c r="G3046" s="3" t="str">
        <f>VLOOKUP(Registros[[#This Row],[Cliente]],Cliente_Region[],2,FALSE)</f>
        <v>Peru</v>
      </c>
      <c r="H3046" s="3" t="str">
        <f>VLOOKUP(Registros[[#This Row],[Producto]],Producto[],2,FALSE)</f>
        <v>DONANY</v>
      </c>
    </row>
    <row r="3047" spans="1:8" ht="20.100000000000001" customHeight="1" x14ac:dyDescent="0.25">
      <c r="A3047" s="3" t="s">
        <v>292</v>
      </c>
      <c r="B3047" s="3" t="s">
        <v>424</v>
      </c>
      <c r="C3047" s="3">
        <v>2022</v>
      </c>
      <c r="D3047" s="4">
        <v>1</v>
      </c>
      <c r="E3047" s="5">
        <v>7</v>
      </c>
      <c r="F3047" s="5">
        <v>1.58</v>
      </c>
      <c r="G3047" s="3" t="str">
        <f>VLOOKUP(Registros[[#This Row],[Cliente]],Cliente_Region[],2,FALSE)</f>
        <v>Peru</v>
      </c>
      <c r="H3047" s="3" t="str">
        <f>VLOOKUP(Registros[[#This Row],[Producto]],Producto[],2,FALSE)</f>
        <v>QUOKAR</v>
      </c>
    </row>
    <row r="3048" spans="1:8" ht="20.100000000000001" customHeight="1" x14ac:dyDescent="0.25">
      <c r="A3048" s="3" t="s">
        <v>428</v>
      </c>
      <c r="B3048" s="3" t="s">
        <v>424</v>
      </c>
      <c r="C3048" s="3">
        <v>2022</v>
      </c>
      <c r="D3048" s="4">
        <v>2</v>
      </c>
      <c r="E3048" s="5">
        <v>98</v>
      </c>
      <c r="F3048" s="5">
        <v>22.26</v>
      </c>
      <c r="G3048" s="3" t="str">
        <f>VLOOKUP(Registros[[#This Row],[Cliente]],Cliente_Region[],2,FALSE)</f>
        <v>Peru</v>
      </c>
      <c r="H3048" s="3" t="str">
        <f>VLOOKUP(Registros[[#This Row],[Producto]],Producto[],2,FALSE)</f>
        <v>MOC</v>
      </c>
    </row>
    <row r="3049" spans="1:8" ht="20.100000000000001" customHeight="1" x14ac:dyDescent="0.25">
      <c r="A3049" s="3" t="s">
        <v>428</v>
      </c>
      <c r="B3049" s="3" t="s">
        <v>424</v>
      </c>
      <c r="C3049" s="3">
        <v>2022</v>
      </c>
      <c r="D3049" s="4">
        <v>3</v>
      </c>
      <c r="E3049" s="5">
        <v>42</v>
      </c>
      <c r="F3049" s="5">
        <v>9.5399999999999991</v>
      </c>
      <c r="G3049" s="3" t="str">
        <f>VLOOKUP(Registros[[#This Row],[Cliente]],Cliente_Region[],2,FALSE)</f>
        <v>Peru</v>
      </c>
      <c r="H3049" s="3" t="str">
        <f>VLOOKUP(Registros[[#This Row],[Producto]],Producto[],2,FALSE)</f>
        <v>MOC</v>
      </c>
    </row>
    <row r="3050" spans="1:8" ht="20.100000000000001" customHeight="1" x14ac:dyDescent="0.25">
      <c r="A3050" s="3" t="s">
        <v>428</v>
      </c>
      <c r="B3050" s="3" t="s">
        <v>424</v>
      </c>
      <c r="C3050" s="3">
        <v>2022</v>
      </c>
      <c r="D3050" s="4">
        <v>5</v>
      </c>
      <c r="E3050" s="5">
        <v>14</v>
      </c>
      <c r="F3050" s="5">
        <v>3.18</v>
      </c>
      <c r="G3050" s="3" t="str">
        <f>VLOOKUP(Registros[[#This Row],[Cliente]],Cliente_Region[],2,FALSE)</f>
        <v>Peru</v>
      </c>
      <c r="H3050" s="3" t="str">
        <f>VLOOKUP(Registros[[#This Row],[Producto]],Producto[],2,FALSE)</f>
        <v>MOC</v>
      </c>
    </row>
    <row r="3051" spans="1:8" ht="20.100000000000001" customHeight="1" x14ac:dyDescent="0.25">
      <c r="A3051" s="3" t="s">
        <v>428</v>
      </c>
      <c r="B3051" s="3" t="s">
        <v>424</v>
      </c>
      <c r="C3051" s="3">
        <v>2022</v>
      </c>
      <c r="D3051" s="4">
        <v>6</v>
      </c>
      <c r="E3051" s="5">
        <v>28</v>
      </c>
      <c r="F3051" s="5">
        <v>6.36</v>
      </c>
      <c r="G3051" s="3" t="str">
        <f>VLOOKUP(Registros[[#This Row],[Cliente]],Cliente_Region[],2,FALSE)</f>
        <v>Peru</v>
      </c>
      <c r="H3051" s="3" t="str">
        <f>VLOOKUP(Registros[[#This Row],[Producto]],Producto[],2,FALSE)</f>
        <v>MOC</v>
      </c>
    </row>
    <row r="3052" spans="1:8" ht="20.100000000000001" customHeight="1" x14ac:dyDescent="0.25">
      <c r="A3052" s="3" t="s">
        <v>158</v>
      </c>
      <c r="B3052" s="3" t="s">
        <v>424</v>
      </c>
      <c r="C3052" s="3">
        <v>2022</v>
      </c>
      <c r="D3052" s="4">
        <v>1</v>
      </c>
      <c r="E3052" s="5">
        <v>35.1</v>
      </c>
      <c r="F3052" s="5">
        <v>25.38</v>
      </c>
      <c r="G3052" s="3" t="str">
        <f>VLOOKUP(Registros[[#This Row],[Cliente]],Cliente_Region[],2,FALSE)</f>
        <v>Peru</v>
      </c>
      <c r="H3052" s="3" t="str">
        <f>VLOOKUP(Registros[[#This Row],[Producto]],Producto[],2,FALSE)</f>
        <v>DONANY</v>
      </c>
    </row>
    <row r="3053" spans="1:8" ht="20.100000000000001" customHeight="1" x14ac:dyDescent="0.25">
      <c r="A3053" s="3" t="s">
        <v>411</v>
      </c>
      <c r="B3053" s="3" t="s">
        <v>424</v>
      </c>
      <c r="C3053" s="3">
        <v>2022</v>
      </c>
      <c r="D3053" s="4">
        <v>2</v>
      </c>
      <c r="E3053" s="5">
        <v>35.1</v>
      </c>
      <c r="F3053" s="5">
        <v>25.38</v>
      </c>
      <c r="G3053" s="3" t="str">
        <f>VLOOKUP(Registros[[#This Row],[Cliente]],Cliente_Region[],2,FALSE)</f>
        <v>Peru</v>
      </c>
      <c r="H3053" s="3" t="str">
        <f>VLOOKUP(Registros[[#This Row],[Producto]],Producto[],2,FALSE)</f>
        <v>LAX</v>
      </c>
    </row>
    <row r="3054" spans="1:8" ht="20.100000000000001" customHeight="1" x14ac:dyDescent="0.25">
      <c r="A3054" s="3" t="s">
        <v>243</v>
      </c>
      <c r="B3054" s="3" t="s">
        <v>424</v>
      </c>
      <c r="C3054" s="3">
        <v>2022</v>
      </c>
      <c r="D3054" s="4">
        <v>2</v>
      </c>
      <c r="E3054" s="5">
        <v>45.6</v>
      </c>
      <c r="F3054" s="5">
        <v>17.2</v>
      </c>
      <c r="G3054" s="3" t="str">
        <f>VLOOKUP(Registros[[#This Row],[Cliente]],Cliente_Region[],2,FALSE)</f>
        <v>Peru</v>
      </c>
      <c r="H3054" s="3" t="str">
        <f>VLOOKUP(Registros[[#This Row],[Producto]],Producto[],2,FALSE)</f>
        <v>CHOTUS</v>
      </c>
    </row>
    <row r="3055" spans="1:8" ht="20.100000000000001" customHeight="1" x14ac:dyDescent="0.25">
      <c r="A3055" s="3" t="s">
        <v>244</v>
      </c>
      <c r="B3055" s="3" t="s">
        <v>424</v>
      </c>
      <c r="C3055" s="3">
        <v>2022</v>
      </c>
      <c r="D3055" s="4">
        <v>1</v>
      </c>
      <c r="E3055" s="5">
        <v>64</v>
      </c>
      <c r="F3055" s="5">
        <v>38.72</v>
      </c>
      <c r="G3055" s="3" t="str">
        <f>VLOOKUP(Registros[[#This Row],[Cliente]],Cliente_Region[],2,FALSE)</f>
        <v>Peru</v>
      </c>
      <c r="H3055" s="3" t="str">
        <f>VLOOKUP(Registros[[#This Row],[Producto]],Producto[],2,FALSE)</f>
        <v>QUOKAR</v>
      </c>
    </row>
    <row r="3056" spans="1:8" ht="20.100000000000001" customHeight="1" x14ac:dyDescent="0.25">
      <c r="A3056" s="3" t="s">
        <v>164</v>
      </c>
      <c r="B3056" s="3" t="s">
        <v>424</v>
      </c>
      <c r="C3056" s="3">
        <v>2022</v>
      </c>
      <c r="D3056" s="4">
        <v>1</v>
      </c>
      <c r="E3056" s="5">
        <v>40</v>
      </c>
      <c r="F3056" s="5">
        <v>23.07</v>
      </c>
      <c r="G3056" s="3" t="str">
        <f>VLOOKUP(Registros[[#This Row],[Cliente]],Cliente_Region[],2,FALSE)</f>
        <v>Peru</v>
      </c>
      <c r="H3056" s="3" t="str">
        <f>VLOOKUP(Registros[[#This Row],[Producto]],Producto[],2,FALSE)</f>
        <v>MOC</v>
      </c>
    </row>
    <row r="3057" spans="1:8" ht="20.100000000000001" customHeight="1" x14ac:dyDescent="0.25">
      <c r="A3057" s="3" t="s">
        <v>168</v>
      </c>
      <c r="B3057" s="3" t="s">
        <v>424</v>
      </c>
      <c r="C3057" s="3">
        <v>2022</v>
      </c>
      <c r="D3057" s="4">
        <v>5</v>
      </c>
      <c r="E3057" s="5">
        <v>11</v>
      </c>
      <c r="F3057" s="5">
        <v>6.76</v>
      </c>
      <c r="G3057" s="3" t="str">
        <f>VLOOKUP(Registros[[#This Row],[Cliente]],Cliente_Region[],2,FALSE)</f>
        <v>Peru</v>
      </c>
      <c r="H3057" s="3" t="str">
        <f>VLOOKUP(Registros[[#This Row],[Producto]],Producto[],2,FALSE)</f>
        <v>DAWNE</v>
      </c>
    </row>
    <row r="3058" spans="1:8" ht="20.100000000000001" customHeight="1" x14ac:dyDescent="0.25">
      <c r="A3058" s="3" t="s">
        <v>429</v>
      </c>
      <c r="B3058" s="3" t="s">
        <v>424</v>
      </c>
      <c r="C3058" s="3">
        <v>2022</v>
      </c>
      <c r="D3058" s="4">
        <v>2</v>
      </c>
      <c r="E3058" s="5">
        <v>19.5</v>
      </c>
      <c r="F3058" s="5">
        <v>9.8699999999999992</v>
      </c>
      <c r="G3058" s="3" t="str">
        <f>VLOOKUP(Registros[[#This Row],[Cliente]],Cliente_Region[],2,FALSE)</f>
        <v>Peru</v>
      </c>
      <c r="H3058" s="3" t="str">
        <f>VLOOKUP(Registros[[#This Row],[Producto]],Producto[],2,FALSE)</f>
        <v>SALF</v>
      </c>
    </row>
    <row r="3059" spans="1:8" ht="20.100000000000001" customHeight="1" x14ac:dyDescent="0.25">
      <c r="A3059" s="3" t="s">
        <v>138</v>
      </c>
      <c r="B3059" s="3" t="s">
        <v>424</v>
      </c>
      <c r="C3059" s="3">
        <v>2022</v>
      </c>
      <c r="D3059" s="4">
        <v>2</v>
      </c>
      <c r="E3059" s="5">
        <v>65</v>
      </c>
      <c r="F3059" s="5">
        <v>42.61</v>
      </c>
      <c r="G3059" s="3" t="str">
        <f>VLOOKUP(Registros[[#This Row],[Cliente]],Cliente_Region[],2,FALSE)</f>
        <v>Peru</v>
      </c>
      <c r="H3059" s="3" t="str">
        <f>VLOOKUP(Registros[[#This Row],[Producto]],Producto[],2,FALSE)</f>
        <v>SALF</v>
      </c>
    </row>
    <row r="3060" spans="1:8" ht="20.100000000000001" customHeight="1" x14ac:dyDescent="0.25">
      <c r="A3060" s="3" t="s">
        <v>139</v>
      </c>
      <c r="B3060" s="3" t="s">
        <v>424</v>
      </c>
      <c r="C3060" s="3">
        <v>2022</v>
      </c>
      <c r="D3060" s="4">
        <v>3</v>
      </c>
      <c r="E3060" s="5">
        <v>60</v>
      </c>
      <c r="F3060" s="5">
        <v>38.04</v>
      </c>
      <c r="G3060" s="3" t="str">
        <f>VLOOKUP(Registros[[#This Row],[Cliente]],Cliente_Region[],2,FALSE)</f>
        <v>Peru</v>
      </c>
      <c r="H3060" s="3" t="str">
        <f>VLOOKUP(Registros[[#This Row],[Producto]],Producto[],2,FALSE)</f>
        <v>MOC</v>
      </c>
    </row>
    <row r="3061" spans="1:8" ht="20.100000000000001" customHeight="1" x14ac:dyDescent="0.25">
      <c r="A3061" s="3" t="s">
        <v>51</v>
      </c>
      <c r="B3061" s="3" t="s">
        <v>424</v>
      </c>
      <c r="C3061" s="3">
        <v>2022</v>
      </c>
      <c r="D3061" s="4">
        <v>3</v>
      </c>
      <c r="E3061" s="5">
        <v>38</v>
      </c>
      <c r="F3061" s="5">
        <v>26.15</v>
      </c>
      <c r="G3061" s="3" t="str">
        <f>VLOOKUP(Registros[[#This Row],[Cliente]],Cliente_Region[],2,FALSE)</f>
        <v>Peru</v>
      </c>
      <c r="H3061" s="3" t="str">
        <f>VLOOKUP(Registros[[#This Row],[Producto]],Producto[],2,FALSE)</f>
        <v>LAX</v>
      </c>
    </row>
    <row r="3062" spans="1:8" ht="20.100000000000001" customHeight="1" x14ac:dyDescent="0.25">
      <c r="A3062" s="3" t="s">
        <v>140</v>
      </c>
      <c r="B3062" s="3" t="s">
        <v>424</v>
      </c>
      <c r="C3062" s="3">
        <v>2022</v>
      </c>
      <c r="D3062" s="4">
        <v>2</v>
      </c>
      <c r="E3062" s="5">
        <v>40</v>
      </c>
      <c r="F3062" s="5">
        <v>24.21</v>
      </c>
      <c r="G3062" s="3" t="str">
        <f>VLOOKUP(Registros[[#This Row],[Cliente]],Cliente_Region[],2,FALSE)</f>
        <v>Peru</v>
      </c>
      <c r="H3062" s="3" t="str">
        <f>VLOOKUP(Registros[[#This Row],[Producto]],Producto[],2,FALSE)</f>
        <v>DAWNE</v>
      </c>
    </row>
    <row r="3063" spans="1:8" ht="20.100000000000001" customHeight="1" x14ac:dyDescent="0.25">
      <c r="A3063" s="3" t="s">
        <v>430</v>
      </c>
      <c r="B3063" s="3" t="s">
        <v>424</v>
      </c>
      <c r="C3063" s="3">
        <v>2022</v>
      </c>
      <c r="D3063" s="4">
        <v>3</v>
      </c>
      <c r="E3063" s="5">
        <v>6</v>
      </c>
      <c r="F3063" s="5">
        <v>4.9000000000000004</v>
      </c>
      <c r="G3063" s="3" t="str">
        <f>VLOOKUP(Registros[[#This Row],[Cliente]],Cliente_Region[],2,FALSE)</f>
        <v>Peru</v>
      </c>
      <c r="H3063" s="3" t="str">
        <f>VLOOKUP(Registros[[#This Row],[Producto]],Producto[],2,FALSE)</f>
        <v>DONANY</v>
      </c>
    </row>
    <row r="3064" spans="1:8" ht="20.100000000000001" customHeight="1" x14ac:dyDescent="0.25">
      <c r="A3064" s="3" t="s">
        <v>196</v>
      </c>
      <c r="B3064" s="3" t="s">
        <v>424</v>
      </c>
      <c r="C3064" s="3">
        <v>2022</v>
      </c>
      <c r="D3064" s="4">
        <v>1</v>
      </c>
      <c r="E3064" s="5">
        <v>67.3</v>
      </c>
      <c r="F3064" s="5">
        <v>18.52</v>
      </c>
      <c r="G3064" s="3" t="str">
        <f>VLOOKUP(Registros[[#This Row],[Cliente]],Cliente_Region[],2,FALSE)</f>
        <v>Peru</v>
      </c>
      <c r="H3064" s="3" t="str">
        <f>VLOOKUP(Registros[[#This Row],[Producto]],Producto[],2,FALSE)</f>
        <v>CHOTUS</v>
      </c>
    </row>
    <row r="3065" spans="1:8" ht="20.100000000000001" customHeight="1" x14ac:dyDescent="0.25">
      <c r="A3065" s="3" t="s">
        <v>197</v>
      </c>
      <c r="B3065" s="3" t="s">
        <v>424</v>
      </c>
      <c r="C3065" s="3">
        <v>2022</v>
      </c>
      <c r="D3065" s="4">
        <v>2</v>
      </c>
      <c r="E3065" s="5">
        <v>67.3</v>
      </c>
      <c r="F3065" s="5">
        <v>18.52</v>
      </c>
      <c r="G3065" s="3" t="str">
        <f>VLOOKUP(Registros[[#This Row],[Cliente]],Cliente_Region[],2,FALSE)</f>
        <v>Peru</v>
      </c>
      <c r="H3065" s="3" t="str">
        <f>VLOOKUP(Registros[[#This Row],[Producto]],Producto[],2,FALSE)</f>
        <v>LAX</v>
      </c>
    </row>
    <row r="3066" spans="1:8" ht="20.100000000000001" customHeight="1" x14ac:dyDescent="0.25">
      <c r="A3066" s="3" t="s">
        <v>112</v>
      </c>
      <c r="B3066" s="3" t="s">
        <v>424</v>
      </c>
      <c r="C3066" s="3">
        <v>2022</v>
      </c>
      <c r="D3066" s="4">
        <v>6</v>
      </c>
      <c r="E3066" s="5">
        <v>36</v>
      </c>
      <c r="F3066" s="5">
        <v>10.39</v>
      </c>
      <c r="G3066" s="3" t="str">
        <f>VLOOKUP(Registros[[#This Row],[Cliente]],Cliente_Region[],2,FALSE)</f>
        <v>Peru</v>
      </c>
      <c r="H3066" s="3" t="str">
        <f>VLOOKUP(Registros[[#This Row],[Producto]],Producto[],2,FALSE)</f>
        <v>DONANY</v>
      </c>
    </row>
    <row r="3067" spans="1:8" ht="20.100000000000001" customHeight="1" x14ac:dyDescent="0.25">
      <c r="A3067" s="3" t="s">
        <v>431</v>
      </c>
      <c r="B3067" s="3" t="s">
        <v>424</v>
      </c>
      <c r="C3067" s="3">
        <v>2022</v>
      </c>
      <c r="D3067" s="4">
        <v>3</v>
      </c>
      <c r="E3067" s="5">
        <v>130</v>
      </c>
      <c r="F3067" s="5">
        <v>73.540000000000006</v>
      </c>
      <c r="G3067" s="3" t="str">
        <f>VLOOKUP(Registros[[#This Row],[Cliente]],Cliente_Region[],2,FALSE)</f>
        <v>Peru</v>
      </c>
      <c r="H3067" s="3" t="str">
        <f>VLOOKUP(Registros[[#This Row],[Producto]],Producto[],2,FALSE)</f>
        <v>CHOTUS</v>
      </c>
    </row>
    <row r="3068" spans="1:8" ht="20.100000000000001" customHeight="1" x14ac:dyDescent="0.25">
      <c r="A3068" s="3" t="s">
        <v>357</v>
      </c>
      <c r="B3068" s="3" t="s">
        <v>424</v>
      </c>
      <c r="C3068" s="3">
        <v>2022</v>
      </c>
      <c r="D3068" s="4">
        <v>4</v>
      </c>
      <c r="E3068" s="5">
        <v>490</v>
      </c>
      <c r="F3068" s="5">
        <v>115.12</v>
      </c>
      <c r="G3068" s="3" t="str">
        <f>VLOOKUP(Registros[[#This Row],[Cliente]],Cliente_Region[],2,FALSE)</f>
        <v>Peru</v>
      </c>
      <c r="H3068" s="3" t="str">
        <f>VLOOKUP(Registros[[#This Row],[Producto]],Producto[],2,FALSE)</f>
        <v>CHOTUS</v>
      </c>
    </row>
    <row r="3069" spans="1:8" ht="20.100000000000001" customHeight="1" x14ac:dyDescent="0.25">
      <c r="A3069" s="3" t="s">
        <v>217</v>
      </c>
      <c r="B3069" s="3" t="s">
        <v>424</v>
      </c>
      <c r="C3069" s="3">
        <v>2022</v>
      </c>
      <c r="D3069" s="4">
        <v>2</v>
      </c>
      <c r="E3069" s="5">
        <v>93.75</v>
      </c>
      <c r="F3069" s="5">
        <v>65.709999999999994</v>
      </c>
      <c r="G3069" s="3" t="str">
        <f>VLOOKUP(Registros[[#This Row],[Cliente]],Cliente_Region[],2,FALSE)</f>
        <v>Peru</v>
      </c>
      <c r="H3069" s="3" t="str">
        <f>VLOOKUP(Registros[[#This Row],[Producto]],Producto[],2,FALSE)</f>
        <v>GAMBO</v>
      </c>
    </row>
    <row r="3070" spans="1:8" ht="20.100000000000001" customHeight="1" x14ac:dyDescent="0.25">
      <c r="A3070" s="3" t="s">
        <v>179</v>
      </c>
      <c r="B3070" s="3" t="s">
        <v>424</v>
      </c>
      <c r="C3070" s="3">
        <v>2022</v>
      </c>
      <c r="D3070" s="4">
        <v>1</v>
      </c>
      <c r="E3070" s="5">
        <v>40</v>
      </c>
      <c r="F3070" s="5">
        <v>21.33</v>
      </c>
      <c r="G3070" s="3" t="str">
        <f>VLOOKUP(Registros[[#This Row],[Cliente]],Cliente_Region[],2,FALSE)</f>
        <v>Peru</v>
      </c>
      <c r="H3070" s="3" t="str">
        <f>VLOOKUP(Registros[[#This Row],[Producto]],Producto[],2,FALSE)</f>
        <v>DAWNE</v>
      </c>
    </row>
    <row r="3071" spans="1:8" ht="20.100000000000001" customHeight="1" x14ac:dyDescent="0.25">
      <c r="A3071" s="3" t="s">
        <v>180</v>
      </c>
      <c r="B3071" s="3" t="s">
        <v>424</v>
      </c>
      <c r="C3071" s="3">
        <v>2022</v>
      </c>
      <c r="D3071" s="4">
        <v>2</v>
      </c>
      <c r="E3071" s="5">
        <v>280</v>
      </c>
      <c r="F3071" s="5">
        <v>149.32</v>
      </c>
      <c r="G3071" s="3" t="str">
        <f>VLOOKUP(Registros[[#This Row],[Cliente]],Cliente_Region[],2,FALSE)</f>
        <v>Peru</v>
      </c>
      <c r="H3071" s="3" t="str">
        <f>VLOOKUP(Registros[[#This Row],[Producto]],Producto[],2,FALSE)</f>
        <v>CHOTUS</v>
      </c>
    </row>
    <row r="3072" spans="1:8" ht="20.100000000000001" customHeight="1" x14ac:dyDescent="0.25">
      <c r="A3072" s="3" t="s">
        <v>180</v>
      </c>
      <c r="B3072" s="3" t="s">
        <v>424</v>
      </c>
      <c r="C3072" s="3">
        <v>2022</v>
      </c>
      <c r="D3072" s="4">
        <v>3</v>
      </c>
      <c r="E3072" s="5">
        <v>291</v>
      </c>
      <c r="F3072" s="5">
        <v>160.32</v>
      </c>
      <c r="G3072" s="3" t="str">
        <f>VLOOKUP(Registros[[#This Row],[Cliente]],Cliente_Region[],2,FALSE)</f>
        <v>Peru</v>
      </c>
      <c r="H3072" s="3" t="str">
        <f>VLOOKUP(Registros[[#This Row],[Producto]],Producto[],2,FALSE)</f>
        <v>CHOTUS</v>
      </c>
    </row>
    <row r="3073" spans="1:8" ht="20.100000000000001" customHeight="1" x14ac:dyDescent="0.25">
      <c r="A3073" s="3" t="s">
        <v>180</v>
      </c>
      <c r="B3073" s="3" t="s">
        <v>424</v>
      </c>
      <c r="C3073" s="3">
        <v>2022</v>
      </c>
      <c r="D3073" s="4">
        <v>4</v>
      </c>
      <c r="E3073" s="5">
        <v>80</v>
      </c>
      <c r="F3073" s="5">
        <v>42.66</v>
      </c>
      <c r="G3073" s="3" t="str">
        <f>VLOOKUP(Registros[[#This Row],[Cliente]],Cliente_Region[],2,FALSE)</f>
        <v>Peru</v>
      </c>
      <c r="H3073" s="3" t="str">
        <f>VLOOKUP(Registros[[#This Row],[Producto]],Producto[],2,FALSE)</f>
        <v>CHOTUS</v>
      </c>
    </row>
    <row r="3074" spans="1:8" ht="20.100000000000001" customHeight="1" x14ac:dyDescent="0.25">
      <c r="A3074" s="3" t="s">
        <v>180</v>
      </c>
      <c r="B3074" s="3" t="s">
        <v>424</v>
      </c>
      <c r="C3074" s="3">
        <v>2022</v>
      </c>
      <c r="D3074" s="4">
        <v>5</v>
      </c>
      <c r="E3074" s="5">
        <v>200</v>
      </c>
      <c r="F3074" s="5">
        <v>106.66</v>
      </c>
      <c r="G3074" s="3" t="str">
        <f>VLOOKUP(Registros[[#This Row],[Cliente]],Cliente_Region[],2,FALSE)</f>
        <v>Peru</v>
      </c>
      <c r="H3074" s="3" t="str">
        <f>VLOOKUP(Registros[[#This Row],[Producto]],Producto[],2,FALSE)</f>
        <v>CHOTUS</v>
      </c>
    </row>
    <row r="3075" spans="1:8" ht="20.100000000000001" customHeight="1" x14ac:dyDescent="0.25">
      <c r="A3075" s="3" t="s">
        <v>342</v>
      </c>
      <c r="B3075" s="3" t="s">
        <v>424</v>
      </c>
      <c r="C3075" s="3">
        <v>2022</v>
      </c>
      <c r="D3075" s="4">
        <v>3</v>
      </c>
      <c r="E3075" s="5">
        <v>75</v>
      </c>
      <c r="F3075" s="5">
        <v>47.88</v>
      </c>
      <c r="G3075" s="3" t="str">
        <f>VLOOKUP(Registros[[#This Row],[Cliente]],Cliente_Region[],2,FALSE)</f>
        <v>Peru</v>
      </c>
      <c r="H3075" s="3" t="str">
        <f>VLOOKUP(Registros[[#This Row],[Producto]],Producto[],2,FALSE)</f>
        <v>SALF</v>
      </c>
    </row>
    <row r="3076" spans="1:8" ht="20.100000000000001" customHeight="1" x14ac:dyDescent="0.25">
      <c r="A3076" s="3" t="s">
        <v>343</v>
      </c>
      <c r="B3076" s="3" t="s">
        <v>424</v>
      </c>
      <c r="C3076" s="3">
        <v>2022</v>
      </c>
      <c r="D3076" s="4">
        <v>4</v>
      </c>
      <c r="E3076" s="5">
        <v>25</v>
      </c>
      <c r="F3076" s="5">
        <v>15.96</v>
      </c>
      <c r="G3076" s="3" t="str">
        <f>VLOOKUP(Registros[[#This Row],[Cliente]],Cliente_Region[],2,FALSE)</f>
        <v>Peru</v>
      </c>
      <c r="H3076" s="3" t="str">
        <f>VLOOKUP(Registros[[#This Row],[Producto]],Producto[],2,FALSE)</f>
        <v>GAMBO</v>
      </c>
    </row>
    <row r="3077" spans="1:8" ht="20.100000000000001" customHeight="1" x14ac:dyDescent="0.25">
      <c r="A3077" s="3" t="s">
        <v>343</v>
      </c>
      <c r="B3077" s="3" t="s">
        <v>424</v>
      </c>
      <c r="C3077" s="3">
        <v>2022</v>
      </c>
      <c r="D3077" s="4">
        <v>5</v>
      </c>
      <c r="E3077" s="5">
        <v>25</v>
      </c>
      <c r="F3077" s="5">
        <v>15.96</v>
      </c>
      <c r="G3077" s="3" t="str">
        <f>VLOOKUP(Registros[[#This Row],[Cliente]],Cliente_Region[],2,FALSE)</f>
        <v>Peru</v>
      </c>
      <c r="H3077" s="3" t="str">
        <f>VLOOKUP(Registros[[#This Row],[Producto]],Producto[],2,FALSE)</f>
        <v>GAMBO</v>
      </c>
    </row>
    <row r="3078" spans="1:8" ht="20.100000000000001" customHeight="1" x14ac:dyDescent="0.25">
      <c r="A3078" s="3" t="s">
        <v>421</v>
      </c>
      <c r="B3078" s="3" t="s">
        <v>424</v>
      </c>
      <c r="C3078" s="3">
        <v>2022</v>
      </c>
      <c r="D3078" s="4">
        <v>1</v>
      </c>
      <c r="E3078" s="5">
        <v>50</v>
      </c>
      <c r="F3078" s="5">
        <v>18.48</v>
      </c>
      <c r="G3078" s="3" t="str">
        <f>VLOOKUP(Registros[[#This Row],[Cliente]],Cliente_Region[],2,FALSE)</f>
        <v>Peru</v>
      </c>
      <c r="H3078" s="3" t="str">
        <f>VLOOKUP(Registros[[#This Row],[Producto]],Producto[],2,FALSE)</f>
        <v>DAWNE</v>
      </c>
    </row>
    <row r="3079" spans="1:8" ht="20.100000000000001" customHeight="1" x14ac:dyDescent="0.25">
      <c r="A3079" s="3" t="s">
        <v>422</v>
      </c>
      <c r="B3079" s="3" t="s">
        <v>424</v>
      </c>
      <c r="C3079" s="3">
        <v>2022</v>
      </c>
      <c r="D3079" s="4">
        <v>2</v>
      </c>
      <c r="E3079" s="5">
        <v>39</v>
      </c>
      <c r="F3079" s="5">
        <v>7.48</v>
      </c>
      <c r="G3079" s="3" t="str">
        <f>VLOOKUP(Registros[[#This Row],[Cliente]],Cliente_Region[],2,FALSE)</f>
        <v>Peru</v>
      </c>
      <c r="H3079" s="3" t="str">
        <f>VLOOKUP(Registros[[#This Row],[Producto]],Producto[],2,FALSE)</f>
        <v>DAWNE</v>
      </c>
    </row>
    <row r="3080" spans="1:8" ht="20.100000000000001" customHeight="1" x14ac:dyDescent="0.25">
      <c r="A3080" s="3" t="s">
        <v>56</v>
      </c>
      <c r="B3080" s="3" t="s">
        <v>424</v>
      </c>
      <c r="C3080" s="3">
        <v>2022</v>
      </c>
      <c r="D3080" s="4">
        <v>5</v>
      </c>
      <c r="E3080" s="5">
        <v>30</v>
      </c>
      <c r="F3080" s="5">
        <v>-140.43</v>
      </c>
      <c r="G3080" s="3" t="str">
        <f>VLOOKUP(Registros[[#This Row],[Cliente]],Cliente_Region[],2,FALSE)</f>
        <v>Peru</v>
      </c>
      <c r="H3080" s="3" t="str">
        <f>VLOOKUP(Registros[[#This Row],[Producto]],Producto[],2,FALSE)</f>
        <v>SALF</v>
      </c>
    </row>
    <row r="3081" spans="1:8" ht="20.100000000000001" customHeight="1" x14ac:dyDescent="0.25">
      <c r="A3081" s="3" t="s">
        <v>74</v>
      </c>
      <c r="B3081" s="3" t="s">
        <v>424</v>
      </c>
      <c r="C3081" s="3">
        <v>2022</v>
      </c>
      <c r="D3081" s="4">
        <v>5</v>
      </c>
      <c r="E3081" s="5">
        <v>18</v>
      </c>
      <c r="F3081" s="5">
        <v>7.4</v>
      </c>
      <c r="G3081" s="3" t="str">
        <f>VLOOKUP(Registros[[#This Row],[Cliente]],Cliente_Region[],2,FALSE)</f>
        <v>Peru</v>
      </c>
      <c r="H3081" s="3" t="str">
        <f>VLOOKUP(Registros[[#This Row],[Producto]],Producto[],2,FALSE)</f>
        <v>CHOTUS</v>
      </c>
    </row>
    <row r="3082" spans="1:8" ht="20.100000000000001" customHeight="1" x14ac:dyDescent="0.25">
      <c r="A3082" s="3" t="s">
        <v>62</v>
      </c>
      <c r="B3082" s="3" t="s">
        <v>424</v>
      </c>
      <c r="C3082" s="3">
        <v>2022</v>
      </c>
      <c r="D3082" s="4">
        <v>1</v>
      </c>
      <c r="E3082" s="5">
        <v>44</v>
      </c>
      <c r="F3082" s="5">
        <v>16.899999999999999</v>
      </c>
      <c r="G3082" s="3" t="str">
        <f>VLOOKUP(Registros[[#This Row],[Cliente]],Cliente_Region[],2,FALSE)</f>
        <v>Peru</v>
      </c>
      <c r="H3082" s="3" t="str">
        <f>VLOOKUP(Registros[[#This Row],[Producto]],Producto[],2,FALSE)</f>
        <v>MOC</v>
      </c>
    </row>
    <row r="3083" spans="1:8" ht="20.100000000000001" customHeight="1" x14ac:dyDescent="0.25">
      <c r="A3083" s="3" t="s">
        <v>63</v>
      </c>
      <c r="B3083" s="3" t="s">
        <v>424</v>
      </c>
      <c r="C3083" s="3">
        <v>2022</v>
      </c>
      <c r="D3083" s="4">
        <v>2</v>
      </c>
      <c r="E3083" s="5">
        <v>60</v>
      </c>
      <c r="F3083" s="5">
        <v>19.440000000000001</v>
      </c>
      <c r="G3083" s="3" t="str">
        <f>VLOOKUP(Registros[[#This Row],[Cliente]],Cliente_Region[],2,FALSE)</f>
        <v>Peru</v>
      </c>
      <c r="H3083" s="3" t="str">
        <f>VLOOKUP(Registros[[#This Row],[Producto]],Producto[],2,FALSE)</f>
        <v>SALF</v>
      </c>
    </row>
    <row r="3084" spans="1:8" ht="20.100000000000001" customHeight="1" x14ac:dyDescent="0.25">
      <c r="A3084" s="3" t="s">
        <v>260</v>
      </c>
      <c r="B3084" s="3" t="s">
        <v>424</v>
      </c>
      <c r="C3084" s="3">
        <v>2022</v>
      </c>
      <c r="D3084" s="4">
        <v>2</v>
      </c>
      <c r="E3084" s="5">
        <v>70</v>
      </c>
      <c r="F3084" s="5">
        <v>58.25</v>
      </c>
      <c r="G3084" s="3" t="str">
        <f>VLOOKUP(Registros[[#This Row],[Cliente]],Cliente_Region[],2,FALSE)</f>
        <v>Peru</v>
      </c>
      <c r="H3084" s="3" t="str">
        <f>VLOOKUP(Registros[[#This Row],[Producto]],Producto[],2,FALSE)</f>
        <v>MOC</v>
      </c>
    </row>
    <row r="3085" spans="1:8" ht="20.100000000000001" customHeight="1" x14ac:dyDescent="0.25">
      <c r="A3085" s="3" t="s">
        <v>432</v>
      </c>
      <c r="B3085" s="3" t="s">
        <v>424</v>
      </c>
      <c r="C3085" s="3">
        <v>2022</v>
      </c>
      <c r="D3085" s="4">
        <v>1</v>
      </c>
      <c r="E3085" s="5">
        <v>80</v>
      </c>
      <c r="F3085" s="5">
        <v>48.35</v>
      </c>
      <c r="G3085" s="3" t="str">
        <f>VLOOKUP(Registros[[#This Row],[Cliente]],Cliente_Region[],2,FALSE)</f>
        <v>Peru</v>
      </c>
      <c r="H3085" s="3" t="str">
        <f>VLOOKUP(Registros[[#This Row],[Producto]],Producto[],2,FALSE)</f>
        <v>LAX</v>
      </c>
    </row>
    <row r="3086" spans="1:8" ht="20.100000000000001" customHeight="1" x14ac:dyDescent="0.25">
      <c r="A3086" s="3" t="s">
        <v>433</v>
      </c>
      <c r="B3086" s="3" t="s">
        <v>424</v>
      </c>
      <c r="C3086" s="3">
        <v>2022</v>
      </c>
      <c r="D3086" s="4">
        <v>3</v>
      </c>
      <c r="E3086" s="5">
        <v>120</v>
      </c>
      <c r="F3086" s="5">
        <v>72.52</v>
      </c>
      <c r="G3086" s="3" t="str">
        <f>VLOOKUP(Registros[[#This Row],[Cliente]],Cliente_Region[],2,FALSE)</f>
        <v>Peru</v>
      </c>
      <c r="H3086" s="3" t="str">
        <f>VLOOKUP(Registros[[#This Row],[Producto]],Producto[],2,FALSE)</f>
        <v>GAMBO</v>
      </c>
    </row>
    <row r="3087" spans="1:8" ht="20.100000000000001" customHeight="1" x14ac:dyDescent="0.25">
      <c r="A3087" s="3" t="s">
        <v>433</v>
      </c>
      <c r="B3087" s="3" t="s">
        <v>424</v>
      </c>
      <c r="C3087" s="3">
        <v>2022</v>
      </c>
      <c r="D3087" s="4">
        <v>6</v>
      </c>
      <c r="E3087" s="5">
        <v>210</v>
      </c>
      <c r="F3087" s="5">
        <v>57.52</v>
      </c>
      <c r="G3087" s="3" t="str">
        <f>VLOOKUP(Registros[[#This Row],[Cliente]],Cliente_Region[],2,FALSE)</f>
        <v>Peru</v>
      </c>
      <c r="H3087" s="3" t="str">
        <f>VLOOKUP(Registros[[#This Row],[Producto]],Producto[],2,FALSE)</f>
        <v>GAMBO</v>
      </c>
    </row>
    <row r="3088" spans="1:8" ht="20.100000000000001" customHeight="1" x14ac:dyDescent="0.25">
      <c r="A3088" s="3" t="s">
        <v>434</v>
      </c>
      <c r="B3088" s="3" t="s">
        <v>424</v>
      </c>
      <c r="C3088" s="3">
        <v>2022</v>
      </c>
      <c r="D3088" s="4">
        <v>3</v>
      </c>
      <c r="E3088" s="5">
        <v>10</v>
      </c>
      <c r="F3088" s="5">
        <v>7.08</v>
      </c>
      <c r="G3088" s="3" t="str">
        <f>VLOOKUP(Registros[[#This Row],[Cliente]],Cliente_Region[],2,FALSE)</f>
        <v>Peru</v>
      </c>
      <c r="H3088" s="3" t="str">
        <f>VLOOKUP(Registros[[#This Row],[Producto]],Producto[],2,FALSE)</f>
        <v>GAMBO</v>
      </c>
    </row>
    <row r="3089" spans="1:8" ht="20.100000000000001" customHeight="1" x14ac:dyDescent="0.25">
      <c r="A3089" s="3" t="s">
        <v>435</v>
      </c>
      <c r="B3089" s="3" t="s">
        <v>424</v>
      </c>
      <c r="C3089" s="3">
        <v>2022</v>
      </c>
      <c r="D3089" s="4">
        <v>5</v>
      </c>
      <c r="E3089" s="5">
        <v>10</v>
      </c>
      <c r="F3089" s="5">
        <v>7.08</v>
      </c>
      <c r="G3089" s="3" t="str">
        <f>VLOOKUP(Registros[[#This Row],[Cliente]],Cliente_Region[],2,FALSE)</f>
        <v>Peru</v>
      </c>
      <c r="H3089" s="3" t="str">
        <f>VLOOKUP(Registros[[#This Row],[Producto]],Producto[],2,FALSE)</f>
        <v>SALF</v>
      </c>
    </row>
    <row r="3090" spans="1:8" ht="20.100000000000001" customHeight="1" x14ac:dyDescent="0.25">
      <c r="A3090" s="3" t="s">
        <v>151</v>
      </c>
      <c r="B3090" s="3" t="s">
        <v>424</v>
      </c>
      <c r="C3090" s="3">
        <v>2022</v>
      </c>
      <c r="D3090" s="4">
        <v>5</v>
      </c>
      <c r="E3090" s="5">
        <v>44</v>
      </c>
      <c r="F3090" s="5">
        <v>18.38</v>
      </c>
      <c r="G3090" s="3" t="str">
        <f>VLOOKUP(Registros[[#This Row],[Cliente]],Cliente_Region[],2,FALSE)</f>
        <v>Peru</v>
      </c>
      <c r="H3090" s="3" t="str">
        <f>VLOOKUP(Registros[[#This Row],[Producto]],Producto[],2,FALSE)</f>
        <v>MOC</v>
      </c>
    </row>
    <row r="3091" spans="1:8" ht="20.100000000000001" customHeight="1" x14ac:dyDescent="0.25">
      <c r="A3091" s="3" t="s">
        <v>151</v>
      </c>
      <c r="B3091" s="3" t="s">
        <v>436</v>
      </c>
      <c r="C3091" s="3">
        <v>2022</v>
      </c>
      <c r="D3091" s="4">
        <v>1</v>
      </c>
      <c r="E3091" s="5">
        <v>115.5</v>
      </c>
      <c r="F3091" s="5">
        <v>52.11</v>
      </c>
      <c r="G3091" s="3" t="str">
        <f>VLOOKUP(Registros[[#This Row],[Cliente]],Cliente_Region[],2,FALSE)</f>
        <v>Canada</v>
      </c>
      <c r="H3091" s="3" t="str">
        <f>VLOOKUP(Registros[[#This Row],[Producto]],Producto[],2,FALSE)</f>
        <v>MOC</v>
      </c>
    </row>
    <row r="3092" spans="1:8" ht="20.100000000000001" customHeight="1" x14ac:dyDescent="0.25">
      <c r="A3092" s="3" t="s">
        <v>5</v>
      </c>
      <c r="B3092" s="3" t="s">
        <v>436</v>
      </c>
      <c r="C3092" s="3">
        <v>2022</v>
      </c>
      <c r="D3092" s="4">
        <v>3</v>
      </c>
      <c r="E3092" s="5">
        <v>312</v>
      </c>
      <c r="F3092" s="5">
        <v>107.04</v>
      </c>
      <c r="G3092" s="3" t="str">
        <f>VLOOKUP(Registros[[#This Row],[Cliente]],Cliente_Region[],2,FALSE)</f>
        <v>Canada</v>
      </c>
      <c r="H3092" s="3" t="str">
        <f>VLOOKUP(Registros[[#This Row],[Producto]],Producto[],2,FALSE)</f>
        <v>CHOTUS</v>
      </c>
    </row>
  </sheetData>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45"/>
  <sheetViews>
    <sheetView zoomScale="130" zoomScaleNormal="130" workbookViewId="0">
      <selection activeCell="D1" sqref="D1:E345"/>
    </sheetView>
  </sheetViews>
  <sheetFormatPr defaultColWidth="9" defaultRowHeight="12.75" x14ac:dyDescent="0.25"/>
  <cols>
    <col min="1" max="1" width="29.5" style="3" customWidth="1"/>
    <col min="2" max="2" width="8.625" style="3" customWidth="1"/>
    <col min="3" max="3" width="9" style="3"/>
    <col min="4" max="4" width="33.75" style="3" customWidth="1"/>
    <col min="5" max="5" width="16" style="3" customWidth="1"/>
    <col min="6" max="16384" width="9" style="3"/>
  </cols>
  <sheetData>
    <row r="1" spans="1:5" x14ac:dyDescent="0.25">
      <c r="A1" s="6" t="s">
        <v>452</v>
      </c>
      <c r="B1" s="6" t="s">
        <v>437</v>
      </c>
      <c r="D1" s="6" t="s">
        <v>453</v>
      </c>
      <c r="E1" s="6" t="s">
        <v>454</v>
      </c>
    </row>
    <row r="2" spans="1:5" x14ac:dyDescent="0.25">
      <c r="A2" s="3" t="s">
        <v>379</v>
      </c>
      <c r="B2" s="3" t="s">
        <v>438</v>
      </c>
      <c r="D2" s="3" t="s">
        <v>408</v>
      </c>
      <c r="E2" s="3" t="s">
        <v>439</v>
      </c>
    </row>
    <row r="3" spans="1:5" x14ac:dyDescent="0.25">
      <c r="A3" s="3" t="s">
        <v>389</v>
      </c>
      <c r="B3" s="3" t="s">
        <v>440</v>
      </c>
      <c r="D3" s="3" t="s">
        <v>167</v>
      </c>
      <c r="E3" s="3" t="s">
        <v>449</v>
      </c>
    </row>
    <row r="4" spans="1:5" x14ac:dyDescent="0.25">
      <c r="A4" s="3" t="s">
        <v>314</v>
      </c>
      <c r="B4" s="3" t="s">
        <v>440</v>
      </c>
      <c r="D4" s="3" t="s">
        <v>79</v>
      </c>
      <c r="E4" s="3" t="s">
        <v>450</v>
      </c>
    </row>
    <row r="5" spans="1:5" x14ac:dyDescent="0.25">
      <c r="A5" s="3" t="s">
        <v>236</v>
      </c>
      <c r="B5" s="3" t="s">
        <v>440</v>
      </c>
      <c r="D5" s="3" t="s">
        <v>209</v>
      </c>
      <c r="E5" s="3" t="s">
        <v>449</v>
      </c>
    </row>
    <row r="6" spans="1:5" x14ac:dyDescent="0.25">
      <c r="A6" s="3" t="s">
        <v>216</v>
      </c>
      <c r="B6" s="3" t="s">
        <v>441</v>
      </c>
      <c r="D6" s="3" t="s">
        <v>324</v>
      </c>
      <c r="E6" s="3" t="s">
        <v>439</v>
      </c>
    </row>
    <row r="7" spans="1:5" x14ac:dyDescent="0.25">
      <c r="A7" s="3" t="s">
        <v>326</v>
      </c>
      <c r="B7" s="3" t="s">
        <v>442</v>
      </c>
      <c r="D7" s="3" t="s">
        <v>185</v>
      </c>
      <c r="E7" s="3" t="s">
        <v>445</v>
      </c>
    </row>
    <row r="8" spans="1:5" x14ac:dyDescent="0.25">
      <c r="A8" s="3" t="s">
        <v>382</v>
      </c>
      <c r="B8" s="3" t="s">
        <v>438</v>
      </c>
      <c r="D8" s="3" t="s">
        <v>43</v>
      </c>
      <c r="E8" s="3" t="s">
        <v>446</v>
      </c>
    </row>
    <row r="9" spans="1:5" x14ac:dyDescent="0.25">
      <c r="A9" s="3" t="s">
        <v>319</v>
      </c>
      <c r="B9" s="3" t="s">
        <v>440</v>
      </c>
      <c r="D9" s="3" t="s">
        <v>163</v>
      </c>
      <c r="E9" s="3" t="s">
        <v>446</v>
      </c>
    </row>
    <row r="10" spans="1:5" x14ac:dyDescent="0.25">
      <c r="A10" s="3" t="s">
        <v>76</v>
      </c>
      <c r="B10" s="3" t="s">
        <v>441</v>
      </c>
      <c r="D10" s="3" t="s">
        <v>434</v>
      </c>
      <c r="E10" s="3" t="s">
        <v>451</v>
      </c>
    </row>
    <row r="11" spans="1:5" x14ac:dyDescent="0.25">
      <c r="A11" s="3" t="s">
        <v>97</v>
      </c>
      <c r="B11" s="3" t="s">
        <v>438</v>
      </c>
      <c r="D11" s="3" t="s">
        <v>429</v>
      </c>
      <c r="E11" s="3" t="s">
        <v>450</v>
      </c>
    </row>
    <row r="12" spans="1:5" x14ac:dyDescent="0.25">
      <c r="A12" s="3" t="s">
        <v>406</v>
      </c>
      <c r="B12" s="3" t="s">
        <v>443</v>
      </c>
      <c r="D12" s="3" t="s">
        <v>308</v>
      </c>
      <c r="E12" s="3" t="s">
        <v>450</v>
      </c>
    </row>
    <row r="13" spans="1:5" x14ac:dyDescent="0.25">
      <c r="A13" s="3" t="s">
        <v>85</v>
      </c>
      <c r="B13" s="3" t="s">
        <v>438</v>
      </c>
      <c r="D13" s="3" t="s">
        <v>205</v>
      </c>
      <c r="E13" s="3" t="s">
        <v>439</v>
      </c>
    </row>
    <row r="14" spans="1:5" x14ac:dyDescent="0.25">
      <c r="A14" s="3" t="s">
        <v>404</v>
      </c>
      <c r="B14" s="3" t="s">
        <v>441</v>
      </c>
      <c r="D14" s="3" t="s">
        <v>363</v>
      </c>
      <c r="E14" s="3" t="s">
        <v>451</v>
      </c>
    </row>
    <row r="15" spans="1:5" x14ac:dyDescent="0.25">
      <c r="A15" s="3" t="s">
        <v>332</v>
      </c>
      <c r="B15" s="3" t="s">
        <v>444</v>
      </c>
      <c r="D15" s="3" t="s">
        <v>244</v>
      </c>
      <c r="E15" s="3" t="s">
        <v>449</v>
      </c>
    </row>
    <row r="16" spans="1:5" x14ac:dyDescent="0.25">
      <c r="A16" s="3" t="s">
        <v>239</v>
      </c>
      <c r="B16" s="3" t="s">
        <v>442</v>
      </c>
      <c r="D16" s="3" t="s">
        <v>301</v>
      </c>
      <c r="E16" s="3" t="s">
        <v>445</v>
      </c>
    </row>
    <row r="17" spans="1:5" x14ac:dyDescent="0.25">
      <c r="A17" s="3" t="s">
        <v>193</v>
      </c>
      <c r="B17" s="3" t="s">
        <v>440</v>
      </c>
      <c r="D17" s="3" t="s">
        <v>220</v>
      </c>
      <c r="E17" s="3" t="s">
        <v>451</v>
      </c>
    </row>
    <row r="18" spans="1:5" x14ac:dyDescent="0.25">
      <c r="A18" s="3" t="s">
        <v>303</v>
      </c>
      <c r="B18" s="3" t="s">
        <v>438</v>
      </c>
      <c r="D18" s="3" t="s">
        <v>318</v>
      </c>
      <c r="E18" s="3" t="s">
        <v>447</v>
      </c>
    </row>
    <row r="19" spans="1:5" x14ac:dyDescent="0.25">
      <c r="A19" s="3" t="s">
        <v>401</v>
      </c>
      <c r="B19" s="3" t="s">
        <v>438</v>
      </c>
      <c r="D19" s="3" t="s">
        <v>321</v>
      </c>
      <c r="E19" s="3" t="s">
        <v>451</v>
      </c>
    </row>
    <row r="20" spans="1:5" x14ac:dyDescent="0.25">
      <c r="A20" s="3" t="s">
        <v>273</v>
      </c>
      <c r="B20" s="3" t="s">
        <v>440</v>
      </c>
      <c r="D20" s="3" t="s">
        <v>171</v>
      </c>
      <c r="E20" s="3" t="s">
        <v>446</v>
      </c>
    </row>
    <row r="21" spans="1:5" x14ac:dyDescent="0.25">
      <c r="A21" s="3" t="s">
        <v>272</v>
      </c>
      <c r="B21" s="3" t="s">
        <v>438</v>
      </c>
      <c r="D21" s="3" t="s">
        <v>426</v>
      </c>
      <c r="E21" s="3" t="s">
        <v>449</v>
      </c>
    </row>
    <row r="22" spans="1:5" x14ac:dyDescent="0.25">
      <c r="A22" s="3" t="s">
        <v>348</v>
      </c>
      <c r="B22" s="3" t="s">
        <v>444</v>
      </c>
      <c r="D22" s="3" t="s">
        <v>210</v>
      </c>
      <c r="E22" s="3" t="s">
        <v>447</v>
      </c>
    </row>
    <row r="23" spans="1:5" x14ac:dyDescent="0.25">
      <c r="A23" s="3" t="s">
        <v>132</v>
      </c>
      <c r="B23" s="3" t="s">
        <v>442</v>
      </c>
      <c r="D23" s="3" t="s">
        <v>333</v>
      </c>
      <c r="E23" s="3" t="s">
        <v>451</v>
      </c>
    </row>
    <row r="24" spans="1:5" x14ac:dyDescent="0.25">
      <c r="A24" s="3" t="s">
        <v>278</v>
      </c>
      <c r="B24" s="3" t="s">
        <v>438</v>
      </c>
      <c r="D24" s="3" t="s">
        <v>150</v>
      </c>
      <c r="E24" s="3" t="s">
        <v>446</v>
      </c>
    </row>
    <row r="25" spans="1:5" x14ac:dyDescent="0.25">
      <c r="A25" s="3" t="s">
        <v>67</v>
      </c>
      <c r="B25" s="3" t="s">
        <v>444</v>
      </c>
      <c r="D25" s="3" t="s">
        <v>57</v>
      </c>
      <c r="E25" s="3" t="s">
        <v>450</v>
      </c>
    </row>
    <row r="26" spans="1:5" x14ac:dyDescent="0.25">
      <c r="A26" s="3" t="s">
        <v>203</v>
      </c>
      <c r="B26" s="3" t="s">
        <v>441</v>
      </c>
      <c r="D26" s="3" t="s">
        <v>144</v>
      </c>
      <c r="E26" s="3" t="s">
        <v>448</v>
      </c>
    </row>
    <row r="27" spans="1:5" x14ac:dyDescent="0.25">
      <c r="A27" s="3" t="s">
        <v>396</v>
      </c>
      <c r="B27" s="3" t="s">
        <v>440</v>
      </c>
      <c r="D27" s="3" t="s">
        <v>383</v>
      </c>
      <c r="E27" s="3" t="s">
        <v>446</v>
      </c>
    </row>
    <row r="28" spans="1:5" x14ac:dyDescent="0.25">
      <c r="A28" s="3" t="s">
        <v>381</v>
      </c>
      <c r="B28" s="3" t="s">
        <v>438</v>
      </c>
      <c r="D28" s="3" t="s">
        <v>305</v>
      </c>
      <c r="E28" s="3" t="s">
        <v>448</v>
      </c>
    </row>
    <row r="29" spans="1:5" x14ac:dyDescent="0.25">
      <c r="A29" s="3" t="s">
        <v>413</v>
      </c>
      <c r="B29" s="3" t="s">
        <v>438</v>
      </c>
      <c r="D29" s="3" t="s">
        <v>200</v>
      </c>
      <c r="E29" s="3" t="s">
        <v>449</v>
      </c>
    </row>
    <row r="30" spans="1:5" x14ac:dyDescent="0.25">
      <c r="A30" s="3" t="s">
        <v>229</v>
      </c>
      <c r="B30" s="3" t="s">
        <v>438</v>
      </c>
      <c r="D30" s="3" t="s">
        <v>45</v>
      </c>
      <c r="E30" s="3" t="s">
        <v>439</v>
      </c>
    </row>
    <row r="31" spans="1:5" x14ac:dyDescent="0.25">
      <c r="A31" s="3" t="s">
        <v>202</v>
      </c>
      <c r="B31" s="3" t="s">
        <v>441</v>
      </c>
      <c r="D31" s="3" t="s">
        <v>100</v>
      </c>
      <c r="E31" s="3" t="s">
        <v>451</v>
      </c>
    </row>
    <row r="32" spans="1:5" x14ac:dyDescent="0.25">
      <c r="A32" s="3" t="s">
        <v>417</v>
      </c>
      <c r="B32" s="3" t="s">
        <v>441</v>
      </c>
      <c r="D32" s="3" t="s">
        <v>257</v>
      </c>
      <c r="E32" s="3" t="s">
        <v>439</v>
      </c>
    </row>
    <row r="33" spans="1:5" x14ac:dyDescent="0.25">
      <c r="A33" s="3" t="s">
        <v>329</v>
      </c>
      <c r="B33" s="3" t="s">
        <v>441</v>
      </c>
      <c r="D33" s="3" t="s">
        <v>107</v>
      </c>
      <c r="E33" s="3" t="s">
        <v>447</v>
      </c>
    </row>
    <row r="34" spans="1:5" x14ac:dyDescent="0.25">
      <c r="A34" s="3" t="s">
        <v>377</v>
      </c>
      <c r="B34" s="3" t="s">
        <v>440</v>
      </c>
      <c r="D34" s="3" t="s">
        <v>86</v>
      </c>
      <c r="E34" s="3" t="s">
        <v>451</v>
      </c>
    </row>
    <row r="35" spans="1:5" x14ac:dyDescent="0.25">
      <c r="A35" s="3" t="s">
        <v>94</v>
      </c>
      <c r="B35" s="3" t="s">
        <v>444</v>
      </c>
      <c r="D35" s="3" t="s">
        <v>136</v>
      </c>
      <c r="E35" s="3" t="s">
        <v>445</v>
      </c>
    </row>
    <row r="36" spans="1:5" x14ac:dyDescent="0.25">
      <c r="A36" s="3" t="s">
        <v>355</v>
      </c>
      <c r="B36" s="3" t="s">
        <v>443</v>
      </c>
      <c r="D36" s="3" t="s">
        <v>29</v>
      </c>
      <c r="E36" s="3" t="s">
        <v>447</v>
      </c>
    </row>
    <row r="37" spans="1:5" x14ac:dyDescent="0.25">
      <c r="A37" s="3" t="s">
        <v>346</v>
      </c>
      <c r="B37" s="3" t="s">
        <v>441</v>
      </c>
      <c r="D37" s="3" t="s">
        <v>7</v>
      </c>
      <c r="E37" s="3" t="s">
        <v>439</v>
      </c>
    </row>
    <row r="38" spans="1:5" x14ac:dyDescent="0.25">
      <c r="A38" s="3" t="s">
        <v>201</v>
      </c>
      <c r="B38" s="3" t="s">
        <v>444</v>
      </c>
      <c r="D38" s="3" t="s">
        <v>40</v>
      </c>
      <c r="E38" s="3" t="s">
        <v>448</v>
      </c>
    </row>
    <row r="39" spans="1:5" x14ac:dyDescent="0.25">
      <c r="A39" s="3" t="s">
        <v>325</v>
      </c>
      <c r="B39" s="3" t="s">
        <v>442</v>
      </c>
      <c r="D39" s="3" t="s">
        <v>370</v>
      </c>
      <c r="E39" s="3" t="s">
        <v>449</v>
      </c>
    </row>
    <row r="40" spans="1:5" x14ac:dyDescent="0.25">
      <c r="A40" s="3" t="s">
        <v>398</v>
      </c>
      <c r="B40" s="3" t="s">
        <v>442</v>
      </c>
      <c r="D40" s="3" t="s">
        <v>213</v>
      </c>
      <c r="E40" s="3" t="s">
        <v>439</v>
      </c>
    </row>
    <row r="41" spans="1:5" x14ac:dyDescent="0.25">
      <c r="A41" s="3" t="s">
        <v>250</v>
      </c>
      <c r="B41" s="3" t="s">
        <v>441</v>
      </c>
      <c r="D41" s="3" t="s">
        <v>222</v>
      </c>
      <c r="E41" s="3" t="s">
        <v>446</v>
      </c>
    </row>
    <row r="42" spans="1:5" x14ac:dyDescent="0.25">
      <c r="A42" s="3" t="s">
        <v>199</v>
      </c>
      <c r="B42" s="3" t="s">
        <v>443</v>
      </c>
      <c r="D42" s="3" t="s">
        <v>340</v>
      </c>
      <c r="E42" s="3" t="s">
        <v>445</v>
      </c>
    </row>
    <row r="43" spans="1:5" x14ac:dyDescent="0.25">
      <c r="A43" s="3" t="s">
        <v>219</v>
      </c>
      <c r="B43" s="3" t="s">
        <v>443</v>
      </c>
      <c r="D43" s="3" t="s">
        <v>293</v>
      </c>
      <c r="E43" s="3" t="s">
        <v>449</v>
      </c>
    </row>
    <row r="44" spans="1:5" x14ac:dyDescent="0.25">
      <c r="A44" s="3" t="s">
        <v>403</v>
      </c>
      <c r="B44" s="3" t="s">
        <v>441</v>
      </c>
      <c r="D44" s="3" t="s">
        <v>111</v>
      </c>
      <c r="E44" s="3" t="s">
        <v>449</v>
      </c>
    </row>
    <row r="45" spans="1:5" x14ac:dyDescent="0.25">
      <c r="A45" s="3" t="s">
        <v>391</v>
      </c>
      <c r="B45" s="3" t="s">
        <v>441</v>
      </c>
      <c r="D45" s="3" t="s">
        <v>42</v>
      </c>
      <c r="E45" s="3" t="s">
        <v>451</v>
      </c>
    </row>
    <row r="46" spans="1:5" x14ac:dyDescent="0.25">
      <c r="A46" s="3" t="s">
        <v>388</v>
      </c>
      <c r="B46" s="3" t="s">
        <v>441</v>
      </c>
      <c r="D46" s="3" t="s">
        <v>361</v>
      </c>
      <c r="E46" s="3" t="s">
        <v>445</v>
      </c>
    </row>
    <row r="47" spans="1:5" x14ac:dyDescent="0.25">
      <c r="A47" s="3" t="s">
        <v>283</v>
      </c>
      <c r="B47" s="3" t="s">
        <v>444</v>
      </c>
      <c r="D47" s="3" t="s">
        <v>93</v>
      </c>
      <c r="E47" s="3" t="s">
        <v>451</v>
      </c>
    </row>
    <row r="48" spans="1:5" x14ac:dyDescent="0.25">
      <c r="A48" s="3" t="s">
        <v>374</v>
      </c>
      <c r="B48" s="3" t="s">
        <v>442</v>
      </c>
      <c r="D48" s="3" t="s">
        <v>327</v>
      </c>
      <c r="E48" s="3" t="s">
        <v>445</v>
      </c>
    </row>
    <row r="49" spans="1:5" x14ac:dyDescent="0.25">
      <c r="A49" s="3" t="s">
        <v>368</v>
      </c>
      <c r="B49" s="3" t="s">
        <v>438</v>
      </c>
      <c r="D49" s="3" t="s">
        <v>243</v>
      </c>
      <c r="E49" s="3" t="s">
        <v>445</v>
      </c>
    </row>
    <row r="50" spans="1:5" x14ac:dyDescent="0.25">
      <c r="A50" s="3" t="s">
        <v>373</v>
      </c>
      <c r="B50" s="3" t="s">
        <v>442</v>
      </c>
      <c r="D50" s="3" t="s">
        <v>116</v>
      </c>
      <c r="E50" s="3" t="s">
        <v>449</v>
      </c>
    </row>
    <row r="51" spans="1:5" x14ac:dyDescent="0.25">
      <c r="A51" s="3" t="s">
        <v>215</v>
      </c>
      <c r="B51" s="3" t="s">
        <v>438</v>
      </c>
      <c r="D51" s="3" t="s">
        <v>265</v>
      </c>
      <c r="E51" s="3" t="s">
        <v>445</v>
      </c>
    </row>
    <row r="52" spans="1:5" x14ac:dyDescent="0.25">
      <c r="A52" s="3" t="s">
        <v>360</v>
      </c>
      <c r="B52" s="3" t="s">
        <v>438</v>
      </c>
      <c r="D52" s="3" t="s">
        <v>299</v>
      </c>
      <c r="E52" s="3" t="s">
        <v>450</v>
      </c>
    </row>
    <row r="53" spans="1:5" x14ac:dyDescent="0.25">
      <c r="A53" s="3" t="s">
        <v>152</v>
      </c>
      <c r="B53" s="3" t="s">
        <v>443</v>
      </c>
      <c r="D53" s="3" t="s">
        <v>349</v>
      </c>
      <c r="E53" s="3" t="s">
        <v>451</v>
      </c>
    </row>
    <row r="54" spans="1:5" x14ac:dyDescent="0.25">
      <c r="A54" s="3" t="s">
        <v>424</v>
      </c>
      <c r="B54" s="3" t="s">
        <v>443</v>
      </c>
      <c r="D54" s="3" t="s">
        <v>288</v>
      </c>
      <c r="E54" s="3" t="s">
        <v>448</v>
      </c>
    </row>
    <row r="55" spans="1:5" x14ac:dyDescent="0.25">
      <c r="A55" s="3" t="s">
        <v>224</v>
      </c>
      <c r="B55" s="3" t="s">
        <v>440</v>
      </c>
      <c r="D55" s="3" t="s">
        <v>176</v>
      </c>
      <c r="E55" s="3" t="s">
        <v>445</v>
      </c>
    </row>
    <row r="56" spans="1:5" x14ac:dyDescent="0.25">
      <c r="A56" s="3" t="s">
        <v>306</v>
      </c>
      <c r="B56" s="3" t="s">
        <v>443</v>
      </c>
      <c r="D56" s="3" t="s">
        <v>159</v>
      </c>
      <c r="E56" s="3" t="s">
        <v>448</v>
      </c>
    </row>
    <row r="57" spans="1:5" x14ac:dyDescent="0.25">
      <c r="A57" s="3" t="s">
        <v>405</v>
      </c>
      <c r="B57" s="3" t="s">
        <v>444</v>
      </c>
      <c r="D57" s="3" t="s">
        <v>90</v>
      </c>
      <c r="E57" s="3" t="s">
        <v>445</v>
      </c>
    </row>
    <row r="58" spans="1:5" x14ac:dyDescent="0.25">
      <c r="A58" s="3" t="s">
        <v>320</v>
      </c>
      <c r="B58" s="3" t="s">
        <v>441</v>
      </c>
      <c r="D58" s="3" t="s">
        <v>212</v>
      </c>
      <c r="E58" s="3" t="s">
        <v>447</v>
      </c>
    </row>
    <row r="59" spans="1:5" x14ac:dyDescent="0.25">
      <c r="A59" s="3" t="s">
        <v>436</v>
      </c>
      <c r="B59" s="3" t="s">
        <v>438</v>
      </c>
      <c r="D59" s="3" t="s">
        <v>123</v>
      </c>
      <c r="E59" s="3" t="s">
        <v>451</v>
      </c>
    </row>
    <row r="60" spans="1:5" x14ac:dyDescent="0.25">
      <c r="A60" s="3" t="s">
        <v>409</v>
      </c>
      <c r="B60" s="3" t="s">
        <v>440</v>
      </c>
      <c r="D60" s="3" t="s">
        <v>289</v>
      </c>
      <c r="E60" s="3" t="s">
        <v>445</v>
      </c>
    </row>
    <row r="61" spans="1:5" x14ac:dyDescent="0.25">
      <c r="A61" s="3" t="s">
        <v>6</v>
      </c>
      <c r="B61" s="3" t="s">
        <v>438</v>
      </c>
      <c r="D61" s="3" t="s">
        <v>237</v>
      </c>
      <c r="E61" s="3" t="s">
        <v>451</v>
      </c>
    </row>
    <row r="62" spans="1:5" x14ac:dyDescent="0.25">
      <c r="A62" s="3" t="s">
        <v>399</v>
      </c>
      <c r="B62" s="3" t="s">
        <v>442</v>
      </c>
      <c r="D62" s="3" t="s">
        <v>31</v>
      </c>
      <c r="E62" s="3" t="s">
        <v>445</v>
      </c>
    </row>
    <row r="63" spans="1:5" x14ac:dyDescent="0.25">
      <c r="A63" s="3" t="s">
        <v>307</v>
      </c>
      <c r="B63" s="3" t="s">
        <v>443</v>
      </c>
      <c r="D63" s="3" t="s">
        <v>331</v>
      </c>
      <c r="E63" s="3" t="s">
        <v>450</v>
      </c>
    </row>
    <row r="64" spans="1:5" x14ac:dyDescent="0.25">
      <c r="A64" s="3" t="s">
        <v>380</v>
      </c>
      <c r="B64" s="3" t="s">
        <v>444</v>
      </c>
      <c r="D64" s="3" t="s">
        <v>39</v>
      </c>
      <c r="E64" s="3" t="s">
        <v>450</v>
      </c>
    </row>
    <row r="65" spans="1:5" x14ac:dyDescent="0.25">
      <c r="A65" s="3" t="s">
        <v>414</v>
      </c>
      <c r="B65" s="3" t="s">
        <v>441</v>
      </c>
      <c r="D65" s="3" t="s">
        <v>157</v>
      </c>
      <c r="E65" s="3" t="s">
        <v>451</v>
      </c>
    </row>
    <row r="66" spans="1:5" x14ac:dyDescent="0.25">
      <c r="A66" s="3" t="s">
        <v>214</v>
      </c>
      <c r="B66" s="3" t="s">
        <v>442</v>
      </c>
      <c r="D66" s="3" t="s">
        <v>102</v>
      </c>
      <c r="E66" s="3" t="s">
        <v>448</v>
      </c>
    </row>
    <row r="67" spans="1:5" x14ac:dyDescent="0.25">
      <c r="A67" s="3" t="s">
        <v>344</v>
      </c>
      <c r="B67" s="3" t="s">
        <v>444</v>
      </c>
      <c r="D67" s="3" t="s">
        <v>87</v>
      </c>
      <c r="E67" s="3" t="s">
        <v>439</v>
      </c>
    </row>
    <row r="68" spans="1:5" x14ac:dyDescent="0.25">
      <c r="A68" s="3" t="s">
        <v>397</v>
      </c>
      <c r="B68" s="3" t="s">
        <v>441</v>
      </c>
      <c r="D68" s="3" t="s">
        <v>179</v>
      </c>
      <c r="E68" s="3" t="s">
        <v>448</v>
      </c>
    </row>
    <row r="69" spans="1:5" x14ac:dyDescent="0.25">
      <c r="A69" s="3" t="s">
        <v>415</v>
      </c>
      <c r="B69" s="3" t="s">
        <v>444</v>
      </c>
      <c r="D69" s="3" t="s">
        <v>158</v>
      </c>
      <c r="E69" s="3" t="s">
        <v>439</v>
      </c>
    </row>
    <row r="70" spans="1:5" x14ac:dyDescent="0.25">
      <c r="A70" s="3" t="s">
        <v>275</v>
      </c>
      <c r="B70" s="3" t="s">
        <v>441</v>
      </c>
      <c r="D70" s="3" t="s">
        <v>310</v>
      </c>
      <c r="E70" s="3" t="s">
        <v>439</v>
      </c>
    </row>
    <row r="71" spans="1:5" x14ac:dyDescent="0.25">
      <c r="A71" s="3" t="s">
        <v>279</v>
      </c>
      <c r="B71" s="3" t="s">
        <v>440</v>
      </c>
      <c r="D71" s="3" t="s">
        <v>207</v>
      </c>
      <c r="E71" s="3" t="s">
        <v>448</v>
      </c>
    </row>
    <row r="72" spans="1:5" x14ac:dyDescent="0.25">
      <c r="A72" s="3" t="s">
        <v>330</v>
      </c>
      <c r="B72" s="3" t="s">
        <v>443</v>
      </c>
      <c r="D72" s="3" t="s">
        <v>218</v>
      </c>
      <c r="E72" s="3" t="s">
        <v>439</v>
      </c>
    </row>
    <row r="73" spans="1:5" x14ac:dyDescent="0.25">
      <c r="A73" s="3" t="s">
        <v>402</v>
      </c>
      <c r="B73" s="3" t="s">
        <v>438</v>
      </c>
      <c r="D73" s="3" t="s">
        <v>235</v>
      </c>
      <c r="E73" s="3" t="s">
        <v>450</v>
      </c>
    </row>
    <row r="74" spans="1:5" x14ac:dyDescent="0.25">
      <c r="A74" s="3" t="s">
        <v>315</v>
      </c>
      <c r="B74" s="3" t="s">
        <v>438</v>
      </c>
      <c r="D74" s="3" t="s">
        <v>73</v>
      </c>
      <c r="E74" s="3" t="s">
        <v>447</v>
      </c>
    </row>
    <row r="75" spans="1:5" x14ac:dyDescent="0.25">
      <c r="A75" s="3" t="s">
        <v>204</v>
      </c>
      <c r="B75" s="3" t="s">
        <v>443</v>
      </c>
      <c r="D75" s="3" t="s">
        <v>88</v>
      </c>
      <c r="E75" s="3" t="s">
        <v>448</v>
      </c>
    </row>
    <row r="76" spans="1:5" x14ac:dyDescent="0.25">
      <c r="A76" s="3" t="s">
        <v>395</v>
      </c>
      <c r="B76" s="3" t="s">
        <v>440</v>
      </c>
      <c r="D76" s="3" t="s">
        <v>155</v>
      </c>
      <c r="E76" s="3" t="s">
        <v>450</v>
      </c>
    </row>
    <row r="77" spans="1:5" x14ac:dyDescent="0.25">
      <c r="A77" s="3" t="s">
        <v>1</v>
      </c>
      <c r="B77" s="3" t="s">
        <v>444</v>
      </c>
      <c r="D77" s="3" t="s">
        <v>2</v>
      </c>
      <c r="E77" s="3" t="s">
        <v>450</v>
      </c>
    </row>
    <row r="78" spans="1:5" x14ac:dyDescent="0.25">
      <c r="A78" s="3" t="s">
        <v>263</v>
      </c>
      <c r="B78" s="3" t="s">
        <v>444</v>
      </c>
      <c r="D78" s="3" t="s">
        <v>175</v>
      </c>
      <c r="E78" s="3" t="s">
        <v>451</v>
      </c>
    </row>
    <row r="79" spans="1:5" x14ac:dyDescent="0.25">
      <c r="A79" s="3" t="s">
        <v>341</v>
      </c>
      <c r="B79" s="3" t="s">
        <v>440</v>
      </c>
      <c r="D79" s="3" t="s">
        <v>106</v>
      </c>
      <c r="E79" s="3" t="s">
        <v>446</v>
      </c>
    </row>
    <row r="80" spans="1:5" x14ac:dyDescent="0.25">
      <c r="A80" s="3" t="s">
        <v>393</v>
      </c>
      <c r="B80" s="3" t="s">
        <v>438</v>
      </c>
      <c r="D80" s="3" t="s">
        <v>71</v>
      </c>
      <c r="E80" s="3" t="s">
        <v>439</v>
      </c>
    </row>
    <row r="81" spans="1:5" x14ac:dyDescent="0.25">
      <c r="A81" s="3" t="s">
        <v>367</v>
      </c>
      <c r="B81" s="3" t="s">
        <v>443</v>
      </c>
      <c r="D81" s="3" t="s">
        <v>351</v>
      </c>
      <c r="E81" s="3" t="s">
        <v>451</v>
      </c>
    </row>
    <row r="82" spans="1:5" x14ac:dyDescent="0.25">
      <c r="A82" s="3" t="s">
        <v>412</v>
      </c>
      <c r="B82" s="3" t="s">
        <v>438</v>
      </c>
      <c r="D82" s="3" t="s">
        <v>120</v>
      </c>
      <c r="E82" s="3" t="s">
        <v>447</v>
      </c>
    </row>
    <row r="83" spans="1:5" x14ac:dyDescent="0.25">
      <c r="A83" s="3" t="s">
        <v>420</v>
      </c>
      <c r="B83" s="3" t="s">
        <v>444</v>
      </c>
      <c r="D83" s="3" t="s">
        <v>353</v>
      </c>
      <c r="E83" s="3" t="s">
        <v>449</v>
      </c>
    </row>
    <row r="84" spans="1:5" x14ac:dyDescent="0.25">
      <c r="A84" s="3" t="s">
        <v>345</v>
      </c>
      <c r="B84" s="3" t="s">
        <v>441</v>
      </c>
      <c r="D84" s="3" t="s">
        <v>252</v>
      </c>
      <c r="E84" s="3" t="s">
        <v>449</v>
      </c>
    </row>
    <row r="85" spans="1:5" x14ac:dyDescent="0.25">
      <c r="A85" s="3" t="s">
        <v>274</v>
      </c>
      <c r="B85" s="3" t="s">
        <v>438</v>
      </c>
      <c r="D85" s="3" t="s">
        <v>428</v>
      </c>
      <c r="E85" s="3" t="s">
        <v>446</v>
      </c>
    </row>
    <row r="86" spans="1:5" x14ac:dyDescent="0.25">
      <c r="A86" s="3" t="s">
        <v>372</v>
      </c>
      <c r="B86" s="3" t="s">
        <v>443</v>
      </c>
      <c r="D86" s="3" t="s">
        <v>52</v>
      </c>
      <c r="E86" s="3" t="s">
        <v>448</v>
      </c>
    </row>
    <row r="87" spans="1:5" x14ac:dyDescent="0.25">
      <c r="A87" s="3" t="s">
        <v>392</v>
      </c>
      <c r="B87" s="3" t="s">
        <v>443</v>
      </c>
      <c r="D87" s="3" t="s">
        <v>41</v>
      </c>
      <c r="E87" s="3" t="s">
        <v>439</v>
      </c>
    </row>
    <row r="88" spans="1:5" x14ac:dyDescent="0.25">
      <c r="A88" s="3" t="s">
        <v>226</v>
      </c>
      <c r="B88" s="3" t="s">
        <v>444</v>
      </c>
      <c r="D88" s="3" t="s">
        <v>394</v>
      </c>
      <c r="E88" s="3" t="s">
        <v>448</v>
      </c>
    </row>
    <row r="89" spans="1:5" x14ac:dyDescent="0.25">
      <c r="A89" s="3" t="s">
        <v>10</v>
      </c>
      <c r="B89" s="3" t="s">
        <v>442</v>
      </c>
      <c r="D89" s="3" t="s">
        <v>230</v>
      </c>
      <c r="E89" s="3" t="s">
        <v>439</v>
      </c>
    </row>
    <row r="90" spans="1:5" x14ac:dyDescent="0.25">
      <c r="A90" s="3" t="s">
        <v>410</v>
      </c>
      <c r="B90" s="3" t="s">
        <v>443</v>
      </c>
      <c r="D90" s="3" t="s">
        <v>254</v>
      </c>
      <c r="E90" s="3" t="s">
        <v>450</v>
      </c>
    </row>
    <row r="91" spans="1:5" x14ac:dyDescent="0.25">
      <c r="A91" s="3" t="s">
        <v>300</v>
      </c>
      <c r="B91" s="3" t="s">
        <v>438</v>
      </c>
      <c r="D91" s="3" t="s">
        <v>115</v>
      </c>
      <c r="E91" s="3" t="s">
        <v>451</v>
      </c>
    </row>
    <row r="92" spans="1:5" x14ac:dyDescent="0.25">
      <c r="A92" s="3" t="s">
        <v>316</v>
      </c>
      <c r="B92" s="3" t="s">
        <v>440</v>
      </c>
      <c r="D92" s="3" t="s">
        <v>262</v>
      </c>
      <c r="E92" s="3" t="s">
        <v>447</v>
      </c>
    </row>
    <row r="93" spans="1:5" x14ac:dyDescent="0.25">
      <c r="A93" s="3" t="s">
        <v>416</v>
      </c>
      <c r="B93" s="3" t="s">
        <v>442</v>
      </c>
      <c r="D93" s="3" t="s">
        <v>271</v>
      </c>
      <c r="E93" s="3" t="s">
        <v>447</v>
      </c>
    </row>
    <row r="94" spans="1:5" x14ac:dyDescent="0.25">
      <c r="A94" s="3" t="s">
        <v>64</v>
      </c>
      <c r="B94" s="3" t="s">
        <v>443</v>
      </c>
      <c r="D94" s="3" t="s">
        <v>145</v>
      </c>
      <c r="E94" s="3" t="s">
        <v>448</v>
      </c>
    </row>
    <row r="95" spans="1:5" x14ac:dyDescent="0.25">
      <c r="D95" s="3" t="s">
        <v>247</v>
      </c>
      <c r="E95" s="3" t="s">
        <v>448</v>
      </c>
    </row>
    <row r="96" spans="1:5" x14ac:dyDescent="0.25">
      <c r="D96" s="3" t="s">
        <v>139</v>
      </c>
      <c r="E96" s="3" t="s">
        <v>446</v>
      </c>
    </row>
    <row r="97" spans="4:5" x14ac:dyDescent="0.25">
      <c r="D97" s="3" t="s">
        <v>72</v>
      </c>
      <c r="E97" s="3" t="s">
        <v>447</v>
      </c>
    </row>
    <row r="98" spans="4:5" x14ac:dyDescent="0.25">
      <c r="D98" s="3" t="s">
        <v>83</v>
      </c>
      <c r="E98" s="3" t="s">
        <v>449</v>
      </c>
    </row>
    <row r="99" spans="4:5" x14ac:dyDescent="0.25">
      <c r="D99" s="3" t="s">
        <v>211</v>
      </c>
      <c r="E99" s="3" t="s">
        <v>448</v>
      </c>
    </row>
    <row r="100" spans="4:5" x14ac:dyDescent="0.25">
      <c r="D100" s="3" t="s">
        <v>313</v>
      </c>
      <c r="E100" s="3" t="s">
        <v>449</v>
      </c>
    </row>
    <row r="101" spans="4:5" x14ac:dyDescent="0.25">
      <c r="D101" s="3" t="s">
        <v>421</v>
      </c>
      <c r="E101" s="3" t="s">
        <v>448</v>
      </c>
    </row>
    <row r="102" spans="4:5" x14ac:dyDescent="0.25">
      <c r="D102" s="3" t="s">
        <v>47</v>
      </c>
      <c r="E102" s="3" t="s">
        <v>447</v>
      </c>
    </row>
    <row r="103" spans="4:5" x14ac:dyDescent="0.25">
      <c r="D103" s="3" t="s">
        <v>33</v>
      </c>
      <c r="E103" s="3" t="s">
        <v>451</v>
      </c>
    </row>
    <row r="104" spans="4:5" x14ac:dyDescent="0.25">
      <c r="D104" s="3" t="s">
        <v>231</v>
      </c>
      <c r="E104" s="3" t="s">
        <v>445</v>
      </c>
    </row>
    <row r="105" spans="4:5" x14ac:dyDescent="0.25">
      <c r="D105" s="3" t="s">
        <v>269</v>
      </c>
      <c r="E105" s="3" t="s">
        <v>439</v>
      </c>
    </row>
    <row r="106" spans="4:5" x14ac:dyDescent="0.25">
      <c r="D106" s="3" t="s">
        <v>119</v>
      </c>
      <c r="E106" s="3" t="s">
        <v>451</v>
      </c>
    </row>
    <row r="107" spans="4:5" x14ac:dyDescent="0.25">
      <c r="D107" s="3" t="s">
        <v>323</v>
      </c>
      <c r="E107" s="3" t="s">
        <v>451</v>
      </c>
    </row>
    <row r="108" spans="4:5" x14ac:dyDescent="0.25">
      <c r="D108" s="3" t="s">
        <v>32</v>
      </c>
      <c r="E108" s="3" t="s">
        <v>451</v>
      </c>
    </row>
    <row r="109" spans="4:5" x14ac:dyDescent="0.25">
      <c r="D109" s="3" t="s">
        <v>23</v>
      </c>
      <c r="E109" s="3" t="s">
        <v>451</v>
      </c>
    </row>
    <row r="110" spans="4:5" x14ac:dyDescent="0.25">
      <c r="D110" s="3" t="s">
        <v>8</v>
      </c>
      <c r="E110" s="3" t="s">
        <v>451</v>
      </c>
    </row>
    <row r="111" spans="4:5" x14ac:dyDescent="0.25">
      <c r="D111" s="3" t="s">
        <v>234</v>
      </c>
      <c r="E111" s="3" t="s">
        <v>450</v>
      </c>
    </row>
    <row r="112" spans="4:5" x14ac:dyDescent="0.25">
      <c r="D112" s="3" t="s">
        <v>264</v>
      </c>
      <c r="E112" s="3" t="s">
        <v>450</v>
      </c>
    </row>
    <row r="113" spans="4:5" x14ac:dyDescent="0.25">
      <c r="D113" s="3" t="s">
        <v>400</v>
      </c>
      <c r="E113" s="3" t="s">
        <v>450</v>
      </c>
    </row>
    <row r="114" spans="4:5" x14ac:dyDescent="0.25">
      <c r="D114" s="3" t="s">
        <v>187</v>
      </c>
      <c r="E114" s="3" t="s">
        <v>450</v>
      </c>
    </row>
    <row r="115" spans="4:5" x14ac:dyDescent="0.25">
      <c r="D115" s="3" t="s">
        <v>63</v>
      </c>
      <c r="E115" s="3" t="s">
        <v>450</v>
      </c>
    </row>
    <row r="116" spans="4:5" x14ac:dyDescent="0.25">
      <c r="D116" s="3" t="s">
        <v>99</v>
      </c>
      <c r="E116" s="3" t="s">
        <v>446</v>
      </c>
    </row>
    <row r="117" spans="4:5" x14ac:dyDescent="0.25">
      <c r="D117" s="3" t="s">
        <v>154</v>
      </c>
      <c r="E117" s="3" t="s">
        <v>445</v>
      </c>
    </row>
    <row r="118" spans="4:5" x14ac:dyDescent="0.25">
      <c r="D118" s="3" t="s">
        <v>18</v>
      </c>
      <c r="E118" s="3" t="s">
        <v>451</v>
      </c>
    </row>
    <row r="119" spans="4:5" x14ac:dyDescent="0.25">
      <c r="D119" s="3" t="s">
        <v>362</v>
      </c>
      <c r="E119" s="3" t="s">
        <v>447</v>
      </c>
    </row>
    <row r="120" spans="4:5" x14ac:dyDescent="0.25">
      <c r="D120" s="3" t="s">
        <v>245</v>
      </c>
      <c r="E120" s="3" t="s">
        <v>445</v>
      </c>
    </row>
    <row r="121" spans="4:5" x14ac:dyDescent="0.25">
      <c r="D121" s="3" t="s">
        <v>27</v>
      </c>
      <c r="E121" s="3" t="s">
        <v>446</v>
      </c>
    </row>
    <row r="122" spans="4:5" x14ac:dyDescent="0.25">
      <c r="D122" s="3" t="s">
        <v>146</v>
      </c>
      <c r="E122" s="3" t="s">
        <v>448</v>
      </c>
    </row>
    <row r="123" spans="4:5" x14ac:dyDescent="0.25">
      <c r="D123" s="3" t="s">
        <v>258</v>
      </c>
      <c r="E123" s="3" t="s">
        <v>445</v>
      </c>
    </row>
    <row r="124" spans="4:5" x14ac:dyDescent="0.25">
      <c r="D124" s="3" t="s">
        <v>297</v>
      </c>
      <c r="E124" s="3" t="s">
        <v>447</v>
      </c>
    </row>
    <row r="125" spans="4:5" x14ac:dyDescent="0.25">
      <c r="D125" s="3" t="s">
        <v>418</v>
      </c>
      <c r="E125" s="3" t="s">
        <v>446</v>
      </c>
    </row>
    <row r="126" spans="4:5" x14ac:dyDescent="0.25">
      <c r="D126" s="3" t="s">
        <v>104</v>
      </c>
      <c r="E126" s="3" t="s">
        <v>439</v>
      </c>
    </row>
    <row r="127" spans="4:5" x14ac:dyDescent="0.25">
      <c r="D127" s="3" t="s">
        <v>28</v>
      </c>
      <c r="E127" s="3" t="s">
        <v>450</v>
      </c>
    </row>
    <row r="128" spans="4:5" x14ac:dyDescent="0.25">
      <c r="D128" s="3" t="s">
        <v>385</v>
      </c>
      <c r="E128" s="3" t="s">
        <v>451</v>
      </c>
    </row>
    <row r="129" spans="4:5" x14ac:dyDescent="0.25">
      <c r="D129" s="3" t="s">
        <v>61</v>
      </c>
      <c r="E129" s="3" t="s">
        <v>448</v>
      </c>
    </row>
    <row r="130" spans="4:5" x14ac:dyDescent="0.25">
      <c r="D130" s="3" t="s">
        <v>356</v>
      </c>
      <c r="E130" s="3" t="s">
        <v>446</v>
      </c>
    </row>
    <row r="131" spans="4:5" x14ac:dyDescent="0.25">
      <c r="D131" s="3" t="s">
        <v>423</v>
      </c>
      <c r="E131" s="3" t="s">
        <v>451</v>
      </c>
    </row>
    <row r="132" spans="4:5" x14ac:dyDescent="0.25">
      <c r="D132" s="3" t="s">
        <v>51</v>
      </c>
      <c r="E132" s="3" t="s">
        <v>447</v>
      </c>
    </row>
    <row r="133" spans="4:5" x14ac:dyDescent="0.25">
      <c r="D133" s="3" t="s">
        <v>82</v>
      </c>
      <c r="E133" s="3" t="s">
        <v>447</v>
      </c>
    </row>
    <row r="134" spans="4:5" x14ac:dyDescent="0.25">
      <c r="D134" s="3" t="s">
        <v>135</v>
      </c>
      <c r="E134" s="3" t="s">
        <v>451</v>
      </c>
    </row>
    <row r="135" spans="4:5" x14ac:dyDescent="0.25">
      <c r="D135" s="3" t="s">
        <v>267</v>
      </c>
      <c r="E135" s="3" t="s">
        <v>450</v>
      </c>
    </row>
    <row r="136" spans="4:5" x14ac:dyDescent="0.25">
      <c r="D136" s="3" t="s">
        <v>24</v>
      </c>
      <c r="E136" s="3" t="s">
        <v>451</v>
      </c>
    </row>
    <row r="137" spans="4:5" x14ac:dyDescent="0.25">
      <c r="D137" s="3" t="s">
        <v>156</v>
      </c>
      <c r="E137" s="3" t="s">
        <v>449</v>
      </c>
    </row>
    <row r="138" spans="4:5" x14ac:dyDescent="0.25">
      <c r="D138" s="3" t="s">
        <v>127</v>
      </c>
      <c r="E138" s="3" t="s">
        <v>450</v>
      </c>
    </row>
    <row r="139" spans="4:5" x14ac:dyDescent="0.25">
      <c r="D139" s="3" t="s">
        <v>162</v>
      </c>
      <c r="E139" s="3" t="s">
        <v>449</v>
      </c>
    </row>
    <row r="140" spans="4:5" x14ac:dyDescent="0.25">
      <c r="D140" s="3" t="s">
        <v>249</v>
      </c>
      <c r="E140" s="3" t="s">
        <v>446</v>
      </c>
    </row>
    <row r="141" spans="4:5" x14ac:dyDescent="0.25">
      <c r="D141" s="3" t="s">
        <v>137</v>
      </c>
      <c r="E141" s="3" t="s">
        <v>449</v>
      </c>
    </row>
    <row r="142" spans="4:5" x14ac:dyDescent="0.25">
      <c r="D142" s="3" t="s">
        <v>281</v>
      </c>
      <c r="E142" s="3" t="s">
        <v>450</v>
      </c>
    </row>
    <row r="143" spans="4:5" x14ac:dyDescent="0.25">
      <c r="D143" s="3" t="s">
        <v>431</v>
      </c>
      <c r="E143" s="3" t="s">
        <v>445</v>
      </c>
    </row>
    <row r="144" spans="4:5" x14ac:dyDescent="0.25">
      <c r="D144" s="3" t="s">
        <v>291</v>
      </c>
      <c r="E144" s="3" t="s">
        <v>451</v>
      </c>
    </row>
    <row r="145" spans="4:5" x14ac:dyDescent="0.25">
      <c r="D145" s="3" t="s">
        <v>183</v>
      </c>
      <c r="E145" s="3" t="s">
        <v>446</v>
      </c>
    </row>
    <row r="146" spans="4:5" x14ac:dyDescent="0.25">
      <c r="D146" s="3" t="s">
        <v>384</v>
      </c>
      <c r="E146" s="3" t="s">
        <v>450</v>
      </c>
    </row>
    <row r="147" spans="4:5" x14ac:dyDescent="0.25">
      <c r="D147" s="3" t="s">
        <v>3</v>
      </c>
      <c r="E147" s="3" t="s">
        <v>448</v>
      </c>
    </row>
    <row r="148" spans="4:5" x14ac:dyDescent="0.25">
      <c r="D148" s="3" t="s">
        <v>16</v>
      </c>
      <c r="E148" s="3" t="s">
        <v>445</v>
      </c>
    </row>
    <row r="149" spans="4:5" x14ac:dyDescent="0.25">
      <c r="D149" s="3" t="s">
        <v>260</v>
      </c>
      <c r="E149" s="3" t="s">
        <v>446</v>
      </c>
    </row>
    <row r="150" spans="4:5" x14ac:dyDescent="0.25">
      <c r="D150" s="3" t="s">
        <v>17</v>
      </c>
      <c r="E150" s="3" t="s">
        <v>447</v>
      </c>
    </row>
    <row r="151" spans="4:5" x14ac:dyDescent="0.25">
      <c r="D151" s="3" t="s">
        <v>36</v>
      </c>
      <c r="E151" s="3" t="s">
        <v>449</v>
      </c>
    </row>
    <row r="152" spans="4:5" x14ac:dyDescent="0.25">
      <c r="D152" s="3" t="s">
        <v>221</v>
      </c>
      <c r="E152" s="3" t="s">
        <v>439</v>
      </c>
    </row>
    <row r="153" spans="4:5" x14ac:dyDescent="0.25">
      <c r="D153" s="3" t="s">
        <v>19</v>
      </c>
      <c r="E153" s="3" t="s">
        <v>451</v>
      </c>
    </row>
    <row r="154" spans="4:5" x14ac:dyDescent="0.25">
      <c r="D154" s="3" t="s">
        <v>189</v>
      </c>
      <c r="E154" s="3" t="s">
        <v>448</v>
      </c>
    </row>
    <row r="155" spans="4:5" x14ac:dyDescent="0.25">
      <c r="D155" s="3" t="s">
        <v>359</v>
      </c>
      <c r="E155" s="3" t="s">
        <v>439</v>
      </c>
    </row>
    <row r="156" spans="4:5" x14ac:dyDescent="0.25">
      <c r="D156" s="3" t="s">
        <v>126</v>
      </c>
      <c r="E156" s="3" t="s">
        <v>448</v>
      </c>
    </row>
    <row r="157" spans="4:5" x14ac:dyDescent="0.25">
      <c r="D157" s="3" t="s">
        <v>365</v>
      </c>
      <c r="E157" s="3" t="s">
        <v>448</v>
      </c>
    </row>
    <row r="158" spans="4:5" x14ac:dyDescent="0.25">
      <c r="D158" s="3" t="s">
        <v>259</v>
      </c>
      <c r="E158" s="3" t="s">
        <v>439</v>
      </c>
    </row>
    <row r="159" spans="4:5" x14ac:dyDescent="0.25">
      <c r="D159" s="3" t="s">
        <v>196</v>
      </c>
      <c r="E159" s="3" t="s">
        <v>445</v>
      </c>
    </row>
    <row r="160" spans="4:5" x14ac:dyDescent="0.25">
      <c r="D160" s="3" t="s">
        <v>242</v>
      </c>
      <c r="E160" s="3" t="s">
        <v>446</v>
      </c>
    </row>
    <row r="161" spans="4:5" x14ac:dyDescent="0.25">
      <c r="D161" s="3" t="s">
        <v>164</v>
      </c>
      <c r="E161" s="3" t="s">
        <v>446</v>
      </c>
    </row>
    <row r="162" spans="4:5" x14ac:dyDescent="0.25">
      <c r="D162" s="3" t="s">
        <v>277</v>
      </c>
      <c r="E162" s="3" t="s">
        <v>447</v>
      </c>
    </row>
    <row r="163" spans="4:5" x14ac:dyDescent="0.25">
      <c r="D163" s="3" t="s">
        <v>197</v>
      </c>
      <c r="E163" s="3" t="s">
        <v>447</v>
      </c>
    </row>
    <row r="164" spans="4:5" x14ac:dyDescent="0.25">
      <c r="D164" s="3" t="s">
        <v>138</v>
      </c>
      <c r="E164" s="3" t="s">
        <v>450</v>
      </c>
    </row>
    <row r="165" spans="4:5" x14ac:dyDescent="0.25">
      <c r="D165" s="3" t="s">
        <v>376</v>
      </c>
      <c r="E165" s="3" t="s">
        <v>449</v>
      </c>
    </row>
    <row r="166" spans="4:5" x14ac:dyDescent="0.25">
      <c r="D166" s="3" t="s">
        <v>153</v>
      </c>
      <c r="E166" s="3" t="s">
        <v>448</v>
      </c>
    </row>
    <row r="167" spans="4:5" x14ac:dyDescent="0.25">
      <c r="D167" s="3" t="s">
        <v>35</v>
      </c>
      <c r="E167" s="3" t="s">
        <v>446</v>
      </c>
    </row>
    <row r="168" spans="4:5" x14ac:dyDescent="0.25">
      <c r="D168" s="3" t="s">
        <v>134</v>
      </c>
      <c r="E168" s="3" t="s">
        <v>449</v>
      </c>
    </row>
    <row r="169" spans="4:5" x14ac:dyDescent="0.25">
      <c r="D169" s="3" t="s">
        <v>170</v>
      </c>
      <c r="E169" s="3" t="s">
        <v>445</v>
      </c>
    </row>
    <row r="170" spans="4:5" x14ac:dyDescent="0.25">
      <c r="D170" s="3" t="s">
        <v>0</v>
      </c>
      <c r="E170" s="3" t="s">
        <v>451</v>
      </c>
    </row>
    <row r="171" spans="4:5" x14ac:dyDescent="0.25">
      <c r="D171" s="3" t="s">
        <v>22</v>
      </c>
      <c r="E171" s="3" t="s">
        <v>439</v>
      </c>
    </row>
    <row r="172" spans="4:5" x14ac:dyDescent="0.25">
      <c r="D172" s="3" t="s">
        <v>375</v>
      </c>
      <c r="E172" s="3" t="s">
        <v>439</v>
      </c>
    </row>
    <row r="173" spans="4:5" x14ac:dyDescent="0.25">
      <c r="D173" s="3" t="s">
        <v>184</v>
      </c>
      <c r="E173" s="3" t="s">
        <v>439</v>
      </c>
    </row>
    <row r="174" spans="4:5" x14ac:dyDescent="0.25">
      <c r="D174" s="3" t="s">
        <v>339</v>
      </c>
      <c r="E174" s="3" t="s">
        <v>447</v>
      </c>
    </row>
    <row r="175" spans="4:5" x14ac:dyDescent="0.25">
      <c r="D175" s="3" t="s">
        <v>143</v>
      </c>
      <c r="E175" s="3" t="s">
        <v>439</v>
      </c>
    </row>
    <row r="176" spans="4:5" x14ac:dyDescent="0.25">
      <c r="D176" s="3" t="s">
        <v>103</v>
      </c>
      <c r="E176" s="3" t="s">
        <v>450</v>
      </c>
    </row>
    <row r="177" spans="4:5" x14ac:dyDescent="0.25">
      <c r="D177" s="3" t="s">
        <v>89</v>
      </c>
      <c r="E177" s="3" t="s">
        <v>449</v>
      </c>
    </row>
    <row r="178" spans="4:5" x14ac:dyDescent="0.25">
      <c r="D178" s="3" t="s">
        <v>112</v>
      </c>
      <c r="E178" s="3" t="s">
        <v>439</v>
      </c>
    </row>
    <row r="179" spans="4:5" x14ac:dyDescent="0.25">
      <c r="D179" s="3" t="s">
        <v>56</v>
      </c>
      <c r="E179" s="3" t="s">
        <v>450</v>
      </c>
    </row>
    <row r="180" spans="4:5" x14ac:dyDescent="0.25">
      <c r="D180" s="3" t="s">
        <v>149</v>
      </c>
      <c r="E180" s="3" t="s">
        <v>449</v>
      </c>
    </row>
    <row r="181" spans="4:5" x14ac:dyDescent="0.25">
      <c r="D181" s="3" t="s">
        <v>228</v>
      </c>
      <c r="E181" s="3" t="s">
        <v>446</v>
      </c>
    </row>
    <row r="182" spans="4:5" x14ac:dyDescent="0.25">
      <c r="D182" s="3" t="s">
        <v>251</v>
      </c>
      <c r="E182" s="3" t="s">
        <v>451</v>
      </c>
    </row>
    <row r="183" spans="4:5" x14ac:dyDescent="0.25">
      <c r="D183" s="3" t="s">
        <v>34</v>
      </c>
      <c r="E183" s="3" t="s">
        <v>439</v>
      </c>
    </row>
    <row r="184" spans="4:5" x14ac:dyDescent="0.25">
      <c r="D184" s="3" t="s">
        <v>302</v>
      </c>
      <c r="E184" s="3" t="s">
        <v>445</v>
      </c>
    </row>
    <row r="185" spans="4:5" x14ac:dyDescent="0.25">
      <c r="D185" s="3" t="s">
        <v>125</v>
      </c>
      <c r="E185" s="3" t="s">
        <v>449</v>
      </c>
    </row>
    <row r="186" spans="4:5" x14ac:dyDescent="0.25">
      <c r="D186" s="3" t="s">
        <v>58</v>
      </c>
      <c r="E186" s="3" t="s">
        <v>446</v>
      </c>
    </row>
    <row r="187" spans="4:5" x14ac:dyDescent="0.25">
      <c r="D187" s="3" t="s">
        <v>113</v>
      </c>
      <c r="E187" s="3" t="s">
        <v>445</v>
      </c>
    </row>
    <row r="188" spans="4:5" x14ac:dyDescent="0.25">
      <c r="D188" s="3" t="s">
        <v>194</v>
      </c>
      <c r="E188" s="3" t="s">
        <v>447</v>
      </c>
    </row>
    <row r="189" spans="4:5" x14ac:dyDescent="0.25">
      <c r="D189" s="3" t="s">
        <v>322</v>
      </c>
      <c r="E189" s="3" t="s">
        <v>447</v>
      </c>
    </row>
    <row r="190" spans="4:5" x14ac:dyDescent="0.25">
      <c r="D190" s="3" t="s">
        <v>147</v>
      </c>
      <c r="E190" s="3" t="s">
        <v>439</v>
      </c>
    </row>
    <row r="191" spans="4:5" x14ac:dyDescent="0.25">
      <c r="D191" s="3" t="s">
        <v>165</v>
      </c>
      <c r="E191" s="3" t="s">
        <v>439</v>
      </c>
    </row>
    <row r="192" spans="4:5" x14ac:dyDescent="0.25">
      <c r="D192" s="3" t="s">
        <v>261</v>
      </c>
      <c r="E192" s="3" t="s">
        <v>446</v>
      </c>
    </row>
    <row r="193" spans="4:5" x14ac:dyDescent="0.25">
      <c r="D193" s="3" t="s">
        <v>364</v>
      </c>
      <c r="E193" s="3" t="s">
        <v>448</v>
      </c>
    </row>
    <row r="194" spans="4:5" x14ac:dyDescent="0.25">
      <c r="D194" s="3" t="s">
        <v>350</v>
      </c>
      <c r="E194" s="3" t="s">
        <v>445</v>
      </c>
    </row>
    <row r="195" spans="4:5" x14ac:dyDescent="0.25">
      <c r="D195" s="3" t="s">
        <v>411</v>
      </c>
      <c r="E195" s="3" t="s">
        <v>447</v>
      </c>
    </row>
    <row r="196" spans="4:5" x14ac:dyDescent="0.25">
      <c r="D196" s="3" t="s">
        <v>378</v>
      </c>
      <c r="E196" s="3" t="s">
        <v>449</v>
      </c>
    </row>
    <row r="197" spans="4:5" x14ac:dyDescent="0.25">
      <c r="D197" s="3" t="s">
        <v>131</v>
      </c>
      <c r="E197" s="3" t="s">
        <v>447</v>
      </c>
    </row>
    <row r="198" spans="4:5" x14ac:dyDescent="0.25">
      <c r="D198" s="3" t="s">
        <v>208</v>
      </c>
      <c r="E198" s="3" t="s">
        <v>445</v>
      </c>
    </row>
    <row r="199" spans="4:5" x14ac:dyDescent="0.25">
      <c r="D199" s="3" t="s">
        <v>95</v>
      </c>
      <c r="E199" s="3" t="s">
        <v>445</v>
      </c>
    </row>
    <row r="200" spans="4:5" x14ac:dyDescent="0.25">
      <c r="D200" s="3" t="s">
        <v>11</v>
      </c>
      <c r="E200" s="3" t="s">
        <v>439</v>
      </c>
    </row>
    <row r="201" spans="4:5" x14ac:dyDescent="0.25">
      <c r="D201" s="3" t="s">
        <v>347</v>
      </c>
      <c r="E201" s="3" t="s">
        <v>446</v>
      </c>
    </row>
    <row r="202" spans="4:5" x14ac:dyDescent="0.25">
      <c r="D202" s="3" t="s">
        <v>256</v>
      </c>
      <c r="E202" s="3" t="s">
        <v>439</v>
      </c>
    </row>
    <row r="203" spans="4:5" x14ac:dyDescent="0.25">
      <c r="D203" s="3" t="s">
        <v>173</v>
      </c>
      <c r="E203" s="3" t="s">
        <v>448</v>
      </c>
    </row>
    <row r="204" spans="4:5" x14ac:dyDescent="0.25">
      <c r="D204" s="3" t="s">
        <v>246</v>
      </c>
      <c r="E204" s="3" t="s">
        <v>447</v>
      </c>
    </row>
    <row r="205" spans="4:5" x14ac:dyDescent="0.25">
      <c r="D205" s="3" t="s">
        <v>190</v>
      </c>
      <c r="E205" s="3" t="s">
        <v>448</v>
      </c>
    </row>
    <row r="206" spans="4:5" x14ac:dyDescent="0.25">
      <c r="D206" s="3" t="s">
        <v>386</v>
      </c>
      <c r="E206" s="3" t="s">
        <v>446</v>
      </c>
    </row>
    <row r="207" spans="4:5" x14ac:dyDescent="0.25">
      <c r="D207" s="3" t="s">
        <v>78</v>
      </c>
      <c r="E207" s="3" t="s">
        <v>446</v>
      </c>
    </row>
    <row r="208" spans="4:5" x14ac:dyDescent="0.25">
      <c r="D208" s="3" t="s">
        <v>70</v>
      </c>
      <c r="E208" s="3" t="s">
        <v>447</v>
      </c>
    </row>
    <row r="209" spans="4:5" x14ac:dyDescent="0.25">
      <c r="D209" s="3" t="s">
        <v>354</v>
      </c>
      <c r="E209" s="3" t="s">
        <v>450</v>
      </c>
    </row>
    <row r="210" spans="4:5" x14ac:dyDescent="0.25">
      <c r="D210" s="3" t="s">
        <v>80</v>
      </c>
      <c r="E210" s="3" t="s">
        <v>448</v>
      </c>
    </row>
    <row r="211" spans="4:5" x14ac:dyDescent="0.25">
      <c r="D211" s="3" t="s">
        <v>407</v>
      </c>
      <c r="E211" s="3" t="s">
        <v>447</v>
      </c>
    </row>
    <row r="212" spans="4:5" x14ac:dyDescent="0.25">
      <c r="D212" s="3" t="s">
        <v>188</v>
      </c>
      <c r="E212" s="3" t="s">
        <v>447</v>
      </c>
    </row>
    <row r="213" spans="4:5" x14ac:dyDescent="0.25">
      <c r="D213" s="3" t="s">
        <v>285</v>
      </c>
      <c r="E213" s="3" t="s">
        <v>446</v>
      </c>
    </row>
    <row r="214" spans="4:5" x14ac:dyDescent="0.25">
      <c r="D214" s="3" t="s">
        <v>352</v>
      </c>
      <c r="E214" s="3" t="s">
        <v>449</v>
      </c>
    </row>
    <row r="215" spans="4:5" x14ac:dyDescent="0.25">
      <c r="D215" s="3" t="s">
        <v>26</v>
      </c>
      <c r="E215" s="3" t="s">
        <v>445</v>
      </c>
    </row>
    <row r="216" spans="4:5" x14ac:dyDescent="0.25">
      <c r="D216" s="3" t="s">
        <v>387</v>
      </c>
      <c r="E216" s="3" t="s">
        <v>439</v>
      </c>
    </row>
    <row r="217" spans="4:5" x14ac:dyDescent="0.25">
      <c r="D217" s="3" t="s">
        <v>169</v>
      </c>
      <c r="E217" s="3" t="s">
        <v>448</v>
      </c>
    </row>
    <row r="218" spans="4:5" x14ac:dyDescent="0.25">
      <c r="D218" s="3" t="s">
        <v>74</v>
      </c>
      <c r="E218" s="3" t="s">
        <v>445</v>
      </c>
    </row>
    <row r="219" spans="4:5" x14ac:dyDescent="0.25">
      <c r="D219" s="3" t="s">
        <v>338</v>
      </c>
      <c r="E219" s="3" t="s">
        <v>448</v>
      </c>
    </row>
    <row r="220" spans="4:5" x14ac:dyDescent="0.25">
      <c r="D220" s="3" t="s">
        <v>266</v>
      </c>
      <c r="E220" s="3" t="s">
        <v>448</v>
      </c>
    </row>
    <row r="221" spans="4:5" x14ac:dyDescent="0.25">
      <c r="D221" s="3" t="s">
        <v>217</v>
      </c>
      <c r="E221" s="3" t="s">
        <v>451</v>
      </c>
    </row>
    <row r="222" spans="4:5" x14ac:dyDescent="0.25">
      <c r="D222" s="3" t="s">
        <v>432</v>
      </c>
      <c r="E222" s="3" t="s">
        <v>447</v>
      </c>
    </row>
    <row r="223" spans="4:5" x14ac:dyDescent="0.25">
      <c r="D223" s="3" t="s">
        <v>59</v>
      </c>
      <c r="E223" s="3" t="s">
        <v>449</v>
      </c>
    </row>
    <row r="224" spans="4:5" x14ac:dyDescent="0.25">
      <c r="D224" s="3" t="s">
        <v>44</v>
      </c>
      <c r="E224" s="3" t="s">
        <v>448</v>
      </c>
    </row>
    <row r="225" spans="4:5" x14ac:dyDescent="0.25">
      <c r="D225" s="3" t="s">
        <v>435</v>
      </c>
      <c r="E225" s="3" t="s">
        <v>450</v>
      </c>
    </row>
    <row r="226" spans="4:5" x14ac:dyDescent="0.25">
      <c r="D226" s="3" t="s">
        <v>174</v>
      </c>
      <c r="E226" s="3" t="s">
        <v>446</v>
      </c>
    </row>
    <row r="227" spans="4:5" x14ac:dyDescent="0.25">
      <c r="D227" s="3" t="s">
        <v>371</v>
      </c>
      <c r="E227" s="3" t="s">
        <v>449</v>
      </c>
    </row>
    <row r="228" spans="4:5" x14ac:dyDescent="0.25">
      <c r="D228" s="3" t="s">
        <v>241</v>
      </c>
      <c r="E228" s="3" t="s">
        <v>445</v>
      </c>
    </row>
    <row r="229" spans="4:5" x14ac:dyDescent="0.25">
      <c r="D229" s="3" t="s">
        <v>182</v>
      </c>
      <c r="E229" s="3" t="s">
        <v>449</v>
      </c>
    </row>
    <row r="230" spans="4:5" x14ac:dyDescent="0.25">
      <c r="D230" s="3" t="s">
        <v>177</v>
      </c>
      <c r="E230" s="3" t="s">
        <v>450</v>
      </c>
    </row>
    <row r="231" spans="4:5" x14ac:dyDescent="0.25">
      <c r="D231" s="3" t="s">
        <v>105</v>
      </c>
      <c r="E231" s="3" t="s">
        <v>448</v>
      </c>
    </row>
    <row r="232" spans="4:5" x14ac:dyDescent="0.25">
      <c r="D232" s="3" t="s">
        <v>37</v>
      </c>
      <c r="E232" s="3" t="s">
        <v>439</v>
      </c>
    </row>
    <row r="233" spans="4:5" x14ac:dyDescent="0.25">
      <c r="D233" s="3" t="s">
        <v>55</v>
      </c>
      <c r="E233" s="3" t="s">
        <v>445</v>
      </c>
    </row>
    <row r="234" spans="4:5" x14ac:dyDescent="0.25">
      <c r="D234" s="3" t="s">
        <v>317</v>
      </c>
      <c r="E234" s="3" t="s">
        <v>447</v>
      </c>
    </row>
    <row r="235" spans="4:5" x14ac:dyDescent="0.25">
      <c r="D235" s="3" t="s">
        <v>298</v>
      </c>
      <c r="E235" s="3" t="s">
        <v>449</v>
      </c>
    </row>
    <row r="236" spans="4:5" x14ac:dyDescent="0.25">
      <c r="D236" s="3" t="s">
        <v>4</v>
      </c>
      <c r="E236" s="3" t="s">
        <v>449</v>
      </c>
    </row>
    <row r="237" spans="4:5" x14ac:dyDescent="0.25">
      <c r="D237" s="3" t="s">
        <v>142</v>
      </c>
      <c r="E237" s="3" t="s">
        <v>450</v>
      </c>
    </row>
    <row r="238" spans="4:5" x14ac:dyDescent="0.25">
      <c r="D238" s="3" t="s">
        <v>294</v>
      </c>
      <c r="E238" s="3" t="s">
        <v>445</v>
      </c>
    </row>
    <row r="239" spans="4:5" x14ac:dyDescent="0.25">
      <c r="D239" s="3" t="s">
        <v>270</v>
      </c>
      <c r="E239" s="3" t="s">
        <v>449</v>
      </c>
    </row>
    <row r="240" spans="4:5" x14ac:dyDescent="0.25">
      <c r="D240" s="3" t="s">
        <v>68</v>
      </c>
      <c r="E240" s="3" t="s">
        <v>450</v>
      </c>
    </row>
    <row r="241" spans="4:5" x14ac:dyDescent="0.25">
      <c r="D241" s="3" t="s">
        <v>62</v>
      </c>
      <c r="E241" s="3" t="s">
        <v>446</v>
      </c>
    </row>
    <row r="242" spans="4:5" x14ac:dyDescent="0.25">
      <c r="D242" s="3" t="s">
        <v>92</v>
      </c>
      <c r="E242" s="3" t="s">
        <v>446</v>
      </c>
    </row>
    <row r="243" spans="4:5" x14ac:dyDescent="0.25">
      <c r="D243" s="3" t="s">
        <v>309</v>
      </c>
      <c r="E243" s="3" t="s">
        <v>450</v>
      </c>
    </row>
    <row r="244" spans="4:5" x14ac:dyDescent="0.25">
      <c r="D244" s="3" t="s">
        <v>110</v>
      </c>
      <c r="E244" s="3" t="s">
        <v>439</v>
      </c>
    </row>
    <row r="245" spans="4:5" x14ac:dyDescent="0.25">
      <c r="D245" s="3" t="s">
        <v>206</v>
      </c>
      <c r="E245" s="3" t="s">
        <v>450</v>
      </c>
    </row>
    <row r="246" spans="4:5" x14ac:dyDescent="0.25">
      <c r="D246" s="3" t="s">
        <v>358</v>
      </c>
      <c r="E246" s="3" t="s">
        <v>449</v>
      </c>
    </row>
    <row r="247" spans="4:5" x14ac:dyDescent="0.25">
      <c r="D247" s="3" t="s">
        <v>328</v>
      </c>
      <c r="E247" s="3" t="s">
        <v>445</v>
      </c>
    </row>
    <row r="248" spans="4:5" x14ac:dyDescent="0.25">
      <c r="D248" s="3" t="s">
        <v>91</v>
      </c>
      <c r="E248" s="3" t="s">
        <v>451</v>
      </c>
    </row>
    <row r="249" spans="4:5" x14ac:dyDescent="0.25">
      <c r="D249" s="3" t="s">
        <v>168</v>
      </c>
      <c r="E249" s="3" t="s">
        <v>448</v>
      </c>
    </row>
    <row r="250" spans="4:5" x14ac:dyDescent="0.25">
      <c r="D250" s="3" t="s">
        <v>276</v>
      </c>
      <c r="E250" s="3" t="s">
        <v>446</v>
      </c>
    </row>
    <row r="251" spans="4:5" x14ac:dyDescent="0.25">
      <c r="D251" s="3" t="s">
        <v>84</v>
      </c>
      <c r="E251" s="3" t="s">
        <v>439</v>
      </c>
    </row>
    <row r="252" spans="4:5" x14ac:dyDescent="0.25">
      <c r="D252" s="3" t="s">
        <v>304</v>
      </c>
      <c r="E252" s="3" t="s">
        <v>449</v>
      </c>
    </row>
    <row r="253" spans="4:5" x14ac:dyDescent="0.25">
      <c r="D253" s="3" t="s">
        <v>101</v>
      </c>
      <c r="E253" s="3" t="s">
        <v>446</v>
      </c>
    </row>
    <row r="254" spans="4:5" x14ac:dyDescent="0.25">
      <c r="D254" s="3" t="s">
        <v>192</v>
      </c>
      <c r="E254" s="3" t="s">
        <v>450</v>
      </c>
    </row>
    <row r="255" spans="4:5" x14ac:dyDescent="0.25">
      <c r="D255" s="3" t="s">
        <v>124</v>
      </c>
      <c r="E255" s="3" t="s">
        <v>448</v>
      </c>
    </row>
    <row r="256" spans="4:5" x14ac:dyDescent="0.25">
      <c r="D256" s="3" t="s">
        <v>118</v>
      </c>
      <c r="E256" s="3" t="s">
        <v>451</v>
      </c>
    </row>
    <row r="257" spans="4:5" x14ac:dyDescent="0.25">
      <c r="D257" s="3" t="s">
        <v>191</v>
      </c>
      <c r="E257" s="3" t="s">
        <v>450</v>
      </c>
    </row>
    <row r="258" spans="4:5" x14ac:dyDescent="0.25">
      <c r="D258" s="3" t="s">
        <v>342</v>
      </c>
      <c r="E258" s="3" t="s">
        <v>450</v>
      </c>
    </row>
    <row r="259" spans="4:5" x14ac:dyDescent="0.25">
      <c r="D259" s="3" t="s">
        <v>427</v>
      </c>
      <c r="E259" s="3" t="s">
        <v>450</v>
      </c>
    </row>
    <row r="260" spans="4:5" x14ac:dyDescent="0.25">
      <c r="D260" s="3" t="s">
        <v>15</v>
      </c>
      <c r="E260" s="3" t="s">
        <v>439</v>
      </c>
    </row>
    <row r="261" spans="4:5" x14ac:dyDescent="0.25">
      <c r="D261" s="3" t="s">
        <v>60</v>
      </c>
      <c r="E261" s="3" t="s">
        <v>448</v>
      </c>
    </row>
    <row r="262" spans="4:5" x14ac:dyDescent="0.25">
      <c r="D262" s="3" t="s">
        <v>81</v>
      </c>
      <c r="E262" s="3" t="s">
        <v>449</v>
      </c>
    </row>
    <row r="263" spans="4:5" x14ac:dyDescent="0.25">
      <c r="D263" s="3" t="s">
        <v>141</v>
      </c>
      <c r="E263" s="3" t="s">
        <v>449</v>
      </c>
    </row>
    <row r="264" spans="4:5" x14ac:dyDescent="0.25">
      <c r="D264" s="3" t="s">
        <v>133</v>
      </c>
      <c r="E264" s="3" t="s">
        <v>449</v>
      </c>
    </row>
    <row r="265" spans="4:5" x14ac:dyDescent="0.25">
      <c r="D265" s="3" t="s">
        <v>286</v>
      </c>
      <c r="E265" s="3" t="s">
        <v>450</v>
      </c>
    </row>
    <row r="266" spans="4:5" x14ac:dyDescent="0.25">
      <c r="D266" s="3" t="s">
        <v>248</v>
      </c>
      <c r="E266" s="3" t="s">
        <v>439</v>
      </c>
    </row>
    <row r="267" spans="4:5" x14ac:dyDescent="0.25">
      <c r="D267" s="3" t="s">
        <v>195</v>
      </c>
      <c r="E267" s="3" t="s">
        <v>439</v>
      </c>
    </row>
    <row r="268" spans="4:5" x14ac:dyDescent="0.25">
      <c r="D268" s="3" t="s">
        <v>9</v>
      </c>
      <c r="E268" s="3" t="s">
        <v>447</v>
      </c>
    </row>
    <row r="269" spans="4:5" x14ac:dyDescent="0.25">
      <c r="D269" s="3" t="s">
        <v>38</v>
      </c>
      <c r="E269" s="3" t="s">
        <v>447</v>
      </c>
    </row>
    <row r="270" spans="4:5" x14ac:dyDescent="0.25">
      <c r="D270" s="3" t="s">
        <v>223</v>
      </c>
      <c r="E270" s="3" t="s">
        <v>451</v>
      </c>
    </row>
    <row r="271" spans="4:5" x14ac:dyDescent="0.25">
      <c r="D271" s="3" t="s">
        <v>337</v>
      </c>
      <c r="E271" s="3" t="s">
        <v>447</v>
      </c>
    </row>
    <row r="272" spans="4:5" x14ac:dyDescent="0.25">
      <c r="D272" s="3" t="s">
        <v>268</v>
      </c>
      <c r="E272" s="3" t="s">
        <v>451</v>
      </c>
    </row>
    <row r="273" spans="4:5" x14ac:dyDescent="0.25">
      <c r="D273" s="3" t="s">
        <v>54</v>
      </c>
      <c r="E273" s="3" t="s">
        <v>451</v>
      </c>
    </row>
    <row r="274" spans="4:5" x14ac:dyDescent="0.25">
      <c r="D274" s="3" t="s">
        <v>46</v>
      </c>
      <c r="E274" s="3" t="s">
        <v>449</v>
      </c>
    </row>
    <row r="275" spans="4:5" x14ac:dyDescent="0.25">
      <c r="D275" s="3" t="s">
        <v>20</v>
      </c>
      <c r="E275" s="3" t="s">
        <v>445</v>
      </c>
    </row>
    <row r="276" spans="4:5" x14ac:dyDescent="0.25">
      <c r="D276" s="3" t="s">
        <v>77</v>
      </c>
      <c r="E276" s="3" t="s">
        <v>447</v>
      </c>
    </row>
    <row r="277" spans="4:5" x14ac:dyDescent="0.25">
      <c r="D277" s="3" t="s">
        <v>129</v>
      </c>
      <c r="E277" s="3" t="s">
        <v>451</v>
      </c>
    </row>
    <row r="278" spans="4:5" x14ac:dyDescent="0.25">
      <c r="D278" s="3" t="s">
        <v>96</v>
      </c>
      <c r="E278" s="3" t="s">
        <v>439</v>
      </c>
    </row>
    <row r="279" spans="4:5" x14ac:dyDescent="0.25">
      <c r="D279" s="3" t="s">
        <v>419</v>
      </c>
      <c r="E279" s="3" t="s">
        <v>445</v>
      </c>
    </row>
    <row r="280" spans="4:5" x14ac:dyDescent="0.25">
      <c r="D280" s="3" t="s">
        <v>66</v>
      </c>
      <c r="E280" s="3" t="s">
        <v>447</v>
      </c>
    </row>
    <row r="281" spans="4:5" x14ac:dyDescent="0.25">
      <c r="D281" s="3" t="s">
        <v>334</v>
      </c>
      <c r="E281" s="3" t="s">
        <v>446</v>
      </c>
    </row>
    <row r="282" spans="4:5" x14ac:dyDescent="0.25">
      <c r="D282" s="3" t="s">
        <v>21</v>
      </c>
      <c r="E282" s="3" t="s">
        <v>446</v>
      </c>
    </row>
    <row r="283" spans="4:5" x14ac:dyDescent="0.25">
      <c r="D283" s="3" t="s">
        <v>253</v>
      </c>
      <c r="E283" s="3" t="s">
        <v>447</v>
      </c>
    </row>
    <row r="284" spans="4:5" x14ac:dyDescent="0.25">
      <c r="D284" s="3" t="s">
        <v>238</v>
      </c>
      <c r="E284" s="3" t="s">
        <v>445</v>
      </c>
    </row>
    <row r="285" spans="4:5" x14ac:dyDescent="0.25">
      <c r="D285" s="3" t="s">
        <v>128</v>
      </c>
      <c r="E285" s="3" t="s">
        <v>445</v>
      </c>
    </row>
    <row r="286" spans="4:5" x14ac:dyDescent="0.25">
      <c r="D286" s="3" t="s">
        <v>122</v>
      </c>
      <c r="E286" s="3" t="s">
        <v>450</v>
      </c>
    </row>
    <row r="287" spans="4:5" x14ac:dyDescent="0.25">
      <c r="D287" s="3" t="s">
        <v>75</v>
      </c>
      <c r="E287" s="3" t="s">
        <v>439</v>
      </c>
    </row>
    <row r="288" spans="4:5" x14ac:dyDescent="0.25">
      <c r="D288" s="3" t="s">
        <v>357</v>
      </c>
      <c r="E288" s="3" t="s">
        <v>445</v>
      </c>
    </row>
    <row r="289" spans="4:5" x14ac:dyDescent="0.25">
      <c r="D289" s="3" t="s">
        <v>25</v>
      </c>
      <c r="E289" s="3" t="s">
        <v>446</v>
      </c>
    </row>
    <row r="290" spans="4:5" x14ac:dyDescent="0.25">
      <c r="D290" s="3" t="s">
        <v>30</v>
      </c>
      <c r="E290" s="3" t="s">
        <v>445</v>
      </c>
    </row>
    <row r="291" spans="4:5" x14ac:dyDescent="0.25">
      <c r="D291" s="3" t="s">
        <v>161</v>
      </c>
      <c r="E291" s="3" t="s">
        <v>447</v>
      </c>
    </row>
    <row r="292" spans="4:5" x14ac:dyDescent="0.25">
      <c r="D292" s="3" t="s">
        <v>108</v>
      </c>
      <c r="E292" s="3" t="s">
        <v>447</v>
      </c>
    </row>
    <row r="293" spans="4:5" x14ac:dyDescent="0.25">
      <c r="D293" s="3" t="s">
        <v>13</v>
      </c>
      <c r="E293" s="3" t="s">
        <v>448</v>
      </c>
    </row>
    <row r="294" spans="4:5" x14ac:dyDescent="0.25">
      <c r="D294" s="3" t="s">
        <v>422</v>
      </c>
      <c r="E294" s="3" t="s">
        <v>448</v>
      </c>
    </row>
    <row r="295" spans="4:5" x14ac:dyDescent="0.25">
      <c r="D295" s="3" t="s">
        <v>430</v>
      </c>
      <c r="E295" s="3" t="s">
        <v>439</v>
      </c>
    </row>
    <row r="296" spans="4:5" x14ac:dyDescent="0.25">
      <c r="D296" s="3" t="s">
        <v>433</v>
      </c>
      <c r="E296" s="3" t="s">
        <v>451</v>
      </c>
    </row>
    <row r="297" spans="4:5" x14ac:dyDescent="0.25">
      <c r="D297" s="3" t="s">
        <v>311</v>
      </c>
      <c r="E297" s="3" t="s">
        <v>445</v>
      </c>
    </row>
    <row r="298" spans="4:5" x14ac:dyDescent="0.25">
      <c r="D298" s="3" t="s">
        <v>130</v>
      </c>
      <c r="E298" s="3" t="s">
        <v>448</v>
      </c>
    </row>
    <row r="299" spans="4:5" x14ac:dyDescent="0.25">
      <c r="D299" s="3" t="s">
        <v>98</v>
      </c>
      <c r="E299" s="3" t="s">
        <v>446</v>
      </c>
    </row>
    <row r="300" spans="4:5" x14ac:dyDescent="0.25">
      <c r="D300" s="3" t="s">
        <v>425</v>
      </c>
      <c r="E300" s="3" t="s">
        <v>447</v>
      </c>
    </row>
    <row r="301" spans="4:5" x14ac:dyDescent="0.25">
      <c r="D301" s="3" t="s">
        <v>255</v>
      </c>
      <c r="E301" s="3" t="s">
        <v>446</v>
      </c>
    </row>
    <row r="302" spans="4:5" x14ac:dyDescent="0.25">
      <c r="D302" s="3" t="s">
        <v>292</v>
      </c>
      <c r="E302" s="3" t="s">
        <v>449</v>
      </c>
    </row>
    <row r="303" spans="4:5" x14ac:dyDescent="0.25">
      <c r="D303" s="3" t="s">
        <v>121</v>
      </c>
      <c r="E303" s="3" t="s">
        <v>447</v>
      </c>
    </row>
    <row r="304" spans="4:5" x14ac:dyDescent="0.25">
      <c r="D304" s="3" t="s">
        <v>140</v>
      </c>
      <c r="E304" s="3" t="s">
        <v>448</v>
      </c>
    </row>
    <row r="305" spans="4:5" x14ac:dyDescent="0.25">
      <c r="D305" s="3" t="s">
        <v>148</v>
      </c>
      <c r="E305" s="3" t="s">
        <v>449</v>
      </c>
    </row>
    <row r="306" spans="4:5" x14ac:dyDescent="0.25">
      <c r="D306" s="3" t="s">
        <v>12</v>
      </c>
      <c r="E306" s="3" t="s">
        <v>448</v>
      </c>
    </row>
    <row r="307" spans="4:5" x14ac:dyDescent="0.25">
      <c r="D307" s="3" t="s">
        <v>151</v>
      </c>
      <c r="E307" s="3" t="s">
        <v>446</v>
      </c>
    </row>
    <row r="308" spans="4:5" x14ac:dyDescent="0.25">
      <c r="D308" s="3" t="s">
        <v>5</v>
      </c>
      <c r="E308" s="3" t="s">
        <v>445</v>
      </c>
    </row>
    <row r="309" spans="4:5" x14ac:dyDescent="0.25">
      <c r="D309" s="3" t="s">
        <v>296</v>
      </c>
      <c r="E309" s="3" t="s">
        <v>450</v>
      </c>
    </row>
    <row r="310" spans="4:5" x14ac:dyDescent="0.25">
      <c r="D310" s="3" t="s">
        <v>49</v>
      </c>
      <c r="E310" s="3" t="s">
        <v>445</v>
      </c>
    </row>
    <row r="311" spans="4:5" x14ac:dyDescent="0.25">
      <c r="D311" s="3" t="s">
        <v>335</v>
      </c>
      <c r="E311" s="3" t="s">
        <v>451</v>
      </c>
    </row>
    <row r="312" spans="4:5" x14ac:dyDescent="0.25">
      <c r="D312" s="3" t="s">
        <v>225</v>
      </c>
      <c r="E312" s="3" t="s">
        <v>448</v>
      </c>
    </row>
    <row r="313" spans="4:5" x14ac:dyDescent="0.25">
      <c r="D313" s="3" t="s">
        <v>160</v>
      </c>
      <c r="E313" s="3" t="s">
        <v>449</v>
      </c>
    </row>
    <row r="314" spans="4:5" x14ac:dyDescent="0.25">
      <c r="D314" s="3" t="s">
        <v>178</v>
      </c>
      <c r="E314" s="3" t="s">
        <v>451</v>
      </c>
    </row>
    <row r="315" spans="4:5" x14ac:dyDescent="0.25">
      <c r="D315" s="3" t="s">
        <v>287</v>
      </c>
      <c r="E315" s="3" t="s">
        <v>449</v>
      </c>
    </row>
    <row r="316" spans="4:5" x14ac:dyDescent="0.25">
      <c r="D316" s="3" t="s">
        <v>186</v>
      </c>
      <c r="E316" s="3" t="s">
        <v>450</v>
      </c>
    </row>
    <row r="317" spans="4:5" x14ac:dyDescent="0.25">
      <c r="D317" s="3" t="s">
        <v>198</v>
      </c>
      <c r="E317" s="3" t="s">
        <v>446</v>
      </c>
    </row>
    <row r="318" spans="4:5" x14ac:dyDescent="0.25">
      <c r="D318" s="3" t="s">
        <v>227</v>
      </c>
      <c r="E318" s="3" t="s">
        <v>439</v>
      </c>
    </row>
    <row r="319" spans="4:5" x14ac:dyDescent="0.25">
      <c r="D319" s="3" t="s">
        <v>295</v>
      </c>
      <c r="E319" s="3" t="s">
        <v>449</v>
      </c>
    </row>
    <row r="320" spans="4:5" x14ac:dyDescent="0.25">
      <c r="D320" s="3" t="s">
        <v>65</v>
      </c>
      <c r="E320" s="3" t="s">
        <v>448</v>
      </c>
    </row>
    <row r="321" spans="4:5" x14ac:dyDescent="0.25">
      <c r="D321" s="3" t="s">
        <v>69</v>
      </c>
      <c r="E321" s="3" t="s">
        <v>447</v>
      </c>
    </row>
    <row r="322" spans="4:5" x14ac:dyDescent="0.25">
      <c r="D322" s="3" t="s">
        <v>336</v>
      </c>
      <c r="E322" s="3" t="s">
        <v>447</v>
      </c>
    </row>
    <row r="323" spans="4:5" x14ac:dyDescent="0.25">
      <c r="D323" s="3" t="s">
        <v>240</v>
      </c>
      <c r="E323" s="3" t="s">
        <v>450</v>
      </c>
    </row>
    <row r="324" spans="4:5" x14ac:dyDescent="0.25">
      <c r="D324" s="3" t="s">
        <v>48</v>
      </c>
      <c r="E324" s="3" t="s">
        <v>451</v>
      </c>
    </row>
    <row r="325" spans="4:5" x14ac:dyDescent="0.25">
      <c r="D325" s="3" t="s">
        <v>180</v>
      </c>
      <c r="E325" s="3" t="s">
        <v>445</v>
      </c>
    </row>
    <row r="326" spans="4:5" x14ac:dyDescent="0.25">
      <c r="D326" s="3" t="s">
        <v>343</v>
      </c>
      <c r="E326" s="3" t="s">
        <v>451</v>
      </c>
    </row>
    <row r="327" spans="4:5" x14ac:dyDescent="0.25">
      <c r="D327" s="3" t="s">
        <v>280</v>
      </c>
      <c r="E327" s="3" t="s">
        <v>445</v>
      </c>
    </row>
    <row r="328" spans="4:5" x14ac:dyDescent="0.25">
      <c r="D328" s="3" t="s">
        <v>14</v>
      </c>
      <c r="E328" s="3" t="s">
        <v>450</v>
      </c>
    </row>
    <row r="329" spans="4:5" x14ac:dyDescent="0.25">
      <c r="D329" s="3" t="s">
        <v>284</v>
      </c>
      <c r="E329" s="3" t="s">
        <v>439</v>
      </c>
    </row>
    <row r="330" spans="4:5" x14ac:dyDescent="0.25">
      <c r="D330" s="3" t="s">
        <v>114</v>
      </c>
      <c r="E330" s="3" t="s">
        <v>448</v>
      </c>
    </row>
    <row r="331" spans="4:5" x14ac:dyDescent="0.25">
      <c r="D331" s="3" t="s">
        <v>50</v>
      </c>
      <c r="E331" s="3" t="s">
        <v>446</v>
      </c>
    </row>
    <row r="332" spans="4:5" x14ac:dyDescent="0.25">
      <c r="D332" s="3" t="s">
        <v>282</v>
      </c>
      <c r="E332" s="3" t="s">
        <v>448</v>
      </c>
    </row>
    <row r="333" spans="4:5" x14ac:dyDescent="0.25">
      <c r="D333" s="3" t="s">
        <v>290</v>
      </c>
      <c r="E333" s="3" t="s">
        <v>449</v>
      </c>
    </row>
    <row r="334" spans="4:5" x14ac:dyDescent="0.25">
      <c r="D334" s="3" t="s">
        <v>312</v>
      </c>
      <c r="E334" s="3" t="s">
        <v>446</v>
      </c>
    </row>
    <row r="335" spans="4:5" x14ac:dyDescent="0.25">
      <c r="D335" s="3" t="s">
        <v>366</v>
      </c>
      <c r="E335" s="3" t="s">
        <v>446</v>
      </c>
    </row>
    <row r="336" spans="4:5" x14ac:dyDescent="0.25">
      <c r="D336" s="3" t="s">
        <v>166</v>
      </c>
      <c r="E336" s="3" t="s">
        <v>439</v>
      </c>
    </row>
    <row r="337" spans="4:5" x14ac:dyDescent="0.25">
      <c r="D337" s="3" t="s">
        <v>233</v>
      </c>
      <c r="E337" s="3" t="s">
        <v>446</v>
      </c>
    </row>
    <row r="338" spans="4:5" x14ac:dyDescent="0.25">
      <c r="D338" s="3" t="s">
        <v>232</v>
      </c>
      <c r="E338" s="3" t="s">
        <v>446</v>
      </c>
    </row>
    <row r="339" spans="4:5" x14ac:dyDescent="0.25">
      <c r="D339" s="3" t="s">
        <v>117</v>
      </c>
      <c r="E339" s="3" t="s">
        <v>445</v>
      </c>
    </row>
    <row r="340" spans="4:5" x14ac:dyDescent="0.25">
      <c r="D340" s="3" t="s">
        <v>369</v>
      </c>
      <c r="E340" s="3" t="s">
        <v>447</v>
      </c>
    </row>
    <row r="341" spans="4:5" x14ac:dyDescent="0.25">
      <c r="D341" s="3" t="s">
        <v>172</v>
      </c>
      <c r="E341" s="3" t="s">
        <v>450</v>
      </c>
    </row>
    <row r="342" spans="4:5" x14ac:dyDescent="0.25">
      <c r="D342" s="3" t="s">
        <v>53</v>
      </c>
      <c r="E342" s="3" t="s">
        <v>439</v>
      </c>
    </row>
    <row r="343" spans="4:5" x14ac:dyDescent="0.25">
      <c r="D343" s="3" t="s">
        <v>181</v>
      </c>
      <c r="E343" s="3" t="s">
        <v>449</v>
      </c>
    </row>
    <row r="344" spans="4:5" x14ac:dyDescent="0.25">
      <c r="D344" s="3" t="s">
        <v>390</v>
      </c>
      <c r="E344" s="3" t="s">
        <v>450</v>
      </c>
    </row>
    <row r="345" spans="4:5" x14ac:dyDescent="0.25">
      <c r="D345" s="3" t="s">
        <v>109</v>
      </c>
      <c r="E345" s="3" t="s">
        <v>447</v>
      </c>
    </row>
  </sheetData>
  <pageMargins left="0.7" right="0.7" top="0.75" bottom="0.75" header="0.3" footer="0.3"/>
  <pageSetup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C0927-9305-4CAA-88B0-3C80AF41D15A}">
  <dimension ref="A1:N14"/>
  <sheetViews>
    <sheetView workbookViewId="0">
      <selection activeCell="D32" sqref="D32"/>
    </sheetView>
  </sheetViews>
  <sheetFormatPr defaultRowHeight="15" x14ac:dyDescent="0.25"/>
  <cols>
    <col min="1" max="1" width="21.5" customWidth="1"/>
    <col min="2" max="2" width="15" customWidth="1"/>
    <col min="3" max="3" width="14.75" customWidth="1"/>
    <col min="4" max="4" width="14.5" customWidth="1"/>
    <col min="5" max="5" width="4.375" customWidth="1"/>
    <col min="6" max="6" width="30.625" customWidth="1"/>
    <col min="7" max="7" width="15" customWidth="1"/>
    <col min="8" max="8" width="14.75" customWidth="1"/>
    <col min="9" max="9" width="14.5" customWidth="1"/>
    <col min="10" max="10" width="3.625" customWidth="1"/>
    <col min="11" max="11" width="13" customWidth="1"/>
    <col min="12" max="12" width="17.75" customWidth="1"/>
    <col min="13" max="13" width="11" customWidth="1"/>
    <col min="14" max="14" width="9.75" customWidth="1"/>
  </cols>
  <sheetData>
    <row r="1" spans="1:14" x14ac:dyDescent="0.25">
      <c r="A1" s="7" t="s">
        <v>456</v>
      </c>
      <c r="B1" t="s">
        <v>468</v>
      </c>
      <c r="F1" s="7" t="s">
        <v>456</v>
      </c>
      <c r="G1" t="s">
        <v>468</v>
      </c>
      <c r="K1" s="7" t="s">
        <v>456</v>
      </c>
      <c r="L1" t="s">
        <v>469</v>
      </c>
    </row>
    <row r="3" spans="1:14" x14ac:dyDescent="0.25">
      <c r="A3" s="7" t="s">
        <v>467</v>
      </c>
      <c r="B3" t="s">
        <v>461</v>
      </c>
      <c r="C3" t="s">
        <v>464</v>
      </c>
      <c r="D3" t="s">
        <v>465</v>
      </c>
      <c r="F3" s="7" t="s">
        <v>466</v>
      </c>
      <c r="G3" t="s">
        <v>461</v>
      </c>
      <c r="H3" t="s">
        <v>464</v>
      </c>
      <c r="I3" t="s">
        <v>465</v>
      </c>
      <c r="K3" s="7" t="s">
        <v>460</v>
      </c>
      <c r="L3" t="s">
        <v>470</v>
      </c>
      <c r="M3" t="s">
        <v>471</v>
      </c>
      <c r="N3" t="s">
        <v>472</v>
      </c>
    </row>
    <row r="4" spans="1:14" x14ac:dyDescent="0.25">
      <c r="A4" s="8" t="s">
        <v>252</v>
      </c>
      <c r="B4" s="10">
        <v>155040</v>
      </c>
      <c r="C4" s="10">
        <v>2770.0899999999965</v>
      </c>
      <c r="D4" s="11">
        <v>1.786693756449946E-2</v>
      </c>
      <c r="F4" s="8" t="s">
        <v>236</v>
      </c>
      <c r="G4" s="10">
        <v>57518.96</v>
      </c>
      <c r="H4" s="10">
        <v>31810.33</v>
      </c>
      <c r="I4" s="11">
        <v>0.55304077125177509</v>
      </c>
      <c r="K4" s="8" t="s">
        <v>441</v>
      </c>
      <c r="L4" s="10">
        <v>233798.49</v>
      </c>
      <c r="M4" s="10">
        <v>96111.030000000086</v>
      </c>
      <c r="N4" s="11">
        <v>0.41108490478274728</v>
      </c>
    </row>
    <row r="5" spans="1:14" x14ac:dyDescent="0.25">
      <c r="A5" s="8" t="s">
        <v>49</v>
      </c>
      <c r="B5" s="10">
        <v>144150.96000000002</v>
      </c>
      <c r="C5" s="10">
        <v>49779.320000000022</v>
      </c>
      <c r="D5" s="11">
        <v>0.34532770367953164</v>
      </c>
      <c r="F5" s="8" t="s">
        <v>97</v>
      </c>
      <c r="G5" s="10">
        <v>268565.8</v>
      </c>
      <c r="H5" s="10">
        <v>144703.24</v>
      </c>
      <c r="I5" s="11">
        <v>0.53879995144579096</v>
      </c>
      <c r="K5" s="8" t="s">
        <v>438</v>
      </c>
      <c r="L5" s="10">
        <v>204468.85000000006</v>
      </c>
      <c r="M5" s="10">
        <v>108654.40000000008</v>
      </c>
      <c r="N5" s="11">
        <v>0.53139830345795969</v>
      </c>
    </row>
    <row r="6" spans="1:14" x14ac:dyDescent="0.25">
      <c r="A6" s="8" t="s">
        <v>75</v>
      </c>
      <c r="B6" s="10">
        <v>103506.08</v>
      </c>
      <c r="C6" s="10">
        <v>66968.62</v>
      </c>
      <c r="D6" s="11">
        <v>0.6470017993145909</v>
      </c>
      <c r="F6" s="8" t="s">
        <v>239</v>
      </c>
      <c r="G6" s="10">
        <v>80292.55</v>
      </c>
      <c r="H6" s="10">
        <v>35421.129999999968</v>
      </c>
      <c r="I6" s="11">
        <v>0.44115089133425167</v>
      </c>
      <c r="K6" s="8" t="s">
        <v>443</v>
      </c>
      <c r="L6" s="10">
        <v>160864.46999999997</v>
      </c>
      <c r="M6" s="9">
        <v>71543.670000000013</v>
      </c>
      <c r="N6" s="11">
        <v>0.44474500801824063</v>
      </c>
    </row>
    <row r="7" spans="1:14" x14ac:dyDescent="0.25">
      <c r="A7" s="8" t="s">
        <v>47</v>
      </c>
      <c r="B7" s="10">
        <v>82995.5</v>
      </c>
      <c r="C7" s="10">
        <v>28283.07</v>
      </c>
      <c r="D7" s="11">
        <v>0.3407783554530065</v>
      </c>
      <c r="F7" s="8" t="s">
        <v>193</v>
      </c>
      <c r="G7" s="10">
        <v>102995.76</v>
      </c>
      <c r="H7" s="10">
        <v>48792.909999999982</v>
      </c>
      <c r="I7" s="11">
        <v>0.47373707422519123</v>
      </c>
      <c r="K7" s="8" t="s">
        <v>440</v>
      </c>
      <c r="L7" s="10">
        <v>111986.98999999998</v>
      </c>
      <c r="M7" s="9">
        <v>55407.600000000028</v>
      </c>
      <c r="N7" s="11">
        <v>0.49476818691171215</v>
      </c>
    </row>
    <row r="8" spans="1:14" x14ac:dyDescent="0.25">
      <c r="A8" s="8" t="s">
        <v>125</v>
      </c>
      <c r="B8" s="10">
        <v>72564</v>
      </c>
      <c r="C8" s="10">
        <v>19359.18</v>
      </c>
      <c r="D8" s="11">
        <v>0.26678766330411774</v>
      </c>
      <c r="F8" s="8" t="s">
        <v>132</v>
      </c>
      <c r="G8" s="10">
        <v>47453.1</v>
      </c>
      <c r="H8" s="10">
        <v>28816.749999999996</v>
      </c>
      <c r="I8" s="11">
        <v>0.60726801831703292</v>
      </c>
      <c r="K8" s="8" t="s">
        <v>444</v>
      </c>
      <c r="L8" s="10">
        <v>94878.99</v>
      </c>
      <c r="M8" s="10">
        <v>48404.390000000029</v>
      </c>
      <c r="N8" s="11">
        <v>0.51016974358601441</v>
      </c>
    </row>
    <row r="9" spans="1:14" x14ac:dyDescent="0.25">
      <c r="A9" s="8" t="s">
        <v>462</v>
      </c>
      <c r="B9" s="10">
        <v>558256.54</v>
      </c>
      <c r="C9" s="9">
        <v>167160.28000000003</v>
      </c>
      <c r="D9" s="9">
        <v>0.29943273033577006</v>
      </c>
      <c r="F9" s="8" t="s">
        <v>229</v>
      </c>
      <c r="G9" s="10">
        <v>39543.4</v>
      </c>
      <c r="H9" s="10">
        <v>23545.380000000005</v>
      </c>
      <c r="I9" s="11">
        <v>0.59543134884708959</v>
      </c>
      <c r="K9" s="8" t="s">
        <v>442</v>
      </c>
      <c r="L9" s="10">
        <v>90142.870000000024</v>
      </c>
      <c r="M9" s="9">
        <v>44999.969999999979</v>
      </c>
      <c r="N9" s="11">
        <v>0.49920720296569177</v>
      </c>
    </row>
    <row r="10" spans="1:14" x14ac:dyDescent="0.25">
      <c r="F10" s="8" t="s">
        <v>250</v>
      </c>
      <c r="G10" s="10">
        <v>353024.02999999991</v>
      </c>
      <c r="H10" s="10">
        <v>105313.49999999974</v>
      </c>
      <c r="I10" s="11">
        <v>0.29831821930082142</v>
      </c>
      <c r="K10" s="8" t="s">
        <v>462</v>
      </c>
      <c r="L10" s="10">
        <v>896140.66</v>
      </c>
      <c r="M10" s="9">
        <v>425121.06000000075</v>
      </c>
      <c r="N10" s="11">
        <v>0.47439099571712379</v>
      </c>
    </row>
    <row r="11" spans="1:14" x14ac:dyDescent="0.25">
      <c r="F11" s="8" t="s">
        <v>199</v>
      </c>
      <c r="G11" s="10">
        <v>42328.12</v>
      </c>
      <c r="H11" s="10">
        <v>21316.810000000009</v>
      </c>
      <c r="I11" s="11">
        <v>0.50360871212801339</v>
      </c>
    </row>
    <row r="12" spans="1:14" x14ac:dyDescent="0.25">
      <c r="F12" s="8" t="s">
        <v>152</v>
      </c>
      <c r="G12" s="10">
        <v>218826.78</v>
      </c>
      <c r="H12" s="10">
        <v>84372.839999999967</v>
      </c>
      <c r="I12" s="11">
        <v>0.38556907888513448</v>
      </c>
    </row>
    <row r="13" spans="1:14" x14ac:dyDescent="0.25">
      <c r="F13" s="8" t="s">
        <v>263</v>
      </c>
      <c r="G13" s="10">
        <v>88089.98</v>
      </c>
      <c r="H13" s="10">
        <v>35324.94</v>
      </c>
      <c r="I13" s="11">
        <v>0.40100974026784891</v>
      </c>
    </row>
    <row r="14" spans="1:14" x14ac:dyDescent="0.25">
      <c r="F14" s="8" t="s">
        <v>462</v>
      </c>
      <c r="G14" s="10">
        <v>1298638.48</v>
      </c>
      <c r="H14" s="10">
        <v>559417.83000000089</v>
      </c>
      <c r="I14" s="11">
        <v>0.43077256574131445</v>
      </c>
    </row>
  </sheetData>
  <conditionalFormatting pivot="1" sqref="G4:G13">
    <cfRule type="dataBar" priority="31">
      <dataBar>
        <cfvo type="min"/>
        <cfvo type="max"/>
        <color rgb="FF638EC6"/>
      </dataBar>
      <extLst>
        <ext xmlns:x14="http://schemas.microsoft.com/office/spreadsheetml/2009/9/main" uri="{B025F937-C7B1-47D3-B67F-A62EFF666E3E}">
          <x14:id>{78E19D1E-A33A-4533-8378-40673D23310D}</x14:id>
        </ext>
      </extLst>
    </cfRule>
  </conditionalFormatting>
  <conditionalFormatting pivot="1" sqref="H4:H13">
    <cfRule type="colorScale" priority="30">
      <colorScale>
        <cfvo type="min"/>
        <cfvo type="max"/>
        <color rgb="FFFCFCFF"/>
        <color rgb="FF63BE7B"/>
      </colorScale>
    </cfRule>
  </conditionalFormatting>
  <conditionalFormatting pivot="1" sqref="I4:I13">
    <cfRule type="colorScale" priority="29">
      <colorScale>
        <cfvo type="min"/>
        <cfvo type="max"/>
        <color rgb="FFFCFCFF"/>
        <color rgb="FF63BE7B"/>
      </colorScale>
    </cfRule>
  </conditionalFormatting>
  <conditionalFormatting pivot="1" sqref="B4:B8">
    <cfRule type="dataBar" priority="28">
      <dataBar>
        <cfvo type="min"/>
        <cfvo type="max"/>
        <color rgb="FF638EC6"/>
      </dataBar>
      <extLst>
        <ext xmlns:x14="http://schemas.microsoft.com/office/spreadsheetml/2009/9/main" uri="{B025F937-C7B1-47D3-B67F-A62EFF666E3E}">
          <x14:id>{B0CA8705-B4B1-4052-AF90-B854FF56EED3}</x14:id>
        </ext>
      </extLst>
    </cfRule>
  </conditionalFormatting>
  <conditionalFormatting pivot="1" sqref="C4:C8">
    <cfRule type="colorScale" priority="27">
      <colorScale>
        <cfvo type="min"/>
        <cfvo type="max"/>
        <color rgb="FFFCFCFF"/>
        <color rgb="FF63BE7B"/>
      </colorScale>
    </cfRule>
  </conditionalFormatting>
  <conditionalFormatting pivot="1" sqref="D4:D8">
    <cfRule type="colorScale" priority="26">
      <colorScale>
        <cfvo type="min"/>
        <cfvo type="max"/>
        <color rgb="FFFCFCFF"/>
        <color rgb="FF63BE7B"/>
      </colorScale>
    </cfRule>
  </conditionalFormatting>
  <conditionalFormatting pivot="1" sqref="L8">
    <cfRule type="dataBar" priority="8">
      <dataBar>
        <cfvo type="min"/>
        <cfvo type="max"/>
        <color rgb="FF638EC6"/>
      </dataBar>
      <extLst>
        <ext xmlns:x14="http://schemas.microsoft.com/office/spreadsheetml/2009/9/main" uri="{B025F937-C7B1-47D3-B67F-A62EFF666E3E}">
          <x14:id>{C275F4E5-4332-4CC1-BEA9-1F2E4829EE9B}</x14:id>
        </ext>
      </extLst>
    </cfRule>
  </conditionalFormatting>
  <conditionalFormatting pivot="1" sqref="L4:L7 L9">
    <cfRule type="dataBar" priority="7">
      <dataBar>
        <cfvo type="min"/>
        <cfvo type="max"/>
        <color rgb="FF638EC6"/>
      </dataBar>
      <extLst>
        <ext xmlns:x14="http://schemas.microsoft.com/office/spreadsheetml/2009/9/main" uri="{B025F937-C7B1-47D3-B67F-A62EFF666E3E}">
          <x14:id>{7352B3BD-2CD5-4067-9292-8B91D7BFF38B}</x14:id>
        </ext>
      </extLst>
    </cfRule>
  </conditionalFormatting>
  <conditionalFormatting pivot="1" sqref="M8">
    <cfRule type="colorScale" priority="4">
      <colorScale>
        <cfvo type="min"/>
        <cfvo type="max"/>
        <color rgb="FFFCFCFF"/>
        <color rgb="FF63BE7B"/>
      </colorScale>
    </cfRule>
  </conditionalFormatting>
  <conditionalFormatting pivot="1" sqref="M4:M7 M9">
    <cfRule type="colorScale" priority="3">
      <colorScale>
        <cfvo type="min"/>
        <cfvo type="max"/>
        <color rgb="FFFCFCFF"/>
        <color rgb="FF63BE7B"/>
      </colorScale>
    </cfRule>
  </conditionalFormatting>
  <conditionalFormatting pivot="1" sqref="N6">
    <cfRule type="colorScale" priority="2">
      <colorScale>
        <cfvo type="min"/>
        <cfvo type="max"/>
        <color rgb="FFFCFCFF"/>
        <color rgb="FF63BE7B"/>
      </colorScale>
    </cfRule>
  </conditionalFormatting>
  <conditionalFormatting pivot="1" sqref="N4:N5 N7:N9">
    <cfRule type="colorScale" priority="1">
      <colorScale>
        <cfvo type="min"/>
        <cfvo type="max"/>
        <color rgb="FFFCFCFF"/>
        <color rgb="FF63BE7B"/>
      </colorScale>
    </cfRule>
  </conditionalFormatting>
  <pageMargins left="0.7" right="0.7" top="0.75" bottom="0.75" header="0.3" footer="0.3"/>
  <drawing r:id="rId4"/>
  <extLst>
    <ext xmlns:x14="http://schemas.microsoft.com/office/spreadsheetml/2009/9/main" uri="{78C0D931-6437-407d-A8EE-F0AAD7539E65}">
      <x14:conditionalFormattings>
        <x14:conditionalFormatting xmlns:xm="http://schemas.microsoft.com/office/excel/2006/main" pivot="1">
          <x14:cfRule type="dataBar" id="{78E19D1E-A33A-4533-8378-40673D23310D}">
            <x14:dataBar minLength="0" maxLength="100" gradient="0">
              <x14:cfvo type="autoMin"/>
              <x14:cfvo type="autoMax"/>
              <x14:negativeFillColor rgb="FFFF0000"/>
              <x14:axisColor rgb="FF000000"/>
            </x14:dataBar>
          </x14:cfRule>
          <xm:sqref>G4:G13</xm:sqref>
        </x14:conditionalFormatting>
        <x14:conditionalFormatting xmlns:xm="http://schemas.microsoft.com/office/excel/2006/main" pivot="1">
          <x14:cfRule type="dataBar" id="{B0CA8705-B4B1-4052-AF90-B854FF56EED3}">
            <x14:dataBar minLength="0" maxLength="100" gradient="0">
              <x14:cfvo type="autoMin"/>
              <x14:cfvo type="autoMax"/>
              <x14:negativeFillColor rgb="FFFF0000"/>
              <x14:axisColor rgb="FF000000"/>
            </x14:dataBar>
          </x14:cfRule>
          <xm:sqref>B4:B8</xm:sqref>
        </x14:conditionalFormatting>
        <x14:conditionalFormatting xmlns:xm="http://schemas.microsoft.com/office/excel/2006/main" pivot="1">
          <x14:cfRule type="dataBar" id="{C275F4E5-4332-4CC1-BEA9-1F2E4829EE9B}">
            <x14:dataBar minLength="0" maxLength="100" gradient="0">
              <x14:cfvo type="autoMin"/>
              <x14:cfvo type="autoMax"/>
              <x14:negativeFillColor rgb="FFFF0000"/>
              <x14:axisColor rgb="FF000000"/>
            </x14:dataBar>
          </x14:cfRule>
          <xm:sqref>L8</xm:sqref>
        </x14:conditionalFormatting>
        <x14:conditionalFormatting xmlns:xm="http://schemas.microsoft.com/office/excel/2006/main" pivot="1">
          <x14:cfRule type="dataBar" id="{7352B3BD-2CD5-4067-9292-8B91D7BFF38B}">
            <x14:dataBar minLength="0" maxLength="100" gradient="0">
              <x14:cfvo type="autoMin"/>
              <x14:cfvo type="autoMax"/>
              <x14:negativeFillColor rgb="FFFF0000"/>
              <x14:axisColor rgb="FF000000"/>
            </x14:dataBar>
          </x14:cfRule>
          <xm:sqref>L4:L7 L9</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804F1-8DF0-4F3E-AABB-8DE761D5D4E5}">
  <dimension ref="A1:H48"/>
  <sheetViews>
    <sheetView workbookViewId="0">
      <selection activeCell="M32" sqref="M32"/>
    </sheetView>
  </sheetViews>
  <sheetFormatPr defaultRowHeight="15" x14ac:dyDescent="0.25"/>
  <cols>
    <col min="1" max="1" width="14.75" customWidth="1"/>
    <col min="2" max="2" width="16.25" customWidth="1"/>
    <col min="3" max="4" width="10" customWidth="1"/>
    <col min="5" max="5" width="9.375" customWidth="1"/>
    <col min="6" max="7" width="10" customWidth="1"/>
    <col min="8" max="8" width="11.25" customWidth="1"/>
  </cols>
  <sheetData>
    <row r="1" spans="1:2" x14ac:dyDescent="0.25">
      <c r="A1" s="7" t="s">
        <v>460</v>
      </c>
      <c r="B1" t="s">
        <v>465</v>
      </c>
    </row>
    <row r="2" spans="1:2" x14ac:dyDescent="0.25">
      <c r="A2" s="12">
        <v>1</v>
      </c>
      <c r="B2" s="11">
        <v>0.49443549872652315</v>
      </c>
    </row>
    <row r="3" spans="1:2" x14ac:dyDescent="0.25">
      <c r="A3" s="12">
        <v>2</v>
      </c>
      <c r="B3" s="11">
        <v>0.4557348753142233</v>
      </c>
    </row>
    <row r="4" spans="1:2" x14ac:dyDescent="0.25">
      <c r="A4" s="12">
        <v>3</v>
      </c>
      <c r="B4" s="11">
        <v>0.46707539250261976</v>
      </c>
    </row>
    <row r="5" spans="1:2" x14ac:dyDescent="0.25">
      <c r="A5" s="12">
        <v>4</v>
      </c>
      <c r="B5" s="11">
        <v>0.45409393907762774</v>
      </c>
    </row>
    <row r="6" spans="1:2" x14ac:dyDescent="0.25">
      <c r="A6" s="12">
        <v>5</v>
      </c>
      <c r="B6" s="11">
        <v>0.46176854524775568</v>
      </c>
    </row>
    <row r="7" spans="1:2" x14ac:dyDescent="0.25">
      <c r="A7" s="12">
        <v>6</v>
      </c>
      <c r="B7" s="11">
        <v>0.44950857615243955</v>
      </c>
    </row>
    <row r="8" spans="1:2" x14ac:dyDescent="0.25">
      <c r="A8" s="12" t="s">
        <v>462</v>
      </c>
      <c r="B8" s="11">
        <v>0.46492798284728132</v>
      </c>
    </row>
    <row r="18" spans="1:2" x14ac:dyDescent="0.25">
      <c r="A18" s="7" t="s">
        <v>460</v>
      </c>
      <c r="B18" t="s">
        <v>461</v>
      </c>
    </row>
    <row r="19" spans="1:2" x14ac:dyDescent="0.25">
      <c r="A19" s="12">
        <v>1</v>
      </c>
      <c r="B19" s="10">
        <v>342491.60999999975</v>
      </c>
    </row>
    <row r="20" spans="1:2" x14ac:dyDescent="0.25">
      <c r="A20" s="12">
        <v>2</v>
      </c>
      <c r="B20" s="10">
        <v>248207.13999999993</v>
      </c>
    </row>
    <row r="21" spans="1:2" x14ac:dyDescent="0.25">
      <c r="A21" s="12">
        <v>3</v>
      </c>
      <c r="B21" s="10">
        <v>305441.90999999986</v>
      </c>
    </row>
    <row r="22" spans="1:2" x14ac:dyDescent="0.25">
      <c r="A22" s="12">
        <v>4</v>
      </c>
      <c r="B22" s="10">
        <v>275619.27000000008</v>
      </c>
    </row>
    <row r="23" spans="1:2" x14ac:dyDescent="0.25">
      <c r="A23" s="12">
        <v>5</v>
      </c>
      <c r="B23" s="10">
        <v>323490.96000000008</v>
      </c>
    </row>
    <row r="24" spans="1:2" x14ac:dyDescent="0.25">
      <c r="A24" s="12">
        <v>6</v>
      </c>
      <c r="B24" s="10">
        <v>290028.6599999998</v>
      </c>
    </row>
    <row r="25" spans="1:2" x14ac:dyDescent="0.25">
      <c r="A25" s="12" t="s">
        <v>462</v>
      </c>
      <c r="B25" s="10">
        <v>1785279.5499999993</v>
      </c>
    </row>
    <row r="40" spans="1:8" x14ac:dyDescent="0.25">
      <c r="A40" s="7" t="s">
        <v>464</v>
      </c>
      <c r="B40" s="7" t="s">
        <v>463</v>
      </c>
    </row>
    <row r="41" spans="1:8" x14ac:dyDescent="0.25">
      <c r="A41" s="7" t="s">
        <v>460</v>
      </c>
      <c r="B41" t="s">
        <v>444</v>
      </c>
      <c r="C41" t="s">
        <v>438</v>
      </c>
      <c r="D41" t="s">
        <v>441</v>
      </c>
      <c r="E41" t="s">
        <v>442</v>
      </c>
      <c r="F41" t="s">
        <v>440</v>
      </c>
      <c r="G41" t="s">
        <v>443</v>
      </c>
      <c r="H41" t="s">
        <v>462</v>
      </c>
    </row>
    <row r="42" spans="1:8" x14ac:dyDescent="0.25">
      <c r="A42" s="12">
        <v>1</v>
      </c>
      <c r="B42" s="9">
        <v>16255.959999999992</v>
      </c>
      <c r="C42" s="9">
        <v>43313.67</v>
      </c>
      <c r="D42" s="9">
        <v>40774.410000000003</v>
      </c>
      <c r="E42" s="9">
        <v>19312.47</v>
      </c>
      <c r="F42" s="9">
        <v>22519.879999999997</v>
      </c>
      <c r="G42" s="9">
        <v>27163.62000000001</v>
      </c>
      <c r="H42" s="9">
        <v>169340.00999999983</v>
      </c>
    </row>
    <row r="43" spans="1:8" x14ac:dyDescent="0.25">
      <c r="A43" s="12">
        <v>2</v>
      </c>
      <c r="B43" s="9">
        <v>13305.850000000009</v>
      </c>
      <c r="C43" s="9">
        <v>30377</v>
      </c>
      <c r="D43" s="9">
        <v>22032.569999999985</v>
      </c>
      <c r="E43" s="9">
        <v>12309.050000000005</v>
      </c>
      <c r="F43" s="9">
        <v>14044.460000000005</v>
      </c>
      <c r="G43" s="9">
        <v>21047.720000000005</v>
      </c>
      <c r="H43" s="9">
        <v>113116.64999999994</v>
      </c>
    </row>
    <row r="44" spans="1:8" x14ac:dyDescent="0.25">
      <c r="A44" s="12">
        <v>3</v>
      </c>
      <c r="B44" s="9">
        <v>18842.579999999984</v>
      </c>
      <c r="C44" s="9">
        <v>34963.73000000001</v>
      </c>
      <c r="D44" s="9">
        <v>33304.049999999959</v>
      </c>
      <c r="E44" s="9">
        <v>13378.449999999999</v>
      </c>
      <c r="F44" s="9">
        <v>18843.259999999991</v>
      </c>
      <c r="G44" s="9">
        <v>23332.329999999984</v>
      </c>
      <c r="H44" s="9">
        <v>142664.39999999988</v>
      </c>
    </row>
    <row r="45" spans="1:8" x14ac:dyDescent="0.25">
      <c r="A45" s="12">
        <v>4</v>
      </c>
      <c r="B45" s="9">
        <v>12986.630000000003</v>
      </c>
      <c r="C45" s="9">
        <v>34514.380000000005</v>
      </c>
      <c r="D45" s="9">
        <v>22652.32</v>
      </c>
      <c r="E45" s="9">
        <v>13459.140000000001</v>
      </c>
      <c r="F45" s="9">
        <v>15937.530000000002</v>
      </c>
      <c r="G45" s="9">
        <v>25607.040000000001</v>
      </c>
      <c r="H45" s="9">
        <v>125157.0400000001</v>
      </c>
    </row>
    <row r="46" spans="1:8" x14ac:dyDescent="0.25">
      <c r="A46" s="12">
        <v>5</v>
      </c>
      <c r="B46" s="9">
        <v>17009.079999999987</v>
      </c>
      <c r="C46" s="9">
        <v>38858.329999999994</v>
      </c>
      <c r="D46" s="9">
        <v>22079.960000000014</v>
      </c>
      <c r="E46" s="9">
        <v>17559.729999999996</v>
      </c>
      <c r="F46" s="9">
        <v>26154.010000000013</v>
      </c>
      <c r="G46" s="9">
        <v>27716.839999999997</v>
      </c>
      <c r="H46" s="9">
        <v>149377.95000000001</v>
      </c>
    </row>
    <row r="47" spans="1:8" x14ac:dyDescent="0.25">
      <c r="A47" s="12">
        <v>6</v>
      </c>
      <c r="B47" s="9">
        <v>12060.759999999991</v>
      </c>
      <c r="C47" s="9">
        <v>33628.210000000006</v>
      </c>
      <c r="D47" s="9">
        <v>24394.970000000016</v>
      </c>
      <c r="E47" s="9">
        <v>14984.120000000004</v>
      </c>
      <c r="F47" s="9">
        <v>19093.619999999995</v>
      </c>
      <c r="G47" s="9">
        <v>26208.69000000001</v>
      </c>
      <c r="H47" s="9">
        <v>130370.36999999991</v>
      </c>
    </row>
    <row r="48" spans="1:8" x14ac:dyDescent="0.25">
      <c r="A48" s="12" t="s">
        <v>462</v>
      </c>
      <c r="B48" s="9">
        <v>90460.860000000088</v>
      </c>
      <c r="C48" s="9">
        <v>215655.32000000027</v>
      </c>
      <c r="D48" s="9">
        <v>165238.28000000003</v>
      </c>
      <c r="E48" s="9">
        <v>91002.960000000094</v>
      </c>
      <c r="F48" s="9">
        <v>116592.76</v>
      </c>
      <c r="G48" s="9">
        <v>151076.23999999979</v>
      </c>
      <c r="H48" s="9">
        <v>830026.41999999958</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2C895-D9A7-41D7-8583-28BC8D409BD5}">
  <dimension ref="A1:H11"/>
  <sheetViews>
    <sheetView workbookViewId="0">
      <selection activeCell="I31" sqref="I31"/>
    </sheetView>
  </sheetViews>
  <sheetFormatPr defaultRowHeight="15" x14ac:dyDescent="0.25"/>
  <cols>
    <col min="1" max="1" width="15" customWidth="1"/>
    <col min="2" max="2" width="16.25" customWidth="1"/>
    <col min="3" max="7" width="11" customWidth="1"/>
    <col min="8" max="8" width="12.625" customWidth="1"/>
  </cols>
  <sheetData>
    <row r="1" spans="1:8" x14ac:dyDescent="0.25">
      <c r="A1" s="7" t="s">
        <v>461</v>
      </c>
      <c r="B1" s="7" t="s">
        <v>463</v>
      </c>
    </row>
    <row r="2" spans="1:8" x14ac:dyDescent="0.25">
      <c r="A2" s="7" t="s">
        <v>460</v>
      </c>
      <c r="B2" s="13">
        <v>1</v>
      </c>
      <c r="C2" s="13">
        <v>2</v>
      </c>
      <c r="D2" s="13">
        <v>3</v>
      </c>
      <c r="E2" s="13">
        <v>4</v>
      </c>
      <c r="F2" s="13">
        <v>5</v>
      </c>
      <c r="G2" s="13">
        <v>6</v>
      </c>
      <c r="H2" s="13" t="s">
        <v>462</v>
      </c>
    </row>
    <row r="3" spans="1:8" x14ac:dyDescent="0.25">
      <c r="A3" s="8" t="s">
        <v>450</v>
      </c>
      <c r="B3" s="10">
        <v>35716.679999999993</v>
      </c>
      <c r="C3" s="10">
        <v>20577.040000000005</v>
      </c>
      <c r="D3" s="10">
        <v>20375.880000000008</v>
      </c>
      <c r="E3" s="10">
        <v>22680.800000000003</v>
      </c>
      <c r="F3" s="10">
        <v>21235.690000000002</v>
      </c>
      <c r="G3" s="10">
        <v>18937.48</v>
      </c>
      <c r="H3" s="10">
        <v>139523.57</v>
      </c>
    </row>
    <row r="4" spans="1:8" x14ac:dyDescent="0.25">
      <c r="A4" s="8" t="s">
        <v>448</v>
      </c>
      <c r="B4" s="10">
        <v>35228.509999999995</v>
      </c>
      <c r="C4" s="10">
        <v>27087.699999999997</v>
      </c>
      <c r="D4" s="10">
        <v>29660.57</v>
      </c>
      <c r="E4" s="10">
        <v>29958.54</v>
      </c>
      <c r="F4" s="10">
        <v>33966.5</v>
      </c>
      <c r="G4" s="10">
        <v>25276.7</v>
      </c>
      <c r="H4" s="10">
        <v>181178.52000000002</v>
      </c>
    </row>
    <row r="5" spans="1:8" x14ac:dyDescent="0.25">
      <c r="A5" s="8" t="s">
        <v>446</v>
      </c>
      <c r="B5" s="10">
        <v>22442.139999999996</v>
      </c>
      <c r="C5" s="10">
        <v>28637.389999999996</v>
      </c>
      <c r="D5" s="10">
        <v>36341.149999999987</v>
      </c>
      <c r="E5" s="10">
        <v>32282.529999999995</v>
      </c>
      <c r="F5" s="10">
        <v>37841.119999999995</v>
      </c>
      <c r="G5" s="10">
        <v>36292.839999999997</v>
      </c>
      <c r="H5" s="10">
        <v>193837.16999999995</v>
      </c>
    </row>
    <row r="6" spans="1:8" x14ac:dyDescent="0.25">
      <c r="A6" s="8" t="s">
        <v>451</v>
      </c>
      <c r="B6" s="10">
        <v>103947.40999999997</v>
      </c>
      <c r="C6" s="10">
        <v>17671.869999999995</v>
      </c>
      <c r="D6" s="10">
        <v>21942.599999999991</v>
      </c>
      <c r="E6" s="10">
        <v>20369.379999999997</v>
      </c>
      <c r="F6" s="10">
        <v>19159.860000000004</v>
      </c>
      <c r="G6" s="10">
        <v>15304.909999999996</v>
      </c>
      <c r="H6" s="10">
        <v>198396.02999999997</v>
      </c>
    </row>
    <row r="7" spans="1:8" x14ac:dyDescent="0.25">
      <c r="A7" s="8" t="s">
        <v>447</v>
      </c>
      <c r="B7" s="10">
        <v>28760.919999999991</v>
      </c>
      <c r="C7" s="10">
        <v>26241.759999999991</v>
      </c>
      <c r="D7" s="10">
        <v>53916.17</v>
      </c>
      <c r="E7" s="10">
        <v>30432.77</v>
      </c>
      <c r="F7" s="10">
        <v>35599.71</v>
      </c>
      <c r="G7" s="10">
        <v>30855.7</v>
      </c>
      <c r="H7" s="10">
        <v>205807.02999999997</v>
      </c>
    </row>
    <row r="8" spans="1:8" x14ac:dyDescent="0.25">
      <c r="A8" s="8" t="s">
        <v>439</v>
      </c>
      <c r="B8" s="10">
        <v>30899.929999999993</v>
      </c>
      <c r="C8" s="10">
        <v>28444.110000000004</v>
      </c>
      <c r="D8" s="10">
        <v>38137.759999999995</v>
      </c>
      <c r="E8" s="10">
        <v>38740.12999999999</v>
      </c>
      <c r="F8" s="10">
        <v>49876.88</v>
      </c>
      <c r="G8" s="10">
        <v>44721.69</v>
      </c>
      <c r="H8" s="10">
        <v>230820.5</v>
      </c>
    </row>
    <row r="9" spans="1:8" x14ac:dyDescent="0.25">
      <c r="A9" s="8" t="s">
        <v>445</v>
      </c>
      <c r="B9" s="10">
        <v>49953.47</v>
      </c>
      <c r="C9" s="10">
        <v>41396.53</v>
      </c>
      <c r="D9" s="10">
        <v>43727.7</v>
      </c>
      <c r="E9" s="10">
        <v>40905.020000000004</v>
      </c>
      <c r="F9" s="10">
        <v>53204.329999999994</v>
      </c>
      <c r="G9" s="10">
        <v>48474.719999999994</v>
      </c>
      <c r="H9" s="10">
        <v>277661.77</v>
      </c>
    </row>
    <row r="10" spans="1:8" x14ac:dyDescent="0.25">
      <c r="A10" s="8" t="s">
        <v>449</v>
      </c>
      <c r="B10" s="10">
        <v>35542.549999999996</v>
      </c>
      <c r="C10" s="10">
        <v>58150.74</v>
      </c>
      <c r="D10" s="10">
        <v>61340.080000000009</v>
      </c>
      <c r="E10" s="10">
        <v>60250.099999999991</v>
      </c>
      <c r="F10" s="10">
        <v>72606.87000000001</v>
      </c>
      <c r="G10" s="10">
        <v>70164.62</v>
      </c>
      <c r="H10" s="10">
        <v>358054.95999999996</v>
      </c>
    </row>
    <row r="11" spans="1:8" x14ac:dyDescent="0.25">
      <c r="A11" s="8" t="s">
        <v>462</v>
      </c>
      <c r="B11" s="10">
        <v>342491.60999999993</v>
      </c>
      <c r="C11" s="10">
        <v>248207.13999999996</v>
      </c>
      <c r="D11" s="10">
        <v>305441.90999999997</v>
      </c>
      <c r="E11" s="10">
        <v>275619.26999999996</v>
      </c>
      <c r="F11" s="10">
        <v>323490.96000000002</v>
      </c>
      <c r="G11" s="10">
        <v>290028.65999999997</v>
      </c>
      <c r="H11" s="10">
        <v>1785279.55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F09963-934D-4C47-8D34-92D38A7030F4}">
  <dimension ref="A1:B50"/>
  <sheetViews>
    <sheetView topLeftCell="A16" zoomScaleNormal="100" workbookViewId="0">
      <selection activeCell="B47" sqref="B47"/>
    </sheetView>
  </sheetViews>
  <sheetFormatPr defaultRowHeight="15" x14ac:dyDescent="0.25"/>
  <cols>
    <col min="1" max="1" width="14.25" bestFit="1" customWidth="1"/>
    <col min="2" max="2" width="10.75" bestFit="1" customWidth="1"/>
  </cols>
  <sheetData>
    <row r="1" spans="1:2" x14ac:dyDescent="0.25">
      <c r="A1" s="7" t="s">
        <v>437</v>
      </c>
      <c r="B1" t="s">
        <v>470</v>
      </c>
    </row>
    <row r="2" spans="1:2" x14ac:dyDescent="0.25">
      <c r="A2" s="8" t="s">
        <v>444</v>
      </c>
      <c r="B2" s="9">
        <v>175551.85000000015</v>
      </c>
    </row>
    <row r="3" spans="1:2" x14ac:dyDescent="0.25">
      <c r="A3" s="8" t="s">
        <v>438</v>
      </c>
      <c r="B3" s="9">
        <v>409271.8</v>
      </c>
    </row>
    <row r="4" spans="1:2" x14ac:dyDescent="0.25">
      <c r="A4" s="8" t="s">
        <v>441</v>
      </c>
      <c r="B4" s="9">
        <v>449784.71000000014</v>
      </c>
    </row>
    <row r="5" spans="1:2" x14ac:dyDescent="0.25">
      <c r="A5" s="8" t="s">
        <v>442</v>
      </c>
      <c r="B5" s="9">
        <v>181243.52000000002</v>
      </c>
    </row>
    <row r="6" spans="1:2" x14ac:dyDescent="0.25">
      <c r="A6" s="8" t="s">
        <v>440</v>
      </c>
      <c r="B6" s="9">
        <v>224369.16999999998</v>
      </c>
    </row>
    <row r="7" spans="1:2" x14ac:dyDescent="0.25">
      <c r="A7" s="8" t="s">
        <v>443</v>
      </c>
      <c r="B7" s="9">
        <v>345058.49999999983</v>
      </c>
    </row>
    <row r="8" spans="1:2" x14ac:dyDescent="0.25">
      <c r="A8" s="8" t="s">
        <v>462</v>
      </c>
      <c r="B8" s="9">
        <v>1785279.55</v>
      </c>
    </row>
    <row r="13" spans="1:2" x14ac:dyDescent="0.25">
      <c r="A13" s="7" t="s">
        <v>459</v>
      </c>
      <c r="B13" t="s">
        <v>470</v>
      </c>
    </row>
    <row r="14" spans="1:2" x14ac:dyDescent="0.25">
      <c r="A14" s="8" t="s">
        <v>449</v>
      </c>
      <c r="B14" s="9">
        <v>358054.96000000014</v>
      </c>
    </row>
    <row r="15" spans="1:2" x14ac:dyDescent="0.25">
      <c r="A15" s="8" t="s">
        <v>445</v>
      </c>
      <c r="B15" s="9">
        <v>277661.77000000008</v>
      </c>
    </row>
    <row r="16" spans="1:2" x14ac:dyDescent="0.25">
      <c r="A16" s="8" t="s">
        <v>439</v>
      </c>
      <c r="B16" s="9">
        <v>230820.49999999997</v>
      </c>
    </row>
    <row r="17" spans="1:2" x14ac:dyDescent="0.25">
      <c r="A17" s="8" t="s">
        <v>447</v>
      </c>
      <c r="B17" s="9">
        <v>205807.02999999997</v>
      </c>
    </row>
    <row r="18" spans="1:2" x14ac:dyDescent="0.25">
      <c r="A18" s="8" t="s">
        <v>451</v>
      </c>
      <c r="B18" s="9">
        <v>198396.03</v>
      </c>
    </row>
    <row r="19" spans="1:2" x14ac:dyDescent="0.25">
      <c r="A19" s="8" t="s">
        <v>446</v>
      </c>
      <c r="B19" s="9">
        <v>193837.17000000004</v>
      </c>
    </row>
    <row r="20" spans="1:2" x14ac:dyDescent="0.25">
      <c r="A20" s="8" t="s">
        <v>448</v>
      </c>
      <c r="B20" s="9">
        <v>181178.52000000005</v>
      </c>
    </row>
    <row r="21" spans="1:2" x14ac:dyDescent="0.25">
      <c r="A21" s="8" t="s">
        <v>450</v>
      </c>
      <c r="B21" s="9">
        <v>139523.57</v>
      </c>
    </row>
    <row r="22" spans="1:2" x14ac:dyDescent="0.25">
      <c r="A22" s="8" t="s">
        <v>462</v>
      </c>
      <c r="B22" s="9">
        <v>1785279.5500000003</v>
      </c>
    </row>
    <row r="25" spans="1:2" x14ac:dyDescent="0.25">
      <c r="A25" s="14" t="s">
        <v>473</v>
      </c>
      <c r="B25" s="15" t="s">
        <v>470</v>
      </c>
    </row>
    <row r="26" spans="1:2" x14ac:dyDescent="0.25">
      <c r="A26" s="18">
        <v>1</v>
      </c>
      <c r="B26" s="17">
        <v>342491.60999999975</v>
      </c>
    </row>
    <row r="27" spans="1:2" x14ac:dyDescent="0.25">
      <c r="A27" s="18">
        <v>2</v>
      </c>
      <c r="B27" s="17">
        <v>248207.13999999993</v>
      </c>
    </row>
    <row r="28" spans="1:2" x14ac:dyDescent="0.25">
      <c r="A28" s="18">
        <v>3</v>
      </c>
      <c r="B28" s="17">
        <v>305441.90999999986</v>
      </c>
    </row>
    <row r="29" spans="1:2" x14ac:dyDescent="0.25">
      <c r="A29" s="18">
        <v>4</v>
      </c>
      <c r="B29" s="17">
        <v>275619.27000000008</v>
      </c>
    </row>
    <row r="30" spans="1:2" x14ac:dyDescent="0.25">
      <c r="A30" s="18">
        <v>5</v>
      </c>
      <c r="B30" s="17">
        <v>323490.96000000008</v>
      </c>
    </row>
    <row r="31" spans="1:2" x14ac:dyDescent="0.25">
      <c r="A31" s="18">
        <v>6</v>
      </c>
      <c r="B31" s="17">
        <v>290028.6599999998</v>
      </c>
    </row>
    <row r="32" spans="1:2" x14ac:dyDescent="0.25">
      <c r="A32" s="18" t="s">
        <v>462</v>
      </c>
      <c r="B32" s="17">
        <v>1785279.5499999993</v>
      </c>
    </row>
    <row r="35" spans="1:2" x14ac:dyDescent="0.25">
      <c r="A35" s="14" t="s">
        <v>474</v>
      </c>
      <c r="B35" s="15" t="s">
        <v>470</v>
      </c>
    </row>
    <row r="36" spans="1:2" x14ac:dyDescent="0.25">
      <c r="A36" s="16" t="s">
        <v>263</v>
      </c>
      <c r="B36" s="17">
        <v>88089.98</v>
      </c>
    </row>
    <row r="37" spans="1:2" x14ac:dyDescent="0.25">
      <c r="A37" s="16" t="s">
        <v>193</v>
      </c>
      <c r="B37" s="17">
        <v>102995.76</v>
      </c>
    </row>
    <row r="38" spans="1:2" x14ac:dyDescent="0.25">
      <c r="A38" s="16" t="s">
        <v>152</v>
      </c>
      <c r="B38" s="17">
        <v>218826.78</v>
      </c>
    </row>
    <row r="39" spans="1:2" x14ac:dyDescent="0.25">
      <c r="A39" s="16" t="s">
        <v>97</v>
      </c>
      <c r="B39" s="17">
        <v>268565.8</v>
      </c>
    </row>
    <row r="40" spans="1:2" x14ac:dyDescent="0.25">
      <c r="A40" s="16" t="s">
        <v>250</v>
      </c>
      <c r="B40" s="17">
        <v>353024.02999999991</v>
      </c>
    </row>
    <row r="41" spans="1:2" x14ac:dyDescent="0.25">
      <c r="A41" s="16" t="s">
        <v>462</v>
      </c>
      <c r="B41" s="17">
        <v>1031502.3499999999</v>
      </c>
    </row>
    <row r="44" spans="1:2" x14ac:dyDescent="0.25">
      <c r="A44" s="14" t="s">
        <v>467</v>
      </c>
      <c r="B44" s="15" t="s">
        <v>470</v>
      </c>
    </row>
    <row r="45" spans="1:2" x14ac:dyDescent="0.25">
      <c r="A45" s="16" t="s">
        <v>125</v>
      </c>
      <c r="B45" s="17">
        <v>72564</v>
      </c>
    </row>
    <row r="46" spans="1:2" x14ac:dyDescent="0.25">
      <c r="A46" s="16" t="s">
        <v>47</v>
      </c>
      <c r="B46" s="17">
        <v>82995.5</v>
      </c>
    </row>
    <row r="47" spans="1:2" x14ac:dyDescent="0.25">
      <c r="A47" s="16" t="s">
        <v>75</v>
      </c>
      <c r="B47" s="17">
        <v>103506.08</v>
      </c>
    </row>
    <row r="48" spans="1:2" x14ac:dyDescent="0.25">
      <c r="A48" s="16" t="s">
        <v>49</v>
      </c>
      <c r="B48" s="17">
        <v>144150.96000000002</v>
      </c>
    </row>
    <row r="49" spans="1:2" x14ac:dyDescent="0.25">
      <c r="A49" s="16" t="s">
        <v>252</v>
      </c>
      <c r="B49" s="17">
        <v>155040</v>
      </c>
    </row>
    <row r="50" spans="1:2" x14ac:dyDescent="0.25">
      <c r="A50" s="16" t="s">
        <v>462</v>
      </c>
      <c r="B50" s="17">
        <v>558256.54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07E4D-CDC3-43F0-A49D-8B73C070B961}">
  <dimension ref="A1:AA37"/>
  <sheetViews>
    <sheetView showGridLines="0" topLeftCell="D1" zoomScale="85" zoomScaleNormal="85" workbookViewId="0">
      <selection activeCell="T42" sqref="T42"/>
    </sheetView>
  </sheetViews>
  <sheetFormatPr defaultRowHeight="15" x14ac:dyDescent="0.25"/>
  <cols>
    <col min="1" max="1" width="3" customWidth="1"/>
    <col min="10" max="10" width="3.5" customWidth="1"/>
    <col min="18" max="18" width="5.875" customWidth="1"/>
    <col min="26" max="26" width="4" customWidth="1"/>
    <col min="27" max="27" width="2.875" customWidth="1"/>
  </cols>
  <sheetData>
    <row r="1" spans="1:27" x14ac:dyDescent="0.25">
      <c r="A1" s="19"/>
      <c r="B1" s="19"/>
      <c r="C1" s="19"/>
      <c r="D1" s="19"/>
      <c r="E1" s="19"/>
      <c r="F1" s="19"/>
      <c r="G1" s="19"/>
      <c r="H1" s="19"/>
      <c r="I1" s="19"/>
      <c r="J1" s="19"/>
      <c r="K1" s="19"/>
      <c r="L1" s="19"/>
      <c r="M1" s="19"/>
      <c r="N1" s="19"/>
      <c r="O1" s="19"/>
      <c r="P1" s="19"/>
      <c r="Q1" s="19"/>
      <c r="R1" s="19"/>
      <c r="S1" s="19"/>
      <c r="T1" s="19"/>
      <c r="U1" s="19"/>
      <c r="V1" s="19"/>
      <c r="W1" s="19"/>
      <c r="X1" s="19"/>
      <c r="Y1" s="19"/>
      <c r="Z1" s="19"/>
      <c r="AA1" s="19"/>
    </row>
    <row r="2" spans="1:27" x14ac:dyDescent="0.25">
      <c r="A2" s="19"/>
      <c r="B2" s="19"/>
      <c r="C2" s="19"/>
      <c r="D2" s="19"/>
      <c r="E2" s="19"/>
      <c r="F2" s="19"/>
      <c r="G2" s="19"/>
      <c r="H2" s="19"/>
      <c r="I2" s="19"/>
      <c r="J2" s="19"/>
      <c r="K2" s="19"/>
      <c r="L2" s="19"/>
      <c r="M2" s="19"/>
      <c r="N2" s="19"/>
      <c r="O2" s="19"/>
      <c r="P2" s="19"/>
      <c r="Q2" s="19"/>
      <c r="R2" s="19"/>
      <c r="S2" s="19"/>
      <c r="T2" s="19"/>
      <c r="U2" s="19"/>
      <c r="V2" s="19"/>
      <c r="W2" s="19"/>
      <c r="X2" s="19"/>
      <c r="Y2" s="19"/>
      <c r="Z2" s="19"/>
      <c r="AA2" s="19"/>
    </row>
    <row r="3" spans="1:27" x14ac:dyDescent="0.25">
      <c r="A3" s="19"/>
      <c r="B3" s="19"/>
      <c r="C3" s="19"/>
      <c r="D3" s="19"/>
      <c r="E3" s="19"/>
      <c r="F3" s="19"/>
      <c r="G3" s="19"/>
      <c r="H3" s="19"/>
      <c r="I3" s="19"/>
      <c r="J3" s="19"/>
      <c r="K3" s="19"/>
      <c r="L3" s="19"/>
      <c r="M3" s="19"/>
      <c r="N3" s="19"/>
      <c r="O3" s="19"/>
      <c r="P3" s="19"/>
      <c r="Q3" s="19"/>
      <c r="R3" s="19"/>
      <c r="S3" s="19"/>
      <c r="T3" s="19"/>
      <c r="U3" s="19"/>
      <c r="V3" s="19"/>
      <c r="W3" s="19"/>
      <c r="X3" s="19"/>
      <c r="Y3" s="19"/>
      <c r="Z3" s="19"/>
      <c r="AA3" s="19"/>
    </row>
    <row r="4" spans="1:27" x14ac:dyDescent="0.25">
      <c r="A4" s="19"/>
      <c r="B4" s="19"/>
      <c r="C4" s="19"/>
      <c r="D4" s="19"/>
      <c r="E4" s="19"/>
      <c r="F4" s="19"/>
      <c r="G4" s="19"/>
      <c r="H4" s="19"/>
      <c r="I4" s="19"/>
      <c r="J4" s="19"/>
      <c r="K4" s="19"/>
      <c r="L4" s="19"/>
      <c r="M4" s="19"/>
      <c r="N4" s="19"/>
      <c r="O4" s="19"/>
      <c r="P4" s="19"/>
      <c r="Q4" s="19"/>
      <c r="R4" s="19"/>
      <c r="S4" s="19"/>
      <c r="T4" s="19"/>
      <c r="U4" s="19"/>
      <c r="V4" s="19"/>
      <c r="W4" s="19"/>
      <c r="X4" s="19"/>
      <c r="Y4" s="19"/>
      <c r="Z4" s="19"/>
      <c r="AA4" s="19"/>
    </row>
    <row r="5" spans="1:27" x14ac:dyDescent="0.25">
      <c r="A5" s="19"/>
      <c r="B5" s="19"/>
      <c r="C5" s="19"/>
      <c r="D5" s="19"/>
      <c r="E5" s="19"/>
      <c r="F5" s="19"/>
      <c r="G5" s="19"/>
      <c r="H5" s="19"/>
      <c r="I5" s="19"/>
      <c r="J5" s="19"/>
      <c r="K5" s="19"/>
      <c r="L5" s="19"/>
      <c r="M5" s="19"/>
      <c r="N5" s="19"/>
      <c r="O5" s="19"/>
      <c r="P5" s="19"/>
      <c r="Q5" s="19"/>
      <c r="R5" s="19"/>
      <c r="S5" s="19"/>
      <c r="T5" s="19"/>
      <c r="U5" s="19"/>
      <c r="V5" s="19"/>
      <c r="W5" s="19"/>
      <c r="X5" s="19"/>
      <c r="Y5" s="19"/>
      <c r="Z5" s="19"/>
      <c r="AA5" s="19"/>
    </row>
    <row r="6" spans="1:27" x14ac:dyDescent="0.25">
      <c r="A6" s="19"/>
      <c r="B6" s="19"/>
      <c r="C6" s="19"/>
      <c r="D6" s="19"/>
      <c r="E6" s="19"/>
      <c r="F6" s="19"/>
      <c r="G6" s="19"/>
      <c r="H6" s="19"/>
      <c r="I6" s="19"/>
      <c r="J6" s="19"/>
      <c r="K6" s="19"/>
      <c r="L6" s="19"/>
      <c r="M6" s="19"/>
      <c r="N6" s="19"/>
      <c r="O6" s="19"/>
      <c r="P6" s="19"/>
      <c r="Q6" s="19"/>
      <c r="R6" s="19"/>
      <c r="S6" s="19"/>
      <c r="T6" s="19"/>
      <c r="U6" s="19"/>
      <c r="V6" s="19"/>
      <c r="W6" s="19"/>
      <c r="X6" s="19"/>
      <c r="Y6" s="19"/>
      <c r="Z6" s="19"/>
      <c r="AA6" s="19"/>
    </row>
    <row r="7" spans="1:27" x14ac:dyDescent="0.25">
      <c r="A7" s="19"/>
      <c r="B7" s="19"/>
      <c r="C7" s="19"/>
      <c r="D7" s="19"/>
      <c r="E7" s="19"/>
      <c r="F7" s="19"/>
      <c r="G7" s="19"/>
      <c r="H7" s="19"/>
      <c r="I7" s="19"/>
      <c r="J7" s="19"/>
      <c r="K7" s="19"/>
      <c r="L7" s="19"/>
      <c r="M7" s="19"/>
      <c r="N7" s="19"/>
      <c r="O7" s="19"/>
      <c r="P7" s="19"/>
      <c r="Q7" s="19"/>
      <c r="R7" s="19"/>
      <c r="S7" s="19"/>
      <c r="T7" s="19"/>
      <c r="U7" s="19"/>
      <c r="V7" s="19"/>
      <c r="W7" s="19"/>
      <c r="X7" s="19"/>
      <c r="Y7" s="19"/>
      <c r="Z7" s="19"/>
      <c r="AA7" s="19"/>
    </row>
    <row r="8" spans="1:27" x14ac:dyDescent="0.25">
      <c r="A8" s="19"/>
      <c r="B8" s="19"/>
      <c r="C8" s="19"/>
      <c r="D8" s="19"/>
      <c r="E8" s="19"/>
      <c r="F8" s="19"/>
      <c r="G8" s="19"/>
      <c r="H8" s="19"/>
      <c r="I8" s="19"/>
      <c r="J8" s="19"/>
      <c r="K8" s="19"/>
      <c r="L8" s="19"/>
      <c r="M8" s="19"/>
      <c r="N8" s="19"/>
      <c r="O8" s="19"/>
      <c r="P8" s="19"/>
      <c r="Q8" s="19"/>
      <c r="R8" s="19"/>
      <c r="S8" s="19"/>
      <c r="T8" s="19"/>
      <c r="U8" s="19"/>
      <c r="V8" s="19"/>
      <c r="W8" s="19"/>
      <c r="X8" s="19"/>
      <c r="Y8" s="19"/>
      <c r="Z8" s="19"/>
      <c r="AA8" s="19"/>
    </row>
    <row r="9" spans="1:27" x14ac:dyDescent="0.25">
      <c r="A9" s="19"/>
      <c r="B9" s="19"/>
      <c r="C9" s="19"/>
      <c r="D9" s="19"/>
      <c r="E9" s="19"/>
      <c r="F9" s="19"/>
      <c r="G9" s="19"/>
      <c r="H9" s="19"/>
      <c r="I9" s="19"/>
      <c r="J9" s="19"/>
      <c r="K9" s="19"/>
      <c r="L9" s="19"/>
      <c r="M9" s="19"/>
      <c r="N9" s="19"/>
      <c r="O9" s="19"/>
      <c r="P9" s="19"/>
      <c r="Q9" s="19"/>
      <c r="R9" s="19"/>
      <c r="S9" s="19"/>
      <c r="T9" s="19"/>
      <c r="U9" s="19"/>
      <c r="V9" s="19"/>
      <c r="W9" s="19"/>
      <c r="X9" s="19"/>
      <c r="Y9" s="19"/>
      <c r="Z9" s="19"/>
      <c r="AA9" s="19"/>
    </row>
    <row r="10" spans="1:27" x14ac:dyDescent="0.25">
      <c r="A10" s="19"/>
      <c r="B10" s="19"/>
      <c r="C10" s="19"/>
      <c r="D10" s="19"/>
      <c r="E10" s="19"/>
      <c r="F10" s="19"/>
      <c r="G10" s="19"/>
      <c r="H10" s="19"/>
      <c r="I10" s="19"/>
      <c r="J10" s="19"/>
      <c r="K10" s="19"/>
      <c r="L10" s="19"/>
      <c r="M10" s="19"/>
      <c r="N10" s="19"/>
      <c r="O10" s="19"/>
      <c r="P10" s="19"/>
      <c r="Q10" s="19"/>
      <c r="R10" s="19"/>
      <c r="S10" s="19"/>
      <c r="T10" s="19"/>
      <c r="U10" s="19"/>
      <c r="V10" s="19"/>
      <c r="W10" s="19"/>
      <c r="X10" s="19"/>
      <c r="Y10" s="19"/>
      <c r="Z10" s="19"/>
      <c r="AA10" s="19"/>
    </row>
    <row r="11" spans="1:27" x14ac:dyDescent="0.25">
      <c r="A11" s="19"/>
      <c r="B11" s="19"/>
      <c r="C11" s="19"/>
      <c r="D11" s="19"/>
      <c r="E11" s="19"/>
      <c r="F11" s="19"/>
      <c r="G11" s="19"/>
      <c r="H11" s="19"/>
      <c r="I11" s="19"/>
      <c r="J11" s="19"/>
      <c r="K11" s="19"/>
      <c r="L11" s="19"/>
      <c r="M11" s="19"/>
      <c r="N11" s="19"/>
      <c r="O11" s="19"/>
      <c r="P11" s="19"/>
      <c r="Q11" s="19"/>
      <c r="R11" s="19"/>
      <c r="S11" s="19"/>
      <c r="T11" s="19"/>
      <c r="U11" s="19"/>
      <c r="V11" s="19"/>
      <c r="W11" s="19"/>
      <c r="X11" s="19"/>
      <c r="Y11" s="19"/>
      <c r="Z11" s="19"/>
      <c r="AA11" s="19"/>
    </row>
    <row r="12" spans="1:27" x14ac:dyDescent="0.25">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c r="AA12" s="19"/>
    </row>
    <row r="13" spans="1:27" x14ac:dyDescent="0.25">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c r="AA13" s="19"/>
    </row>
    <row r="14" spans="1:27" ht="15" customHeight="1" x14ac:dyDescent="0.25">
      <c r="A14" s="19"/>
      <c r="B14" s="20" t="s">
        <v>475</v>
      </c>
      <c r="C14" s="20"/>
      <c r="D14" s="20"/>
      <c r="E14" s="20"/>
      <c r="F14" s="20"/>
      <c r="G14" s="20"/>
      <c r="H14" s="20"/>
      <c r="I14" s="20"/>
      <c r="J14" s="19"/>
      <c r="K14" s="19"/>
      <c r="L14" s="19"/>
      <c r="M14" s="19"/>
      <c r="N14" s="19"/>
      <c r="O14" s="19"/>
      <c r="P14" s="19"/>
      <c r="Q14" s="19"/>
      <c r="R14" s="19"/>
      <c r="S14" s="19"/>
      <c r="T14" s="19"/>
      <c r="U14" s="19"/>
      <c r="V14" s="19"/>
      <c r="W14" s="19"/>
      <c r="X14" s="19"/>
      <c r="Y14" s="19"/>
      <c r="Z14" s="19"/>
      <c r="AA14" s="19"/>
    </row>
    <row r="15" spans="1:27" ht="15" customHeight="1" x14ac:dyDescent="0.25">
      <c r="A15" s="19"/>
      <c r="B15" s="20"/>
      <c r="C15" s="20"/>
      <c r="D15" s="20"/>
      <c r="E15" s="20"/>
      <c r="F15" s="20"/>
      <c r="G15" s="20"/>
      <c r="H15" s="20"/>
      <c r="I15" s="20"/>
      <c r="J15" s="19"/>
      <c r="K15" s="19"/>
      <c r="L15" s="19"/>
      <c r="M15" s="19"/>
      <c r="N15" s="19"/>
      <c r="O15" s="19"/>
      <c r="P15" s="19"/>
      <c r="Q15" s="19"/>
      <c r="R15" s="19"/>
      <c r="S15" s="19"/>
      <c r="T15" s="19"/>
      <c r="U15" s="19"/>
      <c r="V15" s="19"/>
      <c r="W15" s="19"/>
      <c r="X15" s="19"/>
      <c r="Y15" s="19"/>
      <c r="Z15" s="19"/>
      <c r="AA15" s="19"/>
    </row>
    <row r="16" spans="1:27" ht="15" customHeight="1" x14ac:dyDescent="0.25">
      <c r="A16" s="19"/>
      <c r="B16" s="21">
        <f>GETPIVOTDATA("Ingresos",Tablas_Ingresos!$A$1)</f>
        <v>1785279.55</v>
      </c>
      <c r="C16" s="21"/>
      <c r="D16" s="21"/>
      <c r="E16" s="21"/>
      <c r="F16" s="21"/>
      <c r="G16" s="21"/>
      <c r="H16" s="21"/>
      <c r="I16" s="21"/>
      <c r="J16" s="19"/>
      <c r="K16" s="19"/>
      <c r="L16" s="19"/>
      <c r="M16" s="19"/>
      <c r="N16" s="19"/>
      <c r="O16" s="19"/>
      <c r="P16" s="19"/>
      <c r="Q16" s="19"/>
      <c r="R16" s="19"/>
      <c r="S16" s="19"/>
      <c r="T16" s="19"/>
      <c r="U16" s="19"/>
      <c r="V16" s="19"/>
      <c r="W16" s="19"/>
      <c r="X16" s="19"/>
      <c r="Y16" s="19"/>
      <c r="Z16" s="19"/>
      <c r="AA16" s="19"/>
    </row>
    <row r="17" spans="1:27" ht="15" customHeight="1" x14ac:dyDescent="0.25">
      <c r="A17" s="19"/>
      <c r="B17" s="21"/>
      <c r="C17" s="21"/>
      <c r="D17" s="21"/>
      <c r="E17" s="21"/>
      <c r="F17" s="21"/>
      <c r="G17" s="21"/>
      <c r="H17" s="21"/>
      <c r="I17" s="21"/>
      <c r="J17" s="19"/>
      <c r="K17" s="19"/>
      <c r="L17" s="19"/>
      <c r="M17" s="19"/>
      <c r="N17" s="19"/>
      <c r="O17" s="19"/>
      <c r="P17" s="19"/>
      <c r="Q17" s="19"/>
      <c r="R17" s="19"/>
      <c r="S17" s="19"/>
      <c r="T17" s="19"/>
      <c r="U17" s="19"/>
      <c r="V17" s="19"/>
      <c r="W17" s="19"/>
      <c r="X17" s="19"/>
      <c r="Y17" s="19"/>
      <c r="Z17" s="19"/>
      <c r="AA17" s="19"/>
    </row>
    <row r="18" spans="1:27" ht="15" customHeight="1" x14ac:dyDescent="0.25">
      <c r="A18" s="19"/>
      <c r="B18" s="21"/>
      <c r="C18" s="21"/>
      <c r="D18" s="21"/>
      <c r="E18" s="21"/>
      <c r="F18" s="21"/>
      <c r="G18" s="21"/>
      <c r="H18" s="21"/>
      <c r="I18" s="21"/>
      <c r="J18" s="19"/>
      <c r="K18" s="19"/>
      <c r="L18" s="19"/>
      <c r="M18" s="19"/>
      <c r="N18" s="19"/>
      <c r="O18" s="19"/>
      <c r="P18" s="19"/>
      <c r="Q18" s="19"/>
      <c r="R18" s="19"/>
      <c r="S18" s="19"/>
      <c r="T18" s="19"/>
      <c r="U18" s="19"/>
      <c r="V18" s="19"/>
      <c r="W18" s="19"/>
      <c r="X18" s="19"/>
      <c r="Y18" s="19"/>
      <c r="Z18" s="19"/>
      <c r="AA18" s="19"/>
    </row>
    <row r="19" spans="1:27" x14ac:dyDescent="0.25">
      <c r="A19" s="19"/>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row>
    <row r="20" spans="1:27" x14ac:dyDescent="0.25">
      <c r="A20" s="19"/>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row>
    <row r="21" spans="1:27" x14ac:dyDescent="0.25">
      <c r="A21" s="19"/>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row>
    <row r="22" spans="1:27" x14ac:dyDescent="0.25">
      <c r="A22" s="19"/>
      <c r="B22" s="19"/>
      <c r="C22" s="19"/>
      <c r="D22" s="19"/>
      <c r="E22" s="19"/>
      <c r="F22" s="19"/>
      <c r="G22" s="19"/>
      <c r="H22" s="19"/>
      <c r="I22" s="19"/>
      <c r="J22" s="19"/>
      <c r="K22" s="19"/>
      <c r="L22" s="19"/>
      <c r="M22" s="19"/>
      <c r="N22" s="19"/>
      <c r="O22" s="19"/>
      <c r="P22" s="19"/>
      <c r="Q22" s="19"/>
      <c r="R22" s="19"/>
      <c r="S22" s="19"/>
      <c r="T22" s="19"/>
      <c r="U22" s="19"/>
      <c r="V22" s="19"/>
      <c r="W22" s="19"/>
      <c r="X22" s="19"/>
      <c r="Y22" s="19"/>
      <c r="Z22" s="19"/>
      <c r="AA22" s="19"/>
    </row>
    <row r="23" spans="1:27" x14ac:dyDescent="0.25">
      <c r="A23" s="19"/>
      <c r="B23" s="19"/>
      <c r="C23" s="19"/>
      <c r="D23" s="19"/>
      <c r="E23" s="19"/>
      <c r="F23" s="19"/>
      <c r="G23" s="19"/>
      <c r="H23" s="19"/>
      <c r="I23" s="19"/>
      <c r="J23" s="19"/>
      <c r="K23" s="19"/>
      <c r="L23" s="19"/>
      <c r="M23" s="19"/>
      <c r="N23" s="19"/>
      <c r="O23" s="19"/>
      <c r="P23" s="19"/>
      <c r="Q23" s="19"/>
      <c r="R23" s="19"/>
      <c r="S23" s="19"/>
      <c r="T23" s="19"/>
      <c r="U23" s="19"/>
      <c r="V23" s="19"/>
      <c r="W23" s="19"/>
      <c r="X23" s="19"/>
      <c r="Y23" s="19"/>
      <c r="Z23" s="19"/>
      <c r="AA23" s="19"/>
    </row>
    <row r="24" spans="1:27" x14ac:dyDescent="0.25">
      <c r="A24" s="19"/>
      <c r="B24" s="19"/>
      <c r="C24" s="19"/>
      <c r="D24" s="19"/>
      <c r="E24" s="19"/>
      <c r="F24" s="19"/>
      <c r="G24" s="19"/>
      <c r="H24" s="19"/>
      <c r="I24" s="19"/>
      <c r="J24" s="19"/>
      <c r="K24" s="19"/>
      <c r="L24" s="19"/>
      <c r="M24" s="19"/>
      <c r="N24" s="19"/>
      <c r="O24" s="19"/>
      <c r="P24" s="19"/>
      <c r="Q24" s="19"/>
      <c r="R24" s="19"/>
      <c r="S24" s="19"/>
      <c r="T24" s="19"/>
      <c r="U24" s="19"/>
      <c r="V24" s="19"/>
      <c r="W24" s="19"/>
      <c r="X24" s="19"/>
      <c r="Y24" s="19"/>
      <c r="Z24" s="19"/>
      <c r="AA24" s="19"/>
    </row>
    <row r="25" spans="1:27" x14ac:dyDescent="0.25">
      <c r="A25" s="19"/>
      <c r="B25" s="19"/>
      <c r="C25" s="19"/>
      <c r="D25" s="19"/>
      <c r="E25" s="19"/>
      <c r="F25" s="19"/>
      <c r="G25" s="19"/>
      <c r="H25" s="19"/>
      <c r="I25" s="19"/>
      <c r="J25" s="19"/>
      <c r="K25" s="19"/>
      <c r="L25" s="19"/>
      <c r="M25" s="19"/>
      <c r="N25" s="19"/>
      <c r="O25" s="19"/>
      <c r="P25" s="19"/>
      <c r="Q25" s="19"/>
      <c r="R25" s="19"/>
      <c r="S25" s="19"/>
      <c r="T25" s="19"/>
      <c r="U25" s="19"/>
      <c r="V25" s="19"/>
      <c r="W25" s="19"/>
      <c r="X25" s="19"/>
      <c r="Y25" s="19"/>
      <c r="Z25" s="19"/>
      <c r="AA25" s="19"/>
    </row>
    <row r="26" spans="1:27" x14ac:dyDescent="0.25">
      <c r="A26" s="19"/>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row>
    <row r="27" spans="1:27" x14ac:dyDescent="0.25">
      <c r="A27" s="19"/>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row>
    <row r="28" spans="1:27" x14ac:dyDescent="0.25">
      <c r="A28" s="19"/>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row>
    <row r="29" spans="1:27" x14ac:dyDescent="0.25">
      <c r="A29" s="19"/>
      <c r="B29" s="19"/>
      <c r="C29" s="19"/>
      <c r="D29" s="19"/>
      <c r="E29" s="19"/>
      <c r="F29" s="19"/>
      <c r="G29" s="19"/>
      <c r="H29" s="19"/>
      <c r="I29" s="19"/>
      <c r="J29" s="19"/>
      <c r="K29" s="19"/>
      <c r="L29" s="19"/>
      <c r="M29" s="19"/>
      <c r="N29" s="19"/>
      <c r="O29" s="19"/>
      <c r="P29" s="19"/>
      <c r="Q29" s="19"/>
      <c r="R29" s="19"/>
      <c r="S29" s="19"/>
      <c r="T29" s="19"/>
      <c r="U29" s="19"/>
      <c r="V29" s="19"/>
      <c r="W29" s="19"/>
      <c r="X29" s="19"/>
      <c r="Y29" s="19"/>
      <c r="Z29" s="19"/>
      <c r="AA29" s="19"/>
    </row>
    <row r="30" spans="1:27" x14ac:dyDescent="0.25">
      <c r="A30" s="19"/>
      <c r="B30" s="19"/>
      <c r="C30" s="19"/>
      <c r="D30" s="19"/>
      <c r="E30" s="19"/>
      <c r="F30" s="19"/>
      <c r="G30" s="19"/>
      <c r="H30" s="19"/>
      <c r="I30" s="19"/>
      <c r="J30" s="19"/>
      <c r="K30" s="19"/>
      <c r="L30" s="19"/>
      <c r="M30" s="19"/>
      <c r="N30" s="19"/>
      <c r="O30" s="19"/>
      <c r="P30" s="19"/>
      <c r="Q30" s="19"/>
      <c r="R30" s="19"/>
      <c r="S30" s="19"/>
      <c r="T30" s="19"/>
      <c r="U30" s="19"/>
      <c r="V30" s="19"/>
      <c r="W30" s="19"/>
      <c r="X30" s="19"/>
      <c r="Y30" s="19"/>
      <c r="Z30" s="19"/>
      <c r="AA30" s="19"/>
    </row>
    <row r="31" spans="1:27" x14ac:dyDescent="0.25">
      <c r="A31" s="19"/>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row>
    <row r="32" spans="1:27" x14ac:dyDescent="0.25">
      <c r="A32" s="19"/>
      <c r="B32" s="19"/>
      <c r="C32" s="19"/>
      <c r="D32" s="19"/>
      <c r="E32" s="19"/>
      <c r="F32" s="19"/>
      <c r="G32" s="19"/>
      <c r="H32" s="19"/>
      <c r="I32" s="19"/>
      <c r="J32" s="19"/>
      <c r="K32" s="19"/>
      <c r="L32" s="19"/>
      <c r="M32" s="19"/>
      <c r="N32" s="19"/>
      <c r="O32" s="19"/>
      <c r="P32" s="19"/>
      <c r="Q32" s="19"/>
      <c r="R32" s="19"/>
      <c r="S32" s="19"/>
      <c r="T32" s="19"/>
      <c r="U32" s="19"/>
      <c r="V32" s="19"/>
      <c r="W32" s="19"/>
      <c r="X32" s="19"/>
      <c r="Y32" s="19"/>
      <c r="Z32" s="19"/>
      <c r="AA32" s="19"/>
    </row>
    <row r="33" spans="1:27" x14ac:dyDescent="0.25">
      <c r="A33" s="19"/>
      <c r="B33" s="19"/>
      <c r="C33" s="19"/>
      <c r="D33" s="19"/>
      <c r="E33" s="19"/>
      <c r="F33" s="19"/>
      <c r="G33" s="19"/>
      <c r="H33" s="19"/>
      <c r="I33" s="19"/>
      <c r="J33" s="19"/>
      <c r="K33" s="19"/>
      <c r="L33" s="19"/>
      <c r="M33" s="19"/>
      <c r="N33" s="19"/>
      <c r="O33" s="19"/>
      <c r="P33" s="19"/>
      <c r="Q33" s="19"/>
      <c r="R33" s="19"/>
      <c r="S33" s="19"/>
      <c r="T33" s="19"/>
      <c r="U33" s="19"/>
      <c r="V33" s="19"/>
      <c r="W33" s="19"/>
      <c r="X33" s="19"/>
      <c r="Y33" s="19"/>
      <c r="Z33" s="19"/>
      <c r="AA33" s="19"/>
    </row>
    <row r="34" spans="1:27" x14ac:dyDescent="0.25">
      <c r="A34" s="19"/>
      <c r="B34" s="19"/>
      <c r="C34" s="19"/>
      <c r="D34" s="19"/>
      <c r="E34" s="19"/>
      <c r="F34" s="19"/>
      <c r="G34" s="19"/>
      <c r="H34" s="19"/>
      <c r="I34" s="19"/>
      <c r="J34" s="19"/>
      <c r="K34" s="19"/>
      <c r="L34" s="19"/>
      <c r="M34" s="19"/>
      <c r="N34" s="19"/>
      <c r="O34" s="19"/>
      <c r="P34" s="19"/>
      <c r="Q34" s="19"/>
      <c r="R34" s="19"/>
      <c r="S34" s="19"/>
      <c r="T34" s="19"/>
      <c r="U34" s="19"/>
      <c r="V34" s="19"/>
      <c r="W34" s="19"/>
      <c r="X34" s="19"/>
      <c r="Y34" s="19"/>
      <c r="Z34" s="19"/>
      <c r="AA34" s="19"/>
    </row>
    <row r="35" spans="1:27" x14ac:dyDescent="0.25">
      <c r="A35" s="19"/>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row>
    <row r="36" spans="1:27" x14ac:dyDescent="0.25">
      <c r="A36" s="19"/>
      <c r="B36" s="19"/>
      <c r="C36" s="19"/>
      <c r="D36" s="19"/>
      <c r="E36" s="19"/>
      <c r="F36" s="19"/>
      <c r="G36" s="19"/>
      <c r="H36" s="19"/>
      <c r="I36" s="19"/>
      <c r="J36" s="19"/>
      <c r="K36" s="19"/>
      <c r="L36" s="19"/>
      <c r="M36" s="19"/>
      <c r="N36" s="19"/>
      <c r="O36" s="19"/>
      <c r="P36" s="19"/>
      <c r="Q36" s="19"/>
      <c r="R36" s="19"/>
      <c r="S36" s="19"/>
      <c r="T36" s="19"/>
      <c r="U36" s="19"/>
      <c r="V36" s="19"/>
      <c r="W36" s="19"/>
      <c r="X36" s="19"/>
      <c r="Y36" s="19"/>
      <c r="Z36" s="19"/>
      <c r="AA36" s="19"/>
    </row>
    <row r="37" spans="1:27" x14ac:dyDescent="0.25">
      <c r="A37" s="19"/>
      <c r="B37" s="19"/>
      <c r="C37" s="19"/>
      <c r="D37" s="19"/>
      <c r="E37" s="19"/>
      <c r="F37" s="19"/>
      <c r="G37" s="19"/>
      <c r="H37" s="19"/>
      <c r="I37" s="19"/>
      <c r="J37" s="19"/>
      <c r="K37" s="19"/>
      <c r="L37" s="19"/>
      <c r="M37" s="19"/>
      <c r="N37" s="19"/>
      <c r="O37" s="19"/>
      <c r="P37" s="19"/>
      <c r="Q37" s="19"/>
      <c r="R37" s="19"/>
      <c r="S37" s="19"/>
      <c r="T37" s="19"/>
      <c r="U37" s="19"/>
      <c r="V37" s="19"/>
      <c r="W37" s="19"/>
      <c r="X37" s="19"/>
      <c r="Y37" s="19"/>
      <c r="Z37" s="19"/>
      <c r="AA37" s="19"/>
    </row>
  </sheetData>
  <mergeCells count="2">
    <mergeCell ref="B14:I15"/>
    <mergeCell ref="B16:I18"/>
  </mergeCells>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A8026-DEDA-4715-A727-21DB7B628146}">
  <dimension ref="A2:K35"/>
  <sheetViews>
    <sheetView showGridLines="0" tabSelected="1" topLeftCell="D1" zoomScale="55" zoomScaleNormal="55" workbookViewId="0">
      <selection activeCell="L46" sqref="L46"/>
    </sheetView>
  </sheetViews>
  <sheetFormatPr defaultRowHeight="15" x14ac:dyDescent="0.25"/>
  <cols>
    <col min="1" max="1" width="12" hidden="1" customWidth="1"/>
    <col min="2" max="2" width="13.75" hidden="1" customWidth="1"/>
    <col min="3" max="3" width="13.25" hidden="1" customWidth="1"/>
    <col min="4" max="4" width="2.625" customWidth="1"/>
    <col min="5" max="5" width="23.75" customWidth="1"/>
    <col min="6" max="6" width="20.625" customWidth="1"/>
    <col min="7" max="7" width="28.125" customWidth="1"/>
    <col min="8" max="8" width="2.625" customWidth="1"/>
    <col min="9" max="9" width="66.625" customWidth="1"/>
    <col min="10" max="10" width="2.625" customWidth="1"/>
    <col min="11" max="11" width="66.625" customWidth="1"/>
    <col min="17" max="17" width="12.375" bestFit="1" customWidth="1"/>
  </cols>
  <sheetData>
    <row r="2" spans="1:11" x14ac:dyDescent="0.25">
      <c r="A2" s="7" t="s">
        <v>460</v>
      </c>
      <c r="B2" t="s">
        <v>471</v>
      </c>
      <c r="C2" t="s">
        <v>472</v>
      </c>
    </row>
    <row r="3" spans="1:11" x14ac:dyDescent="0.25">
      <c r="A3" s="8" t="s">
        <v>444</v>
      </c>
      <c r="B3" s="10">
        <v>90460.860000000117</v>
      </c>
      <c r="C3" s="11">
        <v>0.51529425636927229</v>
      </c>
    </row>
    <row r="4" spans="1:11" x14ac:dyDescent="0.25">
      <c r="A4" s="8" t="s">
        <v>438</v>
      </c>
      <c r="B4" s="10">
        <v>215655.32000000033</v>
      </c>
      <c r="C4" s="11">
        <v>0.52692445460449588</v>
      </c>
    </row>
    <row r="5" spans="1:11" x14ac:dyDescent="0.25">
      <c r="A5" s="8" t="s">
        <v>441</v>
      </c>
      <c r="B5" s="10">
        <v>165238.28000000038</v>
      </c>
      <c r="C5" s="11">
        <v>0.36737193667610518</v>
      </c>
    </row>
    <row r="6" spans="1:11" x14ac:dyDescent="0.25">
      <c r="A6" s="8" t="s">
        <v>442</v>
      </c>
      <c r="B6" s="10">
        <v>91002.960000000021</v>
      </c>
      <c r="C6" s="11">
        <v>0.50210324760852143</v>
      </c>
    </row>
    <row r="7" spans="1:11" ht="15" customHeight="1" x14ac:dyDescent="0.25">
      <c r="A7" s="8" t="s">
        <v>440</v>
      </c>
      <c r="B7" s="10">
        <v>116592.75999999997</v>
      </c>
      <c r="C7" s="11">
        <v>0.5196469728884765</v>
      </c>
      <c r="I7" s="26" t="s">
        <v>479</v>
      </c>
      <c r="K7" s="26" t="s">
        <v>478</v>
      </c>
    </row>
    <row r="8" spans="1:11" ht="15" customHeight="1" x14ac:dyDescent="0.25">
      <c r="A8" s="8" t="s">
        <v>443</v>
      </c>
      <c r="B8" s="10">
        <v>151076.23999999967</v>
      </c>
      <c r="C8" s="11">
        <v>0.43782790454372156</v>
      </c>
      <c r="I8" s="24"/>
      <c r="K8" s="24"/>
    </row>
    <row r="9" spans="1:11" ht="15" customHeight="1" x14ac:dyDescent="0.25">
      <c r="A9" s="8" t="s">
        <v>462</v>
      </c>
      <c r="B9" s="10">
        <v>830026.41999999934</v>
      </c>
      <c r="C9" s="11">
        <v>0.46492798284728032</v>
      </c>
      <c r="I9" s="22">
        <f>GETPIVOTDATA("% Utilidad",$E$28)</f>
        <v>830026.41999999934</v>
      </c>
      <c r="K9" s="23">
        <f>GETPIVOTDATA("% Margen",$E$28)</f>
        <v>0.46492798284728032</v>
      </c>
    </row>
    <row r="10" spans="1:11" ht="15" customHeight="1" x14ac:dyDescent="0.25">
      <c r="I10" s="22"/>
      <c r="K10" s="23"/>
    </row>
    <row r="11" spans="1:11" ht="15" customHeight="1" x14ac:dyDescent="0.25">
      <c r="A11" s="7" t="s">
        <v>460</v>
      </c>
      <c r="B11" t="s">
        <v>471</v>
      </c>
      <c r="C11" t="s">
        <v>472</v>
      </c>
      <c r="I11" s="22"/>
      <c r="K11" s="23"/>
    </row>
    <row r="12" spans="1:11" ht="15" customHeight="1" x14ac:dyDescent="0.25">
      <c r="A12" s="12">
        <v>1</v>
      </c>
      <c r="B12" s="10">
        <v>169340.00999999975</v>
      </c>
      <c r="C12" s="11">
        <v>0.49443549872652315</v>
      </c>
      <c r="I12" s="25"/>
      <c r="K12" s="22"/>
    </row>
    <row r="13" spans="1:11" ht="15" customHeight="1" x14ac:dyDescent="0.25">
      <c r="A13" s="12">
        <v>2</v>
      </c>
      <c r="B13" s="10">
        <v>113116.64999999994</v>
      </c>
      <c r="C13" s="11">
        <v>0.4557348753142233</v>
      </c>
      <c r="I13" s="25"/>
      <c r="K13" s="22"/>
    </row>
    <row r="14" spans="1:11" x14ac:dyDescent="0.25">
      <c r="A14" s="12">
        <v>3</v>
      </c>
      <c r="B14" s="10">
        <v>142664.39999999979</v>
      </c>
      <c r="C14" s="11">
        <v>0.46707539250261976</v>
      </c>
    </row>
    <row r="15" spans="1:11" x14ac:dyDescent="0.25">
      <c r="A15" s="12">
        <v>4</v>
      </c>
      <c r="B15" s="10">
        <v>125157.04000000027</v>
      </c>
      <c r="C15" s="11">
        <v>0.45409393907762774</v>
      </c>
    </row>
    <row r="16" spans="1:11" x14ac:dyDescent="0.25">
      <c r="A16" s="12">
        <v>5</v>
      </c>
      <c r="B16" s="10">
        <v>149377.94999999995</v>
      </c>
      <c r="C16" s="11">
        <v>0.46176854524775568</v>
      </c>
    </row>
    <row r="17" spans="1:7" x14ac:dyDescent="0.25">
      <c r="A17" s="12">
        <v>6</v>
      </c>
      <c r="B17" s="10">
        <v>130370.36999999991</v>
      </c>
      <c r="C17" s="11">
        <v>0.44950857615243955</v>
      </c>
    </row>
    <row r="18" spans="1:7" x14ac:dyDescent="0.25">
      <c r="A18" s="12" t="s">
        <v>462</v>
      </c>
      <c r="B18" s="10">
        <v>830026.42000000179</v>
      </c>
      <c r="C18" s="11">
        <v>0.46492798284728132</v>
      </c>
    </row>
    <row r="28" spans="1:7" x14ac:dyDescent="0.25">
      <c r="E28" s="7" t="s">
        <v>476</v>
      </c>
      <c r="F28" t="s">
        <v>477</v>
      </c>
      <c r="G28" t="s">
        <v>472</v>
      </c>
    </row>
    <row r="29" spans="1:7" x14ac:dyDescent="0.25">
      <c r="E29" s="8" t="s">
        <v>444</v>
      </c>
      <c r="F29" s="10">
        <v>90460.860000000117</v>
      </c>
      <c r="G29" s="11">
        <v>0.51529425636927229</v>
      </c>
    </row>
    <row r="30" spans="1:7" x14ac:dyDescent="0.25">
      <c r="E30" s="8" t="s">
        <v>438</v>
      </c>
      <c r="F30" s="10">
        <v>215655.32000000033</v>
      </c>
      <c r="G30" s="11">
        <v>0.52692445460449588</v>
      </c>
    </row>
    <row r="31" spans="1:7" x14ac:dyDescent="0.25">
      <c r="E31" s="8" t="s">
        <v>441</v>
      </c>
      <c r="F31" s="10">
        <v>165238.28000000038</v>
      </c>
      <c r="G31" s="11">
        <v>0.36737193667610518</v>
      </c>
    </row>
    <row r="32" spans="1:7" x14ac:dyDescent="0.25">
      <c r="E32" s="8" t="s">
        <v>442</v>
      </c>
      <c r="F32" s="10">
        <v>91002.960000000021</v>
      </c>
      <c r="G32" s="11">
        <v>0.50210324760852143</v>
      </c>
    </row>
    <row r="33" spans="5:7" x14ac:dyDescent="0.25">
      <c r="E33" s="8" t="s">
        <v>440</v>
      </c>
      <c r="F33" s="10">
        <v>116592.75999999997</v>
      </c>
      <c r="G33" s="11">
        <v>0.5196469728884765</v>
      </c>
    </row>
    <row r="34" spans="5:7" x14ac:dyDescent="0.25">
      <c r="E34" s="8" t="s">
        <v>443</v>
      </c>
      <c r="F34" s="10">
        <v>151076.23999999967</v>
      </c>
      <c r="G34" s="11">
        <v>0.43782790454372156</v>
      </c>
    </row>
    <row r="35" spans="5:7" x14ac:dyDescent="0.25">
      <c r="E35" s="8" t="s">
        <v>462</v>
      </c>
      <c r="F35" s="10">
        <v>830026.41999999934</v>
      </c>
      <c r="G35" s="11">
        <v>0.46492798284728032</v>
      </c>
    </row>
  </sheetData>
  <mergeCells count="5">
    <mergeCell ref="I7:I8"/>
    <mergeCell ref="K7:K8"/>
    <mergeCell ref="I9:I11"/>
    <mergeCell ref="K9:K11"/>
    <mergeCell ref="K12:K13"/>
  </mergeCells>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Sheet5</vt:lpstr>
      <vt:lpstr>Sheet6</vt:lpstr>
      <vt:lpstr>Registros</vt:lpstr>
      <vt:lpstr>Detalles</vt:lpstr>
      <vt:lpstr>Sheet1</vt:lpstr>
      <vt:lpstr>Sheet2</vt:lpstr>
      <vt:lpstr>Sheet3</vt:lpstr>
      <vt:lpstr>Tablas_Ingresos</vt:lpstr>
      <vt:lpstr>Reporte_Ingresos</vt:lpstr>
      <vt:lpstr>Reporte_Uitilidad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Finanzas</dc:title>
  <dc:creator>Javier Gomez</dc:creator>
  <cp:keywords>datdata.com.mx</cp:keywords>
  <cp:lastModifiedBy>JULIO JESUS RODRIGUEZ RIVERA</cp:lastModifiedBy>
  <dcterms:created xsi:type="dcterms:W3CDTF">2019-07-21T06:06:13Z</dcterms:created>
  <dcterms:modified xsi:type="dcterms:W3CDTF">2026-02-28T00:20:21Z</dcterms:modified>
</cp:coreProperties>
</file>